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.shortcut-targets-by-id\1QnCWvQI4gx4iQBPLBf_cFCnIXo_RlBiU\Recursos Humanos\3. Departamento Pessoal\"/>
    </mc:Choice>
  </mc:AlternateContent>
  <xr:revisionPtr revIDLastSave="0" documentId="13_ncr:1_{175FAE26-5F3F-49CB-AF8D-777804B83F72}" xr6:coauthVersionLast="47" xr6:coauthVersionMax="47" xr10:uidLastSave="{00000000-0000-0000-0000-000000000000}"/>
  <bookViews>
    <workbookView xWindow="-120" yWindow="-120" windowWidth="20730" windowHeight="11040" firstSheet="1" activeTab="6" xr2:uid="{00000000-000D-0000-FFFF-FFFF00000000}"/>
  </bookViews>
  <sheets>
    <sheet name="Admissões" sheetId="1" r:id="rId1"/>
    <sheet name="Experiência 1" sheetId="2" r:id="rId2"/>
    <sheet name="Experiência 2" sheetId="3" r:id="rId3"/>
    <sheet name="Afastamentos" sheetId="5" r:id="rId4"/>
    <sheet name="Férias" sheetId="4" r:id="rId5"/>
    <sheet name="Rescisões" sheetId="6" r:id="rId6"/>
    <sheet name="Aniversariantes" sheetId="7" r:id="rId7"/>
    <sheet name="Aniversariantes T de Casa " sheetId="8" r:id="rId8"/>
    <sheet name="Gestores " sheetId="10" r:id="rId9"/>
    <sheet name="Sul América " sheetId="11" r:id="rId10"/>
  </sheets>
  <definedNames>
    <definedName name="_xlnm._FilterDatabase" localSheetId="0" hidden="1">Admissões!$A$2:$K$172</definedName>
    <definedName name="_xlnm._FilterDatabase" localSheetId="6" hidden="1">Aniversariantes!$A$4:$E$134</definedName>
    <definedName name="_xlnm._FilterDatabase" localSheetId="7" hidden="1">'Aniversariantes T de Casa '!$A$1:$E$126</definedName>
    <definedName name="_xlnm._FilterDatabase" localSheetId="1" hidden="1">'Experiência 1'!$A$2:$C$2</definedName>
    <definedName name="_xlnm._FilterDatabase" localSheetId="2" hidden="1">'Experiência 2'!$A$2:$D$41</definedName>
    <definedName name="_xlnm._FilterDatabase" localSheetId="4" hidden="1">Férias!$A$2:$L$90</definedName>
    <definedName name="_xlnm._FilterDatabase" localSheetId="5" hidden="1">Rescisões!$A$2:$K$146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3" i="8" l="1"/>
  <c r="D124" i="8"/>
  <c r="D125" i="8"/>
  <c r="D126" i="8"/>
  <c r="C163" i="3"/>
  <c r="C162" i="3"/>
  <c r="C161" i="3"/>
  <c r="D161" i="3"/>
  <c r="D162" i="3"/>
  <c r="D163" i="3"/>
  <c r="C167" i="2"/>
  <c r="C168" i="2"/>
  <c r="C169" i="2"/>
  <c r="D122" i="8"/>
  <c r="D121" i="8"/>
  <c r="D120" i="8"/>
  <c r="D119" i="8"/>
  <c r="D157" i="3"/>
  <c r="D158" i="3"/>
  <c r="D159" i="3"/>
  <c r="D160" i="3"/>
  <c r="C160" i="3"/>
  <c r="C159" i="3"/>
  <c r="C158" i="3"/>
  <c r="C157" i="3"/>
  <c r="C163" i="2"/>
  <c r="C164" i="2"/>
  <c r="C165" i="2"/>
  <c r="C166" i="2"/>
  <c r="F137" i="4"/>
  <c r="D154" i="3"/>
  <c r="C154" i="3"/>
  <c r="C160" i="2"/>
  <c r="D118" i="8"/>
  <c r="D116" i="8"/>
  <c r="D117" i="8"/>
  <c r="D155" i="3"/>
  <c r="D156" i="3"/>
  <c r="C156" i="3"/>
  <c r="C155" i="3"/>
  <c r="C162" i="2"/>
  <c r="C161" i="2"/>
  <c r="D106" i="8"/>
  <c r="D107" i="8"/>
  <c r="D108" i="8"/>
  <c r="D109" i="8"/>
  <c r="D110" i="8"/>
  <c r="D111" i="8"/>
  <c r="D112" i="8"/>
  <c r="D113" i="8"/>
  <c r="D114" i="8"/>
  <c r="D115" i="8"/>
  <c r="D2" i="8"/>
  <c r="D10" i="5"/>
  <c r="I133" i="4"/>
  <c r="F143" i="6"/>
  <c r="D37" i="8"/>
  <c r="D38" i="8"/>
  <c r="D39" i="8"/>
  <c r="D40" i="8"/>
  <c r="F133" i="4"/>
  <c r="D150" i="3"/>
  <c r="D151" i="3"/>
  <c r="D152" i="3"/>
  <c r="D153" i="3"/>
  <c r="C153" i="3"/>
  <c r="C152" i="3"/>
  <c r="C151" i="3"/>
  <c r="C150" i="3"/>
  <c r="C149" i="3"/>
  <c r="C148" i="3"/>
  <c r="C147" i="3"/>
  <c r="C146" i="3"/>
  <c r="C155" i="2"/>
  <c r="C154" i="2"/>
  <c r="C156" i="2"/>
  <c r="C157" i="2"/>
  <c r="C158" i="2"/>
  <c r="C159" i="2"/>
  <c r="F132" i="4"/>
  <c r="D102" i="8"/>
  <c r="D103" i="8"/>
  <c r="D104" i="8"/>
  <c r="D105" i="8"/>
  <c r="D144" i="3"/>
  <c r="D145" i="3"/>
  <c r="D146" i="3"/>
  <c r="D147" i="3"/>
  <c r="D148" i="3"/>
  <c r="D149" i="3"/>
  <c r="C145" i="3"/>
  <c r="C144" i="3"/>
  <c r="C150" i="2"/>
  <c r="C151" i="2"/>
  <c r="C152" i="2"/>
  <c r="C153" i="2"/>
  <c r="F135" i="4"/>
  <c r="D9" i="5"/>
  <c r="D136" i="3"/>
  <c r="D126" i="3"/>
  <c r="D127" i="3"/>
  <c r="D128" i="3"/>
  <c r="D129" i="3"/>
  <c r="D130" i="3"/>
  <c r="D131" i="3"/>
  <c r="D132" i="3"/>
  <c r="D133" i="3"/>
  <c r="D134" i="3"/>
  <c r="D135" i="3"/>
  <c r="D137" i="3"/>
  <c r="D138" i="3"/>
  <c r="D139" i="3"/>
  <c r="D140" i="3"/>
  <c r="D141" i="3"/>
  <c r="D142" i="3"/>
  <c r="D143" i="3"/>
  <c r="D125" i="3"/>
  <c r="C11" i="3"/>
  <c r="D11" i="3" s="1"/>
  <c r="C12" i="3"/>
  <c r="D12" i="3" s="1"/>
  <c r="C13" i="3"/>
  <c r="D13" i="3" s="1"/>
  <c r="C14" i="3"/>
  <c r="D14" i="3" s="1"/>
  <c r="C15" i="3"/>
  <c r="D15" i="3" s="1"/>
  <c r="C16" i="3"/>
  <c r="D16" i="3" s="1"/>
  <c r="C17" i="3"/>
  <c r="D17" i="3" s="1"/>
  <c r="C18" i="3"/>
  <c r="D18" i="3" s="1"/>
  <c r="C19" i="3"/>
  <c r="D19" i="3" s="1"/>
  <c r="C20" i="3"/>
  <c r="D20" i="3" s="1"/>
  <c r="C21" i="3"/>
  <c r="D21" i="3" s="1"/>
  <c r="C22" i="3"/>
  <c r="D22" i="3" s="1"/>
  <c r="C23" i="3"/>
  <c r="D23" i="3" s="1"/>
  <c r="C24" i="3"/>
  <c r="D24" i="3" s="1"/>
  <c r="C25" i="3"/>
  <c r="D25" i="3" s="1"/>
  <c r="C26" i="3"/>
  <c r="D26" i="3" s="1"/>
  <c r="C27" i="3"/>
  <c r="D27" i="3" s="1"/>
  <c r="C28" i="3"/>
  <c r="D28" i="3" s="1"/>
  <c r="C29" i="3"/>
  <c r="D29" i="3" s="1"/>
  <c r="C30" i="3"/>
  <c r="D30" i="3" s="1"/>
  <c r="C31" i="3"/>
  <c r="D31" i="3" s="1"/>
  <c r="C32" i="3"/>
  <c r="D32" i="3" s="1"/>
  <c r="C33" i="3"/>
  <c r="D33" i="3" s="1"/>
  <c r="C34" i="3"/>
  <c r="D34" i="3" s="1"/>
  <c r="C35" i="3"/>
  <c r="D35" i="3" s="1"/>
  <c r="C36" i="3"/>
  <c r="D36" i="3" s="1"/>
  <c r="C37" i="3"/>
  <c r="D37" i="3" s="1"/>
  <c r="C38" i="3"/>
  <c r="D38" i="3" s="1"/>
  <c r="C39" i="3"/>
  <c r="D39" i="3" s="1"/>
  <c r="C40" i="3"/>
  <c r="D40" i="3" s="1"/>
  <c r="C41" i="3"/>
  <c r="D41" i="3" s="1"/>
  <c r="C42" i="3"/>
  <c r="D42" i="3" s="1"/>
  <c r="C43" i="3"/>
  <c r="D43" i="3" s="1"/>
  <c r="C44" i="3"/>
  <c r="D44" i="3" s="1"/>
  <c r="C45" i="3"/>
  <c r="D45" i="3" s="1"/>
  <c r="C46" i="3"/>
  <c r="D46" i="3" s="1"/>
  <c r="C47" i="3"/>
  <c r="D47" i="3" s="1"/>
  <c r="C48" i="3"/>
  <c r="D48" i="3" s="1"/>
  <c r="C49" i="3"/>
  <c r="D49" i="3" s="1"/>
  <c r="C50" i="3"/>
  <c r="D50" i="3" s="1"/>
  <c r="C51" i="3"/>
  <c r="D51" i="3" s="1"/>
  <c r="C52" i="3"/>
  <c r="D52" i="3" s="1"/>
  <c r="C53" i="3"/>
  <c r="D53" i="3" s="1"/>
  <c r="C54" i="3"/>
  <c r="D54" i="3" s="1"/>
  <c r="C55" i="3"/>
  <c r="D55" i="3" s="1"/>
  <c r="C56" i="3"/>
  <c r="D56" i="3" s="1"/>
  <c r="C57" i="3"/>
  <c r="D57" i="3" s="1"/>
  <c r="C58" i="3"/>
  <c r="D58" i="3" s="1"/>
  <c r="C59" i="3"/>
  <c r="D59" i="3" s="1"/>
  <c r="C60" i="3"/>
  <c r="D60" i="3" s="1"/>
  <c r="C61" i="3"/>
  <c r="D61" i="3" s="1"/>
  <c r="C62" i="3"/>
  <c r="D62" i="3" s="1"/>
  <c r="C63" i="3"/>
  <c r="D63" i="3" s="1"/>
  <c r="C64" i="3"/>
  <c r="D64" i="3" s="1"/>
  <c r="C65" i="3"/>
  <c r="D65" i="3" s="1"/>
  <c r="C66" i="3"/>
  <c r="D66" i="3" s="1"/>
  <c r="C67" i="3"/>
  <c r="D67" i="3" s="1"/>
  <c r="C68" i="3"/>
  <c r="D68" i="3" s="1"/>
  <c r="C69" i="3"/>
  <c r="D69" i="3" s="1"/>
  <c r="C70" i="3"/>
  <c r="D70" i="3" s="1"/>
  <c r="C71" i="3"/>
  <c r="D71" i="3" s="1"/>
  <c r="C72" i="3"/>
  <c r="D72" i="3" s="1"/>
  <c r="C73" i="3"/>
  <c r="D73" i="3" s="1"/>
  <c r="C74" i="3"/>
  <c r="D74" i="3" s="1"/>
  <c r="C75" i="3"/>
  <c r="D75" i="3" s="1"/>
  <c r="C76" i="3"/>
  <c r="D76" i="3" s="1"/>
  <c r="C77" i="3"/>
  <c r="D77" i="3" s="1"/>
  <c r="C78" i="3"/>
  <c r="D78" i="3" s="1"/>
  <c r="C79" i="3"/>
  <c r="D79" i="3" s="1"/>
  <c r="C80" i="3"/>
  <c r="D80" i="3" s="1"/>
  <c r="C81" i="3"/>
  <c r="D81" i="3" s="1"/>
  <c r="C82" i="3"/>
  <c r="D82" i="3" s="1"/>
  <c r="C83" i="3"/>
  <c r="D83" i="3" s="1"/>
  <c r="C84" i="3"/>
  <c r="D84" i="3" s="1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D100" i="3" s="1"/>
  <c r="C101" i="3"/>
  <c r="D101" i="3" s="1"/>
  <c r="C102" i="3"/>
  <c r="D102" i="3" s="1"/>
  <c r="C103" i="3"/>
  <c r="D103" i="3" s="1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31" i="2"/>
  <c r="D7" i="5"/>
  <c r="D8" i="5"/>
  <c r="D114" i="3"/>
  <c r="D115" i="3"/>
  <c r="D116" i="3"/>
  <c r="D117" i="3"/>
  <c r="D118" i="3"/>
  <c r="D119" i="3"/>
  <c r="D120" i="3"/>
  <c r="D121" i="3"/>
  <c r="D122" i="3"/>
  <c r="D123" i="3"/>
  <c r="D124" i="3"/>
  <c r="D113" i="3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F129" i="4"/>
  <c r="F134" i="4"/>
  <c r="F126" i="4"/>
  <c r="F131" i="4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F124" i="4"/>
  <c r="F121" i="4"/>
  <c r="F127" i="4"/>
  <c r="F119" i="4"/>
  <c r="F120" i="4"/>
  <c r="F141" i="4"/>
  <c r="F117" i="4"/>
  <c r="F118" i="4"/>
  <c r="F122" i="4"/>
  <c r="F125" i="4"/>
  <c r="F112" i="4"/>
  <c r="F111" i="4"/>
  <c r="F115" i="4"/>
  <c r="E99" i="6"/>
  <c r="D80" i="6"/>
  <c r="F73" i="6"/>
  <c r="E72" i="6"/>
  <c r="H56" i="6"/>
  <c r="H55" i="6"/>
  <c r="H54" i="6"/>
  <c r="F53" i="6"/>
  <c r="E50" i="6"/>
  <c r="H40" i="6"/>
  <c r="F40" i="6"/>
  <c r="F26" i="6"/>
  <c r="H19" i="6"/>
  <c r="F17" i="6"/>
  <c r="H16" i="6"/>
  <c r="E14" i="6"/>
  <c r="H5" i="6"/>
  <c r="D6" i="5"/>
  <c r="D4" i="5"/>
  <c r="D3" i="5"/>
  <c r="F140" i="4"/>
  <c r="F138" i="4"/>
  <c r="F116" i="4"/>
  <c r="F114" i="4"/>
  <c r="F113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2" i="4"/>
  <c r="F91" i="4"/>
  <c r="F89" i="4"/>
  <c r="F60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6" i="4"/>
  <c r="F35" i="4"/>
  <c r="F34" i="4"/>
  <c r="F33" i="4"/>
  <c r="F32" i="4"/>
  <c r="F31" i="4"/>
  <c r="F28" i="4"/>
  <c r="F27" i="4"/>
  <c r="F26" i="4"/>
  <c r="F25" i="4"/>
  <c r="F24" i="4"/>
  <c r="F23" i="4"/>
  <c r="F22" i="4"/>
  <c r="F21" i="4"/>
  <c r="F19" i="4"/>
  <c r="F18" i="4"/>
  <c r="F16" i="4"/>
  <c r="F7" i="4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10" i="3"/>
  <c r="D9" i="3"/>
  <c r="D8" i="3"/>
  <c r="D7" i="3"/>
  <c r="D6" i="3"/>
  <c r="D5" i="3"/>
  <c r="D4" i="3"/>
  <c r="D3" i="3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tc={44180ABC-94A1-45F5-869A-31E6CE8AEE40}</author>
  </authors>
  <commentList>
    <comment ref="I20" authorId="0" shapeId="0" xr:uid="{44180ABC-94A1-45F5-869A-31E6CE8AEE4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+ R$500,00 bonificação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tc={00980009-00C8-4062-A0F6-0044008F00B3}</author>
    <author>tc={00580095-00F2-4E9A-ABDB-00D0004300E4}</author>
    <author>tc={00210079-008A-467E-AB07-0036007A00FB}</author>
  </authors>
  <commentList>
    <comment ref="C17" authorId="0" shapeId="0" xr:uid="{00980009-00C8-4062-A0F6-0044008F00B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Começa na expansão dia 25/04 impossibiltando uma análise de experiência no 1º período 
</t>
      </text>
    </comment>
    <comment ref="C24" authorId="1" shapeId="0" xr:uid="{00580095-00F2-4E9A-ABDB-00D0004300E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prazo de contrato de experiência alterado ppr Bruno para 15 dias 
</t>
      </text>
    </comment>
    <comment ref="C38" authorId="2" shapeId="0" xr:uid="{00210079-008A-467E-AB07-0036007A00F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15 dias experiência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tc={0081005D-00DA-45CC-8167-0051006C00BA}</author>
    <author>tc={002900DA-002D-4C96-ABC8-00B2001200FA}</author>
    <author>tc={006F00FE-0054-45BF-B362-001C00AC0024}</author>
  </authors>
  <commentList>
    <comment ref="D2" authorId="0" shapeId="0" xr:uid="{0081005D-00DA-45CC-8167-0051006C00B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+ 89
</t>
      </text>
    </comment>
    <comment ref="C24" authorId="1" shapeId="0" xr:uid="{002900DA-002D-4C96-ABC8-00B2001200F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Começa na expansão dia 25/04 impossibiltando uma análise de experiência no 1º período 
</t>
      </text>
    </comment>
    <comment ref="D24" authorId="2" shapeId="0" xr:uid="{006F00FE-0054-45BF-B362-001C00AC002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Alterar setor, cargo e salário para Consultor de expansão - closer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tc={007E00C1-0042-430A-B8F9-00E8006800AC}</author>
  </authors>
  <commentList>
    <comment ref="D6" authorId="0" shapeId="0" xr:uid="{007E00C1-0042-430A-B8F9-00E8006800A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Antecipou retorno pro dia 16/04
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tc={00CD00CC-0024-4F81-B04A-0009003C00B8}</author>
    <author>tc={006000BA-00F5-43E9-9BFA-0024000800C9}</author>
    <author>tc={006A0031-0025-4158-B3D5-00CC001C007F}</author>
    <author>tc={00D10010-0093-4304-AB9F-009700C50094}</author>
    <author>tc={009D0028-0024-4976-AFFB-00CD001700D7}</author>
  </authors>
  <commentList>
    <comment ref="E24" authorId="0" shapeId="0" xr:uid="{00CD00CC-0024-4F81-B04A-0009003C00B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Retorno licença maternidade
</t>
      </text>
    </comment>
    <comment ref="E26" authorId="1" shapeId="0" xr:uid="{006000BA-00F5-43E9-9BFA-0024000800C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gozo: 09/06
</t>
      </text>
    </comment>
    <comment ref="F26" authorId="2" shapeId="0" xr:uid="{006A0031-0025-4158-B3D5-00CC001C007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08/07/2025
</t>
      </text>
    </comment>
    <comment ref="E31" authorId="3" shapeId="0" xr:uid="{00D10010-0093-4304-AB9F-009700C5009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Retorno licença maternidade 
</t>
      </text>
    </comment>
    <comment ref="E37" authorId="4" shapeId="0" xr:uid="{009D0028-0024-4976-AFFB-00CD001700D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dias oficialemnte gozados: 
10 dias - 01/09 a 10/09 
10 dias - 17/11 26/11
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tc={006400D0-0057-4133-90F7-00C800B7007B}</author>
    <author>tc={00430015-0058-4472-AC86-001B00D3008A}</author>
  </authors>
  <commentList>
    <comment ref="J5" authorId="0" shapeId="0" xr:uid="{006400D0-0057-4133-90F7-00C800B7007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Antecipação FGTS mensal 
</t>
      </text>
    </comment>
    <comment ref="A16" authorId="1" shapeId="0" xr:uid="{00430015-0058-4472-AC86-001B00D3008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Acordo
</t>
      </text>
    </comment>
  </commentList>
</comments>
</file>

<file path=xl/sharedStrings.xml><?xml version="1.0" encoding="utf-8"?>
<sst xmlns="http://schemas.openxmlformats.org/spreadsheetml/2006/main" count="3491" uniqueCount="1170">
  <si>
    <t xml:space="preserve">COLABORADOR </t>
  </si>
  <si>
    <t>CPF</t>
  </si>
  <si>
    <t xml:space="preserve">NASCIMENTO </t>
  </si>
  <si>
    <t>CONTRATAÇÃO</t>
  </si>
  <si>
    <t>CARGO</t>
  </si>
  <si>
    <t>DATA ADMISSÃO</t>
  </si>
  <si>
    <t>ESCALA</t>
  </si>
  <si>
    <t xml:space="preserve">HORÁRIO </t>
  </si>
  <si>
    <t>SALÁRIO</t>
  </si>
  <si>
    <t>ALIMENTAÇÃO</t>
  </si>
  <si>
    <t xml:space="preserve">VT /  MOBILIDADE </t>
  </si>
  <si>
    <t>Rafael Arcanjo França Cavalcante de Macêdo</t>
  </si>
  <si>
    <t>143.486.894-07</t>
  </si>
  <si>
    <t>CLT</t>
  </si>
  <si>
    <t>Analista de TI</t>
  </si>
  <si>
    <t>6X1</t>
  </si>
  <si>
    <t>13:40 às 22:00</t>
  </si>
  <si>
    <t>Mobilidade</t>
  </si>
  <si>
    <t>Faumar do Santos Câmara</t>
  </si>
  <si>
    <t>072.650.714-84</t>
  </si>
  <si>
    <t xml:space="preserve">Vale Transporte </t>
  </si>
  <si>
    <t>Felipe Leonhardsen Dias de Paiva Lira</t>
  </si>
  <si>
    <t>117.915.504-10</t>
  </si>
  <si>
    <t>09:00 ÀS 17:20</t>
  </si>
  <si>
    <t xml:space="preserve">Lucas de Oliveira Sacramento </t>
  </si>
  <si>
    <t>034.567.982-29</t>
  </si>
  <si>
    <t xml:space="preserve">Arthur Veloso Barbosa </t>
  </si>
  <si>
    <t>014.162.744-13</t>
  </si>
  <si>
    <t xml:space="preserve">José Matheus Oliveira de Lima </t>
  </si>
  <si>
    <t>705.169.744-75</t>
  </si>
  <si>
    <t xml:space="preserve">6X1 </t>
  </si>
  <si>
    <t xml:space="preserve">Folguista </t>
  </si>
  <si>
    <t>Larissa  Alves de Lima</t>
  </si>
  <si>
    <t>480.474.368-56</t>
  </si>
  <si>
    <t xml:space="preserve">Consultor de Expansão (Closer) </t>
  </si>
  <si>
    <t xml:space="preserve">segunda à sexta </t>
  </si>
  <si>
    <t>08:30 às 17:30</t>
  </si>
  <si>
    <t>PJ</t>
  </si>
  <si>
    <t>Davi Xavier de Medeiros Barbosa</t>
  </si>
  <si>
    <t>107.053.644-02</t>
  </si>
  <si>
    <t>Auxiliar Técnico</t>
  </si>
  <si>
    <t xml:space="preserve">segunda à sáb  </t>
  </si>
  <si>
    <t>08:30 às 17:30 | 08:00 às 12:00</t>
  </si>
  <si>
    <t>Joálisson Fernando Santos de Assis</t>
  </si>
  <si>
    <t>710.395.014-86</t>
  </si>
  <si>
    <t xml:space="preserve">Francisco Diego de Macedo Dantas </t>
  </si>
  <si>
    <t>057.591.204-92</t>
  </si>
  <si>
    <t xml:space="preserve">Paulo Vinícius Laurentino </t>
  </si>
  <si>
    <t>107.699.694-96</t>
  </si>
  <si>
    <t xml:space="preserve">Lívia Jesus Almeida de Lira </t>
  </si>
  <si>
    <t>703.859.144-40</t>
  </si>
  <si>
    <t xml:space="preserve">Estagiário Arquitetura </t>
  </si>
  <si>
    <t>09:00 às 16:00</t>
  </si>
  <si>
    <t xml:space="preserve">Thalles Albuquerque da Silva </t>
  </si>
  <si>
    <t>038.273.602-85</t>
  </si>
  <si>
    <t xml:space="preserve">Auxiliar de Expansão (SDR) </t>
  </si>
  <si>
    <t xml:space="preserve">Emmanuel de Matos Aurélio </t>
  </si>
  <si>
    <t>080.042.284-88</t>
  </si>
  <si>
    <t xml:space="preserve">Coordenador de Internacionalização </t>
  </si>
  <si>
    <t xml:space="preserve">Beatriz da Costa Trigueiro </t>
  </si>
  <si>
    <t>716.054.384-05</t>
  </si>
  <si>
    <t xml:space="preserve">Analista de Recrutamento e Seleção </t>
  </si>
  <si>
    <t xml:space="preserve">Bianca Gouveia Galvão </t>
  </si>
  <si>
    <t>918.801.147-04</t>
  </si>
  <si>
    <t xml:space="preserve">Analista de Recursos Humanos </t>
  </si>
  <si>
    <t xml:space="preserve">Sidney Rogério Ciraulo Marques </t>
  </si>
  <si>
    <t>066.175.394-86</t>
  </si>
  <si>
    <t>Técnico Montagem II</t>
  </si>
  <si>
    <t>Ernane Nogueira Nunes</t>
  </si>
  <si>
    <t>021.901.483-32</t>
  </si>
  <si>
    <t xml:space="preserve">Anderson Carvalho da Silva </t>
  </si>
  <si>
    <t>715.755.424-04</t>
  </si>
  <si>
    <t>Matheus Enrich Cavalcanti Vieira de Souza</t>
  </si>
  <si>
    <t>702.894.774-25</t>
  </si>
  <si>
    <t> 01/10/1996</t>
  </si>
  <si>
    <t xml:space="preserve">Karoline Ferreira de Azevedo </t>
  </si>
  <si>
    <t>706.358.914-84</t>
  </si>
  <si>
    <t xml:space="preserve">Analista Contábil </t>
  </si>
  <si>
    <t>Pix</t>
  </si>
  <si>
    <t>José Xavier da Rocha Filho</t>
  </si>
  <si>
    <t>081.058.034-96</t>
  </si>
  <si>
    <t xml:space="preserve"> Mobilidade</t>
  </si>
  <si>
    <t xml:space="preserve">Douglas de Medeiros Barbosa </t>
  </si>
  <si>
    <t>073.513.824-92</t>
  </si>
  <si>
    <t>Jemima Laís Dias Martins</t>
  </si>
  <si>
    <t>707.169.714-02</t>
  </si>
  <si>
    <t>Analista de CS</t>
  </si>
  <si>
    <t>Felipe Cordeiro Queiroz de Oliveira Lima</t>
  </si>
  <si>
    <t>087.537.474-37</t>
  </si>
  <si>
    <t>Videomaker</t>
  </si>
  <si>
    <t>Willams Ferreira de Souza</t>
  </si>
  <si>
    <t>068.379.554-62</t>
  </si>
  <si>
    <t>Analista de BI</t>
  </si>
  <si>
    <t xml:space="preserve">Ricardo Mendes Silva Luna </t>
  </si>
  <si>
    <t>084.295.624-78</t>
  </si>
  <si>
    <t xml:space="preserve">Analista de Performance </t>
  </si>
  <si>
    <t xml:space="preserve">Charles Fernandes da Silva </t>
  </si>
  <si>
    <t>034.014.391-62</t>
  </si>
  <si>
    <t>Supervisor Técnico</t>
  </si>
  <si>
    <t>Lidiane Ferst</t>
  </si>
  <si>
    <t>809.617.110-00</t>
  </si>
  <si>
    <t xml:space="preserve">Concierge de Negócios </t>
  </si>
  <si>
    <t xml:space="preserve">Andressa Marcia Pereira da Silva  Castro </t>
  </si>
  <si>
    <t>105.141.054-10</t>
  </si>
  <si>
    <t xml:space="preserve">Fabrício Alves Gregório </t>
  </si>
  <si>
    <t>017.698.645-63</t>
  </si>
  <si>
    <t xml:space="preserve">Cauã Silveira Caminha </t>
  </si>
  <si>
    <t>961.534.662-49</t>
  </si>
  <si>
    <t xml:space="preserve">Analista de Onboarding </t>
  </si>
  <si>
    <t>Aurian Silva Rodrigues Dos Santos</t>
  </si>
  <si>
    <t>122.288.994-37</t>
  </si>
  <si>
    <t>Andrew Arthur Rodrigues de Melo</t>
  </si>
  <si>
    <t>101.400.054-80</t>
  </si>
  <si>
    <t>07:00 às 15:20</t>
  </si>
  <si>
    <t xml:space="preserve">João Carlos Fidelis Garcia da Silva </t>
  </si>
  <si>
    <t>096.942.764-62</t>
  </si>
  <si>
    <t>Rafael dos Santos Sousa</t>
  </si>
  <si>
    <t>112.490.014-47</t>
  </si>
  <si>
    <t>Luiz Gonzaga de Albuquerque Montenegro Neto</t>
  </si>
  <si>
    <t>060.671.204-61</t>
  </si>
  <si>
    <t xml:space="preserve">Anderson Almeida do Nascimento </t>
  </si>
  <si>
    <t>702.576.024-29</t>
  </si>
  <si>
    <t xml:space="preserve">Auxiliar Operacional </t>
  </si>
  <si>
    <t>Matheus Alexsandro Amaral de Medeiros</t>
  </si>
  <si>
    <t>131.910.344-80</t>
  </si>
  <si>
    <t xml:space="preserve">Jonathas do Carmo Rodrigues </t>
  </si>
  <si>
    <t>055.007134-26</t>
  </si>
  <si>
    <t xml:space="preserve">08:30 às 17:30 sábado Home </t>
  </si>
  <si>
    <t xml:space="preserve">Thiago Lima de Oliveira </t>
  </si>
  <si>
    <t>109.758.604-92</t>
  </si>
  <si>
    <t xml:space="preserve"> 29/09/2001</t>
  </si>
  <si>
    <t>-</t>
  </si>
  <si>
    <t xml:space="preserve">Francisco de Assis Fernandes Junior </t>
  </si>
  <si>
    <t>008.250.512-11</t>
  </si>
  <si>
    <t xml:space="preserve">Designer Gráfico </t>
  </si>
  <si>
    <t xml:space="preserve">Luciana Valente Putini </t>
  </si>
  <si>
    <t>252.537.498-37</t>
  </si>
  <si>
    <t>Epaminondas da Costa Mesquita Junior</t>
  </si>
  <si>
    <t>268.301.162-87</t>
  </si>
  <si>
    <t>Guilherme José Ribeiro Sulz</t>
  </si>
  <si>
    <t>132.447.346-00</t>
  </si>
  <si>
    <t>Analista de Projetos</t>
  </si>
  <si>
    <t>Jessica Hiolanda Correia da Cunha</t>
  </si>
  <si>
    <t>016.972.084-52</t>
  </si>
  <si>
    <t xml:space="preserve">Auxiliar Administrativo </t>
  </si>
  <si>
    <t>Daniel Araújo Lima dos Santos</t>
  </si>
  <si>
    <t>708.199.494-69</t>
  </si>
  <si>
    <t>José Kennedy Kovarik de Souza Silva</t>
  </si>
  <si>
    <t>088.116.854-86</t>
  </si>
  <si>
    <t>Thiago Lins Sales</t>
  </si>
  <si>
    <t>012.936.394-43</t>
  </si>
  <si>
    <t>Gean Nogueira de Lima</t>
  </si>
  <si>
    <t>706.164.611-00</t>
  </si>
  <si>
    <t>Jeysa Alecsandra Marinho da Silva</t>
  </si>
  <si>
    <t>127.438.064-27</t>
  </si>
  <si>
    <t xml:space="preserve">Auxiliar Contábil </t>
  </si>
  <si>
    <t xml:space="preserve">Tássio Pedroza Galvão </t>
  </si>
  <si>
    <t>132.641.784-35</t>
  </si>
  <si>
    <t xml:space="preserve">Mateus do Nascimento Brito </t>
  </si>
  <si>
    <t>703.964.114-36</t>
  </si>
  <si>
    <t xml:space="preserve">Auxiliar de Onboarding </t>
  </si>
  <si>
    <t xml:space="preserve">Daniella de Oliveira Silva </t>
  </si>
  <si>
    <t>007.358.364-26</t>
  </si>
  <si>
    <t>Gustavo Hudson Marinho Dornelas</t>
  </si>
  <si>
    <t>700.527.144-03</t>
  </si>
  <si>
    <t>Hugo Raffael Andrade Vasconcelos</t>
  </si>
  <si>
    <t>107.653.824-07</t>
  </si>
  <si>
    <t>Alesandro da Mata Silva</t>
  </si>
  <si>
    <t>706.366.124-81</t>
  </si>
  <si>
    <t>Micael Jordão Moura de Souza</t>
  </si>
  <si>
    <t>706.745.334-88</t>
  </si>
  <si>
    <t>6x2</t>
  </si>
  <si>
    <t>Jailso Maxwell da Silva Satiro</t>
  </si>
  <si>
    <t>093.822.234-10</t>
  </si>
  <si>
    <t xml:space="preserve">Samuel de Lima Carvalho </t>
  </si>
  <si>
    <t>492.348.788-76</t>
  </si>
  <si>
    <t xml:space="preserve">Caio Fernando Gouveia Carvalho </t>
  </si>
  <si>
    <t>114.839.004-95</t>
  </si>
  <si>
    <t>Jaelson Pereira da Silva</t>
  </si>
  <si>
    <t>110.749.764-79</t>
  </si>
  <si>
    <t>Arthur Alexandre dos Santos Cunha</t>
  </si>
  <si>
    <t>103.109.644-23</t>
  </si>
  <si>
    <t xml:space="preserve">Yuann Lemos Barreto </t>
  </si>
  <si>
    <t>099.561.774-07</t>
  </si>
  <si>
    <t xml:space="preserve">Jorge Bonfim Sulz Neto </t>
  </si>
  <si>
    <t>120.310.696-32</t>
  </si>
  <si>
    <t xml:space="preserve">Consultor Comercial </t>
  </si>
  <si>
    <t xml:space="preserve">Thamires Mikaelle Ramalho da Nóbrega </t>
  </si>
  <si>
    <t>084.904.764-11</t>
  </si>
  <si>
    <t xml:space="preserve">Rafael Henrique Ribeiro Amancio </t>
  </si>
  <si>
    <t>112.376.024-16</t>
  </si>
  <si>
    <t xml:space="preserve">Raira Conceição dos Santos Sena </t>
  </si>
  <si>
    <t>700.371.934-73</t>
  </si>
  <si>
    <t xml:space="preserve">Ruan Lucas França Machado </t>
  </si>
  <si>
    <t>122.818.714-28</t>
  </si>
  <si>
    <t xml:space="preserve">Pietrus Soares Lavor </t>
  </si>
  <si>
    <t>052.333.104-57</t>
  </si>
  <si>
    <t xml:space="preserve">Sofia Cavalcanti de Morais Coutinho </t>
  </si>
  <si>
    <t>110.111.254-98</t>
  </si>
  <si>
    <t>Giovanna Ravine Cordeiro dos Anjos Sales</t>
  </si>
  <si>
    <t>123.222.304-21</t>
  </si>
  <si>
    <t xml:space="preserve">Matheus de Oliveira Rocha </t>
  </si>
  <si>
    <t>705.209.784-20</t>
  </si>
  <si>
    <t xml:space="preserve">Analista de Planejamento e Conteúdo </t>
  </si>
  <si>
    <t xml:space="preserve">Isaac de Matos de Lima </t>
  </si>
  <si>
    <t>096.940.474-39</t>
  </si>
  <si>
    <t xml:space="preserve">Sérgio Euclides Meireles Gomes Junior </t>
  </si>
  <si>
    <t>063.269.134-46</t>
  </si>
  <si>
    <t xml:space="preserve">Maria Eduarda Moreira Ferreira </t>
  </si>
  <si>
    <t xml:space="preserve"> Analista de Relacionamento e Performance </t>
  </si>
  <si>
    <t xml:space="preserve">Anderson Lima Silva </t>
  </si>
  <si>
    <t>713.066.674-96</t>
  </si>
  <si>
    <t xml:space="preserve">Nicolas Michell Fragoso Toscano </t>
  </si>
  <si>
    <t>704.460.454-46</t>
  </si>
  <si>
    <t xml:space="preserve">Glauber Arlindo de Oliveira Silva </t>
  </si>
  <si>
    <t>056.043.494-45</t>
  </si>
  <si>
    <t>Rafael Miranda da Costa</t>
  </si>
  <si>
    <t>071.272.774-43</t>
  </si>
  <si>
    <t xml:space="preserve">Paulo Roberto da Silva Ferreira </t>
  </si>
  <si>
    <t>008.491.824-17</t>
  </si>
  <si>
    <t>Fillyphe Lucena</t>
  </si>
  <si>
    <t xml:space="preserve">Contábil / Controladoria </t>
  </si>
  <si>
    <t xml:space="preserve">Giovanna Oliveira Lima de Abreu Cavalcante </t>
  </si>
  <si>
    <t>007.600.614-08</t>
  </si>
  <si>
    <t xml:space="preserve">João Antonio Honorato Carvalho </t>
  </si>
  <si>
    <t>110.018.084-28</t>
  </si>
  <si>
    <t>Analista de Dados de BI</t>
  </si>
  <si>
    <t xml:space="preserve">Hiago Vinícius Montenegro de Farias </t>
  </si>
  <si>
    <t>120.801.244-47</t>
  </si>
  <si>
    <t>Jonatha Lisboa Soares</t>
  </si>
  <si>
    <t>098.175.724-39</t>
  </si>
  <si>
    <t>Helena Bispo da Conceição</t>
  </si>
  <si>
    <t>101.014.874-52</t>
  </si>
  <si>
    <t>Assistente Fiscal</t>
  </si>
  <si>
    <t>Leonardo Nascimento dos Santos</t>
  </si>
  <si>
    <t>086.634.824-77</t>
  </si>
  <si>
    <t>Analista Jurídico</t>
  </si>
  <si>
    <t>Demis Douglas Gomes Santos</t>
  </si>
  <si>
    <t>078.847.404-94</t>
  </si>
  <si>
    <t>Gerente de Novos Negócios</t>
  </si>
  <si>
    <t>Cicero Romao Santos Pereira</t>
  </si>
  <si>
    <t>085.734.575-38</t>
  </si>
  <si>
    <t xml:space="preserve">Analista de Performance e Trafego Pago </t>
  </si>
  <si>
    <t>Gustavo Rogers Orange Andrade</t>
  </si>
  <si>
    <t>703.766.244-50</t>
  </si>
  <si>
    <t>Samara de Pontes Coutinho</t>
  </si>
  <si>
    <t>065.447.864-38</t>
  </si>
  <si>
    <t xml:space="preserve">Elcio Leonardo Martins </t>
  </si>
  <si>
    <t>419.910.038-54</t>
  </si>
  <si>
    <t xml:space="preserve">Gerente Jurídico </t>
  </si>
  <si>
    <t>Yarlisson Vieira</t>
  </si>
  <si>
    <t>019.890.162-35</t>
  </si>
  <si>
    <t xml:space="preserve">Werlly Douglas dos Santos Rodrigos </t>
  </si>
  <si>
    <t>059.535.794-62</t>
  </si>
  <si>
    <t xml:space="preserve">Kamilly Fernandes Carvalho de Lacerda </t>
  </si>
  <si>
    <t>124.065.774-90</t>
  </si>
  <si>
    <t xml:space="preserve">Vanessa da Silva Aguiar </t>
  </si>
  <si>
    <t>704.282.824-07</t>
  </si>
  <si>
    <t xml:space="preserve">CLT </t>
  </si>
  <si>
    <t xml:space="preserve">Analista de Expansão </t>
  </si>
  <si>
    <t>Erllon Kildery Dutra de Lima</t>
  </si>
  <si>
    <t>080.272.804-94</t>
  </si>
  <si>
    <t>Petria Tereza da Silva Nascimento</t>
  </si>
  <si>
    <t>Pedro Vitor Pessanha Gomes da Silva</t>
  </si>
  <si>
    <t>171.455.807-05</t>
  </si>
  <si>
    <t xml:space="preserve">Anderson Gongalves Vasques </t>
  </si>
  <si>
    <t>037.444.431-59</t>
  </si>
  <si>
    <t xml:space="preserve">Filipe de Lima Santos </t>
  </si>
  <si>
    <t>098.016.654-32</t>
  </si>
  <si>
    <t xml:space="preserve">Especialista Fiscal e Contábil </t>
  </si>
  <si>
    <t>Jeniffer Alves da Silca</t>
  </si>
  <si>
    <t>701.556.604-46</t>
  </si>
  <si>
    <t>Givanildo dos Santos Silva Junior</t>
  </si>
  <si>
    <t>191.991.257-65</t>
  </si>
  <si>
    <t>13:40 as 22:00</t>
  </si>
  <si>
    <t xml:space="preserve">Joao Victor Alexandre Santos de Sousa </t>
  </si>
  <si>
    <t>130.472.164-79</t>
  </si>
  <si>
    <t>10:40 as 19:00</t>
  </si>
  <si>
    <t xml:space="preserve">Fabiano de Almeida Mendes de Oliveira </t>
  </si>
  <si>
    <t>077.609.124-71</t>
  </si>
  <si>
    <t>Analista de Expansão - SDR</t>
  </si>
  <si>
    <t xml:space="preserve">Mateus Ferreira de Lima </t>
  </si>
  <si>
    <t>703.722.604-11</t>
  </si>
  <si>
    <t xml:space="preserve">Analista de Compras </t>
  </si>
  <si>
    <t xml:space="preserve">Danilo Tavares de Oliveira </t>
  </si>
  <si>
    <t>106.901.364-12</t>
  </si>
  <si>
    <t xml:space="preserve">Designer Grafico </t>
  </si>
  <si>
    <t xml:space="preserve">Paula Emanuelle Costa Cavalcante </t>
  </si>
  <si>
    <t>055.454.414-84</t>
  </si>
  <si>
    <t>Redator de Conteudo e Copywriter</t>
  </si>
  <si>
    <t>Loruama de Lima Felizardo</t>
  </si>
  <si>
    <t>701.128.484-27</t>
  </si>
  <si>
    <t>Desenvolvedor Pleno</t>
  </si>
  <si>
    <t xml:space="preserve">Leandro Simões Ferreira </t>
  </si>
  <si>
    <t>705.003.864-47</t>
  </si>
  <si>
    <t>Isadora Garcez Alves</t>
  </si>
  <si>
    <t>714.982.044-14</t>
  </si>
  <si>
    <t>Estagiaria de Desenvolvimento</t>
  </si>
  <si>
    <t>08:30 às 14h00</t>
  </si>
  <si>
    <t xml:space="preserve">Carolina Marques Magalhões Veras </t>
  </si>
  <si>
    <t>702.016.284-30</t>
  </si>
  <si>
    <t>Gilberto Andrade de Santana Junior</t>
  </si>
  <si>
    <t>716.905.124-90</t>
  </si>
  <si>
    <t>Analista Administrativo de Operações</t>
  </si>
  <si>
    <t>Lavinia Leticia Batista da Silva</t>
  </si>
  <si>
    <t>143.473.704-74</t>
  </si>
  <si>
    <t xml:space="preserve">Estagiária Jurídica </t>
  </si>
  <si>
    <t xml:space="preserve">Caio Nogueira Soares </t>
  </si>
  <si>
    <t>097.071.944-21</t>
  </si>
  <si>
    <t xml:space="preserve">Analista de TI </t>
  </si>
  <si>
    <t>13h40 as 22h00</t>
  </si>
  <si>
    <t xml:space="preserve">Anderson Moreira da Silva </t>
  </si>
  <si>
    <t>700.354.494-62</t>
  </si>
  <si>
    <t xml:space="preserve">José Lopes Sobrinho Neto </t>
  </si>
  <si>
    <t>108.717.614-08</t>
  </si>
  <si>
    <t xml:space="preserve">Vale transporte </t>
  </si>
  <si>
    <t xml:space="preserve">Carlos Miguel Lopes da Silva </t>
  </si>
  <si>
    <t>122.970.644-54</t>
  </si>
  <si>
    <t xml:space="preserve">Johnnathan Elvis Espindula Freire </t>
  </si>
  <si>
    <t>709.513.274-70</t>
  </si>
  <si>
    <t>Gabriel Carvalho ribeiro santos</t>
  </si>
  <si>
    <t>Analista de Segurança da Informação</t>
  </si>
  <si>
    <t>Desenvolvedor Junior</t>
  </si>
  <si>
    <t>148.298.974-30</t>
  </si>
  <si>
    <t>Analista de expansão</t>
  </si>
  <si>
    <t xml:space="preserve">PERÍODO DE EXPERIÊNCIA 1º PERÍODO </t>
  </si>
  <si>
    <t xml:space="preserve">ADMISSÃO </t>
  </si>
  <si>
    <t xml:space="preserve">1º PERÍODO </t>
  </si>
  <si>
    <t>14/01/2025</t>
  </si>
  <si>
    <t>,</t>
  </si>
  <si>
    <t xml:space="preserve">PERÍODO DE EXPERIÊNCIA 2º PERÍODO </t>
  </si>
  <si>
    <t xml:space="preserve">2º PERÍODO </t>
  </si>
  <si>
    <t xml:space="preserve">Anderson de Menezes Pereira </t>
  </si>
  <si>
    <t>06/11/2024</t>
  </si>
  <si>
    <t xml:space="preserve">André Luis Alves de Amorim Costa </t>
  </si>
  <si>
    <t xml:space="preserve">Lucas Bezerra dos Santos </t>
  </si>
  <si>
    <t>11/11/2024</t>
  </si>
  <si>
    <t xml:space="preserve">André Victor Barcia Duarte Furtado </t>
  </si>
  <si>
    <t>13/11/2024</t>
  </si>
  <si>
    <t>Marcelo Wanderley de Souza</t>
  </si>
  <si>
    <t>18/11/2024</t>
  </si>
  <si>
    <t>Leonardo Lopes da Luz</t>
  </si>
  <si>
    <t>19/11/2024</t>
  </si>
  <si>
    <t xml:space="preserve">Leanderson Cordeiro de Mascena </t>
  </si>
  <si>
    <t>21/11/2024</t>
  </si>
  <si>
    <t xml:space="preserve">Renato Rodrigues Leandro e Silva </t>
  </si>
  <si>
    <t xml:space="preserve">Bruna Carlucci Rosse </t>
  </si>
  <si>
    <t>02/12/2024</t>
  </si>
  <si>
    <t xml:space="preserve">Anderson Gonçalves Vasques </t>
  </si>
  <si>
    <t>Jeniffer Alves da Silva</t>
  </si>
  <si>
    <t xml:space="preserve">FÉRIAS </t>
  </si>
  <si>
    <t>DEPARTAMENTO</t>
  </si>
  <si>
    <t xml:space="preserve">PERÍODO AQUISITIVO </t>
  </si>
  <si>
    <t xml:space="preserve">DATA LIMITE </t>
  </si>
  <si>
    <t>INÍCIO GOZO</t>
  </si>
  <si>
    <t xml:space="preserve">FIM GOZO </t>
  </si>
  <si>
    <t xml:space="preserve">DIAS </t>
  </si>
  <si>
    <t xml:space="preserve">SITUAÇÃO </t>
  </si>
  <si>
    <t>VALOR</t>
  </si>
  <si>
    <t xml:space="preserve">PAGAMENTO </t>
  </si>
  <si>
    <t xml:space="preserve">VENCIMENTO </t>
  </si>
  <si>
    <t xml:space="preserve">ABONO PECUNIÁRIO </t>
  </si>
  <si>
    <t xml:space="preserve">Oseas Ricardo Felinto </t>
  </si>
  <si>
    <t xml:space="preserve">Técnica </t>
  </si>
  <si>
    <t xml:space="preserve">concluída </t>
  </si>
  <si>
    <t>José Marcos Trajano Da Silva</t>
  </si>
  <si>
    <t>Guilherme Torres Marinho Pires</t>
  </si>
  <si>
    <t xml:space="preserve">Jurídico </t>
  </si>
  <si>
    <t xml:space="preserve">Anderson Rodrigues De Vasconcelos </t>
  </si>
  <si>
    <t xml:space="preserve">João Victor Lima Dias Da Silva </t>
  </si>
  <si>
    <t>03/10/2023 - 02/10/2024</t>
  </si>
  <si>
    <t xml:space="preserve">Ana Beatriz De Farias Alves </t>
  </si>
  <si>
    <t xml:space="preserve">Marketing </t>
  </si>
  <si>
    <t>20/03/2023 - 19/03/2024</t>
  </si>
  <si>
    <t xml:space="preserve">Roberto Da Silva Bezerra </t>
  </si>
  <si>
    <t>05/10/2023 - 04/10/2024</t>
  </si>
  <si>
    <t xml:space="preserve">Celso  Mario Pereira Monteiro </t>
  </si>
  <si>
    <t>Consultoria</t>
  </si>
  <si>
    <t>15/02/2023 -14/02/20224</t>
  </si>
  <si>
    <t xml:space="preserve">Eric Melo De Oliveira Junior </t>
  </si>
  <si>
    <t>28/03/2023 - 27/03/2024</t>
  </si>
  <si>
    <t xml:space="preserve">Mônica Guilherme Da Silva </t>
  </si>
  <si>
    <t xml:space="preserve">Administração </t>
  </si>
  <si>
    <t>03/05/02023 - 02/05/2024</t>
  </si>
  <si>
    <t xml:space="preserve">Matteus Ramos Cabral Pessoa </t>
  </si>
  <si>
    <t>26/12/2022 - 25/12/2023</t>
  </si>
  <si>
    <t>Michael Victor Ramos Nunes</t>
  </si>
  <si>
    <t xml:space="preserve">Desenvolvimento </t>
  </si>
  <si>
    <t>13/04/2023 - 12/04/2024</t>
  </si>
  <si>
    <t xml:space="preserve">Rodolfo Matias De Lima </t>
  </si>
  <si>
    <t xml:space="preserve">Helpdesk </t>
  </si>
  <si>
    <t>03/04/2023 - 02/04/2024</t>
  </si>
  <si>
    <t xml:space="preserve">Arthur Rick De Morais Silva </t>
  </si>
  <si>
    <t>03/05/2023 - 02/05/2024</t>
  </si>
  <si>
    <t>10 dias</t>
  </si>
  <si>
    <t>Ivellyn Ramos De Oliveira Silva</t>
  </si>
  <si>
    <t xml:space="preserve">Gente E Gestão </t>
  </si>
  <si>
    <t xml:space="preserve">10 dias </t>
  </si>
  <si>
    <t>Priscila Da Rocha Oliveira</t>
  </si>
  <si>
    <t xml:space="preserve">Sucesso Do Cliente </t>
  </si>
  <si>
    <t>04/09/2023 - 03/09/2024</t>
  </si>
  <si>
    <t xml:space="preserve">Mahori Ferreira De Lima Silva </t>
  </si>
  <si>
    <t>17/05/2023 - 16/05/2024</t>
  </si>
  <si>
    <t xml:space="preserve">Breno Do Nascimento Macedo </t>
  </si>
  <si>
    <t>12/06/2023 -11/06/2024</t>
  </si>
  <si>
    <t>Jairo Gomes De Albuquerque Neto</t>
  </si>
  <si>
    <t>26/12/2023 - 25/12/2024</t>
  </si>
  <si>
    <t>Islly Ramos De Oliveira Silva</t>
  </si>
  <si>
    <t xml:space="preserve">João Maria Morais Neto </t>
  </si>
  <si>
    <t xml:space="preserve">Expansão </t>
  </si>
  <si>
    <t>13/12/2023 - 12/12/2024</t>
  </si>
  <si>
    <t xml:space="preserve">Felipe Matias Oliveira </t>
  </si>
  <si>
    <t>09/06/2023 - 08/06/2024</t>
  </si>
  <si>
    <t xml:space="preserve">Onboarding </t>
  </si>
  <si>
    <t xml:space="preserve">Jeferson Brito da Conceição </t>
  </si>
  <si>
    <t xml:space="preserve">Tecnologia </t>
  </si>
  <si>
    <t>18/10/2023 - 17/10/2024</t>
  </si>
  <si>
    <t>Ian Grisi Lira</t>
  </si>
  <si>
    <t>27/12/2023 -26/12/2024</t>
  </si>
  <si>
    <t xml:space="preserve">Michele Bernardino de Oliveira dos Santos </t>
  </si>
  <si>
    <t>01/03/2024 - 28/02/2025</t>
  </si>
  <si>
    <t>Barbara Carvalho Araujo</t>
  </si>
  <si>
    <t xml:space="preserve">Financeiro </t>
  </si>
  <si>
    <t>13/09/2023 - 12/09/2024</t>
  </si>
  <si>
    <t xml:space="preserve">Lucas da Silveira Grisi Peixoto  </t>
  </si>
  <si>
    <t>Cs</t>
  </si>
  <si>
    <t xml:space="preserve">Alejandro Robert de Oliveira Serrano </t>
  </si>
  <si>
    <t xml:space="preserve">Onbording </t>
  </si>
  <si>
    <t xml:space="preserve">João Miguel de Oliveira Viana </t>
  </si>
  <si>
    <t>04/12/2023 - 03/12/2024</t>
  </si>
  <si>
    <t xml:space="preserve">Patricia Karla Henrique Lima </t>
  </si>
  <si>
    <t>06/01/2024 - 05/01/2025</t>
  </si>
  <si>
    <t xml:space="preserve">Nicole Lena de Oliveira </t>
  </si>
  <si>
    <t>01/11/2023 - 31/10/2024</t>
  </si>
  <si>
    <t>28/03/2024 - 27/03/2025</t>
  </si>
  <si>
    <t xml:space="preserve">Rafael Araujo de Sousa </t>
  </si>
  <si>
    <t>24/07/2024 - 23/07/2025</t>
  </si>
  <si>
    <t>20/03/2024 - 19/03/2025</t>
  </si>
  <si>
    <t>Ramom Neves Balduíno</t>
  </si>
  <si>
    <t>NRP</t>
  </si>
  <si>
    <t>13/11//2023 - 12/11/2024</t>
  </si>
  <si>
    <t>Rayane Kelly Passifico da Silva</t>
  </si>
  <si>
    <t xml:space="preserve">Operações </t>
  </si>
  <si>
    <t>21/12/2023 - 20/12/2024</t>
  </si>
  <si>
    <t xml:space="preserve">Rennan Fernandes de Souza Melo </t>
  </si>
  <si>
    <t>19/12/2023 - 18/12/2024</t>
  </si>
  <si>
    <t xml:space="preserve">programada </t>
  </si>
  <si>
    <t xml:space="preserve">Thales Ferreira Marques Oliveira </t>
  </si>
  <si>
    <t xml:space="preserve">P&amp;D </t>
  </si>
  <si>
    <t>03/01/2024 - 02/01/2025</t>
  </si>
  <si>
    <t xml:space="preserve">Pedro Gabriel de Castro Silva </t>
  </si>
  <si>
    <t>QSGI</t>
  </si>
  <si>
    <t>Thamara de Oliveira Pontes</t>
  </si>
  <si>
    <t xml:space="preserve">09/01/2024 - 08/01/2025 </t>
  </si>
  <si>
    <t>15/02/2024 - 14/02/2024</t>
  </si>
  <si>
    <t>Andre Gustavo Barbosa Araujo</t>
  </si>
  <si>
    <t>28/12/2024 - 27/02/2025</t>
  </si>
  <si>
    <t>Anderson Rodrigues De Vasconcelos</t>
  </si>
  <si>
    <t>09/03/2024 - 08/03/2025</t>
  </si>
  <si>
    <t xml:space="preserve">Marcia Maria de Andrade Silva </t>
  </si>
  <si>
    <t>Operações</t>
  </si>
  <si>
    <t>11/03/2024 - 10/03/2025</t>
  </si>
  <si>
    <t>Eric Melo De Oliveira Junior</t>
  </si>
  <si>
    <t>28/03/2024 -27/03/2025</t>
  </si>
  <si>
    <t>Pedro Henrique Santos Da Silva</t>
  </si>
  <si>
    <t>15/07/2024 - 14/07/2025</t>
  </si>
  <si>
    <t>Vitoria Andrade Vasconcelos Brandao</t>
  </si>
  <si>
    <t>21/10/2024 - 20/10/2025</t>
  </si>
  <si>
    <t>Lle</t>
  </si>
  <si>
    <t>Joao Miguel De Oliveira Viana</t>
  </si>
  <si>
    <t>04/12/2024 -03/12/2025</t>
  </si>
  <si>
    <t>Isanete Ramos De Oliveira Silva</t>
  </si>
  <si>
    <t>26/08/2024 - 25/08/2025</t>
  </si>
  <si>
    <t>Joao Maria Moraes Neto</t>
  </si>
  <si>
    <t>13/12/224 - 12/12/2025</t>
  </si>
  <si>
    <t>Roberto Da Silva Bezerra</t>
  </si>
  <si>
    <t>05/10/2024 - 04/10/2025</t>
  </si>
  <si>
    <t>Andre Victor Barcia Duarte Furtado</t>
  </si>
  <si>
    <t>13/11/2024 - 12/11/2025</t>
  </si>
  <si>
    <t>Rennan Fernandes De Souza Melo</t>
  </si>
  <si>
    <t xml:space="preserve">19/12/2024 - 18/12/2025 </t>
  </si>
  <si>
    <t>04/09/2024 - 03/09/2025</t>
  </si>
  <si>
    <t>Breno Do Nascimento Macedo</t>
  </si>
  <si>
    <t>12/06/2024 - 11/06/2025</t>
  </si>
  <si>
    <t>Lucas Bezerra Dos Santos</t>
  </si>
  <si>
    <t>NPF</t>
  </si>
  <si>
    <t xml:space="preserve">11/11/2024 - 10/11/2025 </t>
  </si>
  <si>
    <t>Ramom Neves Balduino</t>
  </si>
  <si>
    <t>Rivaldo Francisco</t>
  </si>
  <si>
    <t>29/07/2024 -28/07/2025</t>
  </si>
  <si>
    <t>Joao Gabriel Gomes Da Silva</t>
  </si>
  <si>
    <t>Joao Victor Lima Dias Da Silva</t>
  </si>
  <si>
    <t>03/10/2024 - 02/10/2025</t>
  </si>
  <si>
    <t>13/04/2024 - 12/04/2025</t>
  </si>
  <si>
    <t>Felipi Matias Oliveira</t>
  </si>
  <si>
    <t>09/06/2024 - 08/06/2025</t>
  </si>
  <si>
    <t xml:space="preserve">Gente e Gestão </t>
  </si>
  <si>
    <t>03/10/2024 -02/10/2025</t>
  </si>
  <si>
    <t>Oseas Ricardo Felinto</t>
  </si>
  <si>
    <t>17/02/2024 - 16/02/2025</t>
  </si>
  <si>
    <t>Ledysson Augusto De Brito Lira Nascimento</t>
  </si>
  <si>
    <t>19/08/2024 - 18/08/2025</t>
  </si>
  <si>
    <t>Marcelo Wanderley De Sousa</t>
  </si>
  <si>
    <t>18/11/2024 -17/11/2025</t>
  </si>
  <si>
    <t>Rayane Kely Passifico Da Silva</t>
  </si>
  <si>
    <t>21/12/2024 - 20/12/2025</t>
  </si>
  <si>
    <t>Ericles Luan De Araujo Silva</t>
  </si>
  <si>
    <t>03/09/2024 - 02/09/2025</t>
  </si>
  <si>
    <t>Leonardo Lopes Da Luz</t>
  </si>
  <si>
    <t>19/11/2024 - 18/11/2025</t>
  </si>
  <si>
    <t>Rodolfo Matias De Lima</t>
  </si>
  <si>
    <t xml:space="preserve">03/04/2024 - 02/04/2025 </t>
  </si>
  <si>
    <t>Mahori Ferreira De Lima Silva</t>
  </si>
  <si>
    <t>17/05/2024 - 16/05/2025</t>
  </si>
  <si>
    <t>Michele Bernardino De Oliveira Dos Santos</t>
  </si>
  <si>
    <t>Leanderson Cordeiro de Mascena</t>
  </si>
  <si>
    <t>21/11/2024 - 20/11/2025</t>
  </si>
  <si>
    <t>Bruna Carlucci Rosse</t>
  </si>
  <si>
    <t>02/12/2024 - 01/12/2025</t>
  </si>
  <si>
    <t>Rodolfo Matias de Lima</t>
  </si>
  <si>
    <t>NRS</t>
  </si>
  <si>
    <t>03/04/2024 - 02/04/2025</t>
  </si>
  <si>
    <t xml:space="preserve">Faumar do Santos Câmara </t>
  </si>
  <si>
    <t>14/01/2025 -13/01/2026</t>
  </si>
  <si>
    <t>18/10/2024 -17/10/2025</t>
  </si>
  <si>
    <t xml:space="preserve">Mahori Ferreira de Lima Silva </t>
  </si>
  <si>
    <t xml:space="preserve">João Maria Moraes Neto </t>
  </si>
  <si>
    <t>13/12/2024 - 12/12/2025</t>
  </si>
  <si>
    <t>Larissa Alves de Lima</t>
  </si>
  <si>
    <t>27/01/2025 - 26/01/2026</t>
  </si>
  <si>
    <t>18/03/2025 - 17/03/2026</t>
  </si>
  <si>
    <t>Monica Guilherme da Silva</t>
  </si>
  <si>
    <t>03/05/2024 - 02/05/2025</t>
  </si>
  <si>
    <t>14/04/2025- 13/01/2026</t>
  </si>
  <si>
    <t>Sidney Rogério Ciraulo Marques</t>
  </si>
  <si>
    <t>26/03/2025 - 25/03/2026</t>
  </si>
  <si>
    <t xml:space="preserve">Isaac Lima de Carvalho </t>
  </si>
  <si>
    <t>01/10/2024 - 30/09/2025</t>
  </si>
  <si>
    <t>Novos Negócios</t>
  </si>
  <si>
    <t xml:space="preserve">cancela, descontar na rescisão </t>
  </si>
  <si>
    <t>CS</t>
  </si>
  <si>
    <t xml:space="preserve">Breno Macedo </t>
  </si>
  <si>
    <t>5 dias</t>
  </si>
  <si>
    <t xml:space="preserve">solicitar </t>
  </si>
  <si>
    <t xml:space="preserve">Larissa Alves de Lima </t>
  </si>
  <si>
    <t>AFASTAMENTOS</t>
  </si>
  <si>
    <t xml:space="preserve">QUANTIDADE DIAS </t>
  </si>
  <si>
    <t xml:space="preserve">DATA INÍCIO </t>
  </si>
  <si>
    <t xml:space="preserve">DATA TÉRMINO </t>
  </si>
  <si>
    <t>CID</t>
  </si>
  <si>
    <t xml:space="preserve">José Carlos Ribeiro Soares </t>
  </si>
  <si>
    <t xml:space="preserve">90 dias </t>
  </si>
  <si>
    <t>S52.4</t>
  </si>
  <si>
    <t>Islly Ramos De Oliveira</t>
  </si>
  <si>
    <t xml:space="preserve">120 dias </t>
  </si>
  <si>
    <t>maternidade</t>
  </si>
  <si>
    <t>Barbara Carvalho</t>
  </si>
  <si>
    <t>Pedro Henrique Santos Da</t>
  </si>
  <si>
    <t>30 dias</t>
  </si>
  <si>
    <t>S621</t>
  </si>
  <si>
    <t>60 dias</t>
  </si>
  <si>
    <t>S920</t>
  </si>
  <si>
    <t>RESCISÕES</t>
  </si>
  <si>
    <t xml:space="preserve">TIPO RESCISÃO </t>
  </si>
  <si>
    <t xml:space="preserve">TIPO AVISO </t>
  </si>
  <si>
    <t xml:space="preserve">INÍCIO AVISO </t>
  </si>
  <si>
    <t>ULT. DIA TRAB.</t>
  </si>
  <si>
    <t xml:space="preserve">FIM DO AVISO </t>
  </si>
  <si>
    <t xml:space="preserve">DIA VENCIMENTO </t>
  </si>
  <si>
    <t xml:space="preserve">DIA PAGAMENTO </t>
  </si>
  <si>
    <t xml:space="preserve">VALOR </t>
  </si>
  <si>
    <t xml:space="preserve">GRRF VALOR </t>
  </si>
  <si>
    <t>GRRF VENC</t>
  </si>
  <si>
    <t xml:space="preserve">Fagner Araujo Martins Junior </t>
  </si>
  <si>
    <t xml:space="preserve">Término contrato experiência </t>
  </si>
  <si>
    <t>Addam Leite da Cruz</t>
  </si>
  <si>
    <t xml:space="preserve">Demissão sem justa causa </t>
  </si>
  <si>
    <t xml:space="preserve">indenizado </t>
  </si>
  <si>
    <t xml:space="preserve">José Marcos Trajano da Silva </t>
  </si>
  <si>
    <t>Pedido de demissão</t>
  </si>
  <si>
    <t>Valdo Nevez da Silva Neto</t>
  </si>
  <si>
    <t xml:space="preserve">Adelson Santos da Silva Junior </t>
  </si>
  <si>
    <t>Demissão sem justa causa (acordo)</t>
  </si>
  <si>
    <t xml:space="preserve">trabalhado </t>
  </si>
  <si>
    <t xml:space="preserve">Alan Elizeu Fernandes Ogino </t>
  </si>
  <si>
    <t xml:space="preserve">Pedido de demissão </t>
  </si>
  <si>
    <t xml:space="preserve">Kaio Henrique Bezerra dos Santos </t>
  </si>
  <si>
    <t xml:space="preserve">Rodrigo Fernandes Rodrigues </t>
  </si>
  <si>
    <t>Mateus Soares de Souza</t>
  </si>
  <si>
    <t xml:space="preserve">Rescisão Complementar (ajuste salário) </t>
  </si>
  <si>
    <t xml:space="preserve">Erllon Kildery Dutra de Lima </t>
  </si>
  <si>
    <t>Gabriel Andrade Silva</t>
  </si>
  <si>
    <t>Lucas de Oliveira Sacramento</t>
  </si>
  <si>
    <t xml:space="preserve">Edinaldo Soares de Lima </t>
  </si>
  <si>
    <t xml:space="preserve">Demissão Sem justa causa </t>
  </si>
  <si>
    <t xml:space="preserve">João Lucas da Silva </t>
  </si>
  <si>
    <t>Demissão sem Justa caisa</t>
  </si>
  <si>
    <t xml:space="preserve"> </t>
  </si>
  <si>
    <t xml:space="preserve">Letícia Kelly Alves da Silva </t>
  </si>
  <si>
    <t xml:space="preserve">Mattheus Ramos Cabral Pessoa </t>
  </si>
  <si>
    <t>17/042025</t>
  </si>
  <si>
    <t>Karoline Ferreira de Azevedo</t>
  </si>
  <si>
    <t>Fabrício Alves Gregório</t>
  </si>
  <si>
    <t xml:space="preserve">Término antecipado contrato experiência </t>
  </si>
  <si>
    <t xml:space="preserve">Rochely Pereira Lacerda </t>
  </si>
  <si>
    <t xml:space="preserve">Yohan Nathan Martins Maciel </t>
  </si>
  <si>
    <t xml:space="preserve">Vitor Matheus Duarte Silva </t>
  </si>
  <si>
    <t xml:space="preserve">Rescisão Contrato de Estágio </t>
  </si>
  <si>
    <t xml:space="preserve">Jonathas Bezerra de Souza </t>
  </si>
  <si>
    <t xml:space="preserve">Barbara Carvalho Araujo </t>
  </si>
  <si>
    <t>14/08/205</t>
  </si>
  <si>
    <t xml:space="preserve">Neidson </t>
  </si>
  <si>
    <t>José Kennedy</t>
  </si>
  <si>
    <t>Matheus Enrich Cavalcanti Vieira De Souza</t>
  </si>
  <si>
    <t xml:space="preserve">Celso Mario Pereira Monteiro </t>
  </si>
  <si>
    <t xml:space="preserve">Alejandro Robert de Oliveira Serrano  </t>
  </si>
  <si>
    <t>Anderson Menezes</t>
  </si>
  <si>
    <t xml:space="preserve">Jailso Maxwell da SilvaSatiro </t>
  </si>
  <si>
    <t>Arthur Veloso Brabosa</t>
  </si>
  <si>
    <t>Demissão sem justa causa</t>
  </si>
  <si>
    <t xml:space="preserve">Paulo Vinicius Laurentino </t>
  </si>
  <si>
    <t>José Carlos Ribeiro Soares Junior</t>
  </si>
  <si>
    <t>Rafael Araujo de Sousa</t>
  </si>
  <si>
    <t xml:space="preserve">Emmanuel de Matos Aurelio </t>
  </si>
  <si>
    <t>Felipe Henrique Cassiano de Lima</t>
  </si>
  <si>
    <t>18/122025</t>
  </si>
  <si>
    <t>Thiago Lima De Oliveira</t>
  </si>
  <si>
    <t xml:space="preserve">Pedido de Demissão </t>
  </si>
  <si>
    <t xml:space="preserve">Lucas Grisi </t>
  </si>
  <si>
    <t xml:space="preserve">Patrícia </t>
  </si>
  <si>
    <t>Isaac de Matos de Lima</t>
  </si>
  <si>
    <t xml:space="preserve">Rafael Henrique Ribeiro Amâncio </t>
  </si>
  <si>
    <t>João Miguel de Oliveira Viana</t>
  </si>
  <si>
    <t>Pedro Henrique Santos da Silva</t>
  </si>
  <si>
    <t xml:space="preserve">Jeysa Alecsandra Marinho da Silva </t>
  </si>
  <si>
    <t>Pedro Gabriel de Castro Silva</t>
  </si>
  <si>
    <t xml:space="preserve">Rescisão Complementar </t>
  </si>
  <si>
    <t xml:space="preserve">Daniel Araujo Lima dos Santos </t>
  </si>
  <si>
    <t xml:space="preserve">Cícero Romão Santos Pereira </t>
  </si>
  <si>
    <t xml:space="preserve">Gustavo Rogers Orange Andrade </t>
  </si>
  <si>
    <t xml:space="preserve">Felipe Cordeiro Queiroz de Oliveira Lima </t>
  </si>
  <si>
    <t>Pedido de demissão (experiência)</t>
  </si>
  <si>
    <t xml:space="preserve">Andresa Marcia Pereira da Silva Casto </t>
  </si>
  <si>
    <t>IKLI TECNOLOGIA LTDA #</t>
  </si>
  <si>
    <t>NOME</t>
  </si>
  <si>
    <t>DATA DE NASCIMENTO</t>
  </si>
  <si>
    <t>MÊS</t>
  </si>
  <si>
    <t>DIA</t>
  </si>
  <si>
    <t>ALESANDRO DA MATA SILVA</t>
  </si>
  <si>
    <t>ANDERSON GONÇALVES VASQUES</t>
  </si>
  <si>
    <t>ANDERSON RODRIGUES DE VASCONCELOS</t>
  </si>
  <si>
    <t>ARTHUR RICK DE MORAIS SILVA</t>
  </si>
  <si>
    <t>DAVI XAVIER DE MEDEIROS BARBOSA</t>
  </si>
  <si>
    <t>DOUGLAS XAVIER DE MEDEIROS BARBOSA</t>
  </si>
  <si>
    <t>ERIC MELO DE OLIVEIRA JUNIOR</t>
  </si>
  <si>
    <t>ERICLES LUAN DE ARAUJO SILVA</t>
  </si>
  <si>
    <t>ERLLON KILDERY DUTRA DE LIMA</t>
  </si>
  <si>
    <t>SOFIA CAVALCANTI DE MORAIS COUTINHO</t>
  </si>
  <si>
    <t>GILBERTO ANDRADE DE SANTANA JUNIOR</t>
  </si>
  <si>
    <t>GIOVANNA RAVINE CORDEIRO DOS ANJOS SALES</t>
  </si>
  <si>
    <t>GIVANILDO DOS SANTOS SILVA JUNIOR</t>
  </si>
  <si>
    <t>HELENA BISPO DA CONCEICAO</t>
  </si>
  <si>
    <t>HIAGO VINICIUS MONTENEGRO DE FARIAS</t>
  </si>
  <si>
    <t>RAFAEL ARCANJO FRANÇA CAVALCANTE DE MACÊDO</t>
  </si>
  <si>
    <t>ISADORA GARCEZ ALVES</t>
  </si>
  <si>
    <t>ISANETE RAMOS DE OLIVEIRA SILVA</t>
  </si>
  <si>
    <t>ISLLY RAMOS DE OLIVEIRA SILVA</t>
  </si>
  <si>
    <t>IVELLYN RAMOS DE OLIVEIRA SILVA</t>
  </si>
  <si>
    <t>JAELSON PEREIRA DA SILVA</t>
  </si>
  <si>
    <t>JAIRO GOMES DE ALBUQUERQUE NETO</t>
  </si>
  <si>
    <t>JEFERSON BRITO DA CONCEICAO</t>
  </si>
  <si>
    <t>JENIFFER ALVES DA SILVA</t>
  </si>
  <si>
    <t>JOAO MARIA MORAES NETO</t>
  </si>
  <si>
    <t>JOAO VICTOR ALEXANDRE SANTOS DE SOUSA</t>
  </si>
  <si>
    <t>JOAO VICTOR LIMA DIAS DA SILVA</t>
  </si>
  <si>
    <t>JONATHAS BEZERRA DE SOUZA</t>
  </si>
  <si>
    <t>JOSÉ MATHEUS OLIVEIRA DE LIMA</t>
  </si>
  <si>
    <t>JOSE XAVIER DA ROCHA FILHO</t>
  </si>
  <si>
    <t>LARISSA ALVES DE LIMA</t>
  </si>
  <si>
    <t>LEANDERSON CORDEIRO DE MASCENA</t>
  </si>
  <si>
    <t>OSEAS RICARDO FELINTO</t>
  </si>
  <si>
    <t>LEONARDO LOPES DA LUZ</t>
  </si>
  <si>
    <t>LEONARDO NASCIMENTO DOS SANTOS</t>
  </si>
  <si>
    <t>LORUAMA DE LIMA FELIZARDO</t>
  </si>
  <si>
    <t>LUCAS BEZERRA DOS SANTOS</t>
  </si>
  <si>
    <t>MAHORI FERREIRA DE LIMA SILVA</t>
  </si>
  <si>
    <t>MATEUS DO NASCIMENTO BRITO</t>
  </si>
  <si>
    <t>MATHEUS ALEXSANDRO AMARAL DE MEDEIROS</t>
  </si>
  <si>
    <t>MATHEUS DE OLIVEIRA ROCHA</t>
  </si>
  <si>
    <t>MONICA GUILHERME DA SILVA</t>
  </si>
  <si>
    <t>PAULA EMANUELLE COSTA CAVALCANTE</t>
  </si>
  <si>
    <t>PAULO ROBERTO DA SILVA FERREIRA</t>
  </si>
  <si>
    <t>PEDRO GABRIEL DE CASTRO SILVA</t>
  </si>
  <si>
    <t>PEDRO VITOR PESSANHA GOMES DA SILVA</t>
  </si>
  <si>
    <t>RAFAEL DOS SANTOS SOUSA</t>
  </si>
  <si>
    <t>RAFAEL MIRANDA DA COSTA</t>
  </si>
  <si>
    <t>RAYANE KELY PASSIFICO DA SILVA</t>
  </si>
  <si>
    <t>RENNAN FERNANDES DE SOUZA MELO</t>
  </si>
  <si>
    <t>ROBERTO DA SILVA BEZERRA</t>
  </si>
  <si>
    <t>RODOLFO MATIAS DE LIMA</t>
  </si>
  <si>
    <t>SAMARA DE PONTES COUTINHO</t>
  </si>
  <si>
    <t>SAMUEL LIMA DE CARVALHO</t>
  </si>
  <si>
    <t>BRUNA CARLUCCI ROSSE</t>
  </si>
  <si>
    <t>THAMARA DE OLIVEIRA PONTES</t>
  </si>
  <si>
    <t>THIAGO LINS SALES</t>
  </si>
  <si>
    <t>VANESSA DA SILVA AGUIAR</t>
  </si>
  <si>
    <t>YARLISSON VIEIRA</t>
  </si>
  <si>
    <t>CAIO NOGUEIRA SOARES</t>
  </si>
  <si>
    <t>Adricia Nunes de Medeiros</t>
  </si>
  <si>
    <t xml:space="preserve">Ricardo França Soares </t>
  </si>
  <si>
    <t>712.066.854-41</t>
  </si>
  <si>
    <t>091.525.105-14</t>
  </si>
  <si>
    <t xml:space="preserve"> 22/05/2026</t>
  </si>
  <si>
    <t xml:space="preserve">Rafael Arcanjo França Cavalcante de Macêdo </t>
  </si>
  <si>
    <t>JOHNNATHAN ELVIS ESPINDULA FREIRE</t>
  </si>
  <si>
    <t>ADRICIA NUNES DE MEDEIROS</t>
  </si>
  <si>
    <t>Davi Xavier de Medeirs Barbosa</t>
  </si>
  <si>
    <t xml:space="preserve">Marcelo Soares dos Santos Junior </t>
  </si>
  <si>
    <t xml:space="preserve">Jhonattan Cardoso da Silva </t>
  </si>
  <si>
    <t>11/062026</t>
  </si>
  <si>
    <t>Marcia Maria de Andrade Silva</t>
  </si>
  <si>
    <t xml:space="preserve">Nicole Lena </t>
  </si>
  <si>
    <t>106.561.834-46</t>
  </si>
  <si>
    <t>705.458.314-07</t>
  </si>
  <si>
    <t xml:space="preserve">  </t>
  </si>
  <si>
    <t>Mônica Joselita Alves Vitorino</t>
  </si>
  <si>
    <t>Jeniffer Saraiva da Silva</t>
  </si>
  <si>
    <t>Mileidy Aparecida Cardoso da Silva Candeia</t>
  </si>
  <si>
    <t>Karla Patricia da Costa Flor</t>
  </si>
  <si>
    <t>Ana Silva de Lira</t>
  </si>
  <si>
    <t xml:space="preserve">Bruna Leão Sá Pessoa </t>
  </si>
  <si>
    <t xml:space="preserve">Anderson Felipe Toscano de Brito </t>
  </si>
  <si>
    <t>070.921.264-01</t>
  </si>
  <si>
    <t>706.851.814-13</t>
  </si>
  <si>
    <t>057.035.344-02</t>
  </si>
  <si>
    <t>092.479.024-52</t>
  </si>
  <si>
    <t>715.430.554-19</t>
  </si>
  <si>
    <t>093.396.054-97</t>
  </si>
  <si>
    <t>Matheus Antinho de Lima</t>
  </si>
  <si>
    <t>Douglas Xavier de Medeiros Barbosa</t>
  </si>
  <si>
    <t>ANDERSON FELIPE TOSCANO DE BRITO</t>
  </si>
  <si>
    <t>KARLA PATRICIA DA COSTA FLOR</t>
  </si>
  <si>
    <t>Gerente de Operações</t>
  </si>
  <si>
    <t xml:space="preserve">Jaelson Pereira </t>
  </si>
  <si>
    <t>Camila Lellis Souza Dos Santos</t>
  </si>
  <si>
    <t>109.824.094-43</t>
  </si>
  <si>
    <t xml:space="preserve">Patricia Karla Henrique de Lima </t>
  </si>
  <si>
    <t xml:space="preserve">Analista de Contas a Pagar </t>
  </si>
  <si>
    <t xml:space="preserve">Mobilidade </t>
  </si>
  <si>
    <t xml:space="preserve">Debora De Souza Costa </t>
  </si>
  <si>
    <t>057.814.394-12</t>
  </si>
  <si>
    <t xml:space="preserve">Lydia Pires De Souza </t>
  </si>
  <si>
    <t xml:space="preserve">Lyandra Simplicio Tavares </t>
  </si>
  <si>
    <t>134.493.714-44</t>
  </si>
  <si>
    <t xml:space="preserve">Matheus Antonio Vieira De Alencar Araújo </t>
  </si>
  <si>
    <t>084.730.904-54</t>
  </si>
  <si>
    <t xml:space="preserve">Social media </t>
  </si>
  <si>
    <t xml:space="preserve">Manuelly Maria Da Costa Lucena </t>
  </si>
  <si>
    <t>Analista Contabil 2</t>
  </si>
  <si>
    <t>066.956.374-90</t>
  </si>
  <si>
    <t xml:space="preserve">Analista de auditória operacional </t>
  </si>
  <si>
    <t>Concierge de franquia</t>
  </si>
  <si>
    <t>Gerente de CS</t>
  </si>
  <si>
    <t xml:space="preserve">Analista de expansão </t>
  </si>
  <si>
    <t xml:space="preserve">LYANDRA SIMPLICIO TAVARES </t>
  </si>
  <si>
    <t xml:space="preserve">MATHEUS ANTONIO VIEIRA DE ALENCAR ARAÚJO </t>
  </si>
  <si>
    <t xml:space="preserve">DEBORA DE SOUZA COSTA </t>
  </si>
  <si>
    <t>15/06/20256</t>
  </si>
  <si>
    <t>José Matheus Oliveira de Lima</t>
  </si>
  <si>
    <t>Demissão COM  justa causa</t>
  </si>
  <si>
    <t xml:space="preserve">Iarley Meira De Oliveira </t>
  </si>
  <si>
    <t>097.395.944-41</t>
  </si>
  <si>
    <t xml:space="preserve">Pedro Lucas Gomes Da Silva </t>
  </si>
  <si>
    <t>718.712.484-85</t>
  </si>
  <si>
    <t xml:space="preserve">Auxiliar tecnico </t>
  </si>
  <si>
    <t>ANALISTA DE EXPANSÃO</t>
  </si>
  <si>
    <t>EXPANSÃO</t>
  </si>
  <si>
    <t>ANALISTA DE TI</t>
  </si>
  <si>
    <t>NÚCLEO DE RELACIONAMENTO E SUPORTE</t>
  </si>
  <si>
    <t xml:space="preserve">ANA SILVA DE LIRA </t>
  </si>
  <si>
    <t>GERENTE DE OPERAÇÕES</t>
  </si>
  <si>
    <t>OPERAÇÕES</t>
  </si>
  <si>
    <t>CONSULTOR COMERCIAL</t>
  </si>
  <si>
    <t xml:space="preserve">ANDERSON MOREIRA DA SILVA </t>
  </si>
  <si>
    <t>ANALISTA TECNICO</t>
  </si>
  <si>
    <t>ONBOARDING</t>
  </si>
  <si>
    <t>ANDRE GUSTAVO BARBOSA ARAUJO</t>
  </si>
  <si>
    <t>ANALISTA DE ONBOARDING</t>
  </si>
  <si>
    <t>ANDRE VICTOR BARCIA DUARTE FURTADO</t>
  </si>
  <si>
    <t>SUPERVISOR DE OPERACOES</t>
  </si>
  <si>
    <t>MARKETING</t>
  </si>
  <si>
    <t>BIANCA GOUVEIA GALVAO</t>
  </si>
  <si>
    <t>ANALISTA ADMINISTRATIVO</t>
  </si>
  <si>
    <t>Gerente de RH</t>
  </si>
  <si>
    <t>GENTE E GESTÃO</t>
  </si>
  <si>
    <t>CAMILA LELLIS SOUZA DOS SANTOS</t>
  </si>
  <si>
    <t>ANALISTA DE RH</t>
  </si>
  <si>
    <t xml:space="preserve">CARLOS MIGUEL LOPES DA SILVA </t>
  </si>
  <si>
    <t>VIDEOMAKER</t>
  </si>
  <si>
    <t>ESTAGIARIO</t>
  </si>
  <si>
    <t>DESENVOLVIMENTO E INOVAÇÃO</t>
  </si>
  <si>
    <t xml:space="preserve">DANILO TAVARES DE OLIVEIRA </t>
  </si>
  <si>
    <t>DESIGNER GRÁFICO</t>
  </si>
  <si>
    <t>AUXILIAR TECNICO</t>
  </si>
  <si>
    <t>TECNICO</t>
  </si>
  <si>
    <t>GERENTE JURÍDICO</t>
  </si>
  <si>
    <t>JURÍDICO</t>
  </si>
  <si>
    <t>AUXILIAR TECNICO I</t>
  </si>
  <si>
    <t>Supervisor de Pesquisa e Desenvolvimento</t>
  </si>
  <si>
    <t xml:space="preserve">DESENVOLVEDOR JUNIOR DE SISTEMAS INTEGRADOS </t>
  </si>
  <si>
    <t>FINANCEIRO</t>
  </si>
  <si>
    <t>FRANCISCO DE ASSIS FERNANDES JÚNIOR</t>
  </si>
  <si>
    <t>DESIGNER GRAFICO I</t>
  </si>
  <si>
    <t xml:space="preserve">GABRIEL CARVALHO RIBEIRO SANTOS </t>
  </si>
  <si>
    <t>ANALISTA DE SEGURANÇA DE INFORMAÇÃO</t>
  </si>
  <si>
    <t>GIOVANNA OLIVEIRA LIMA DE ABREU CAVALCANTE</t>
  </si>
  <si>
    <t xml:space="preserve">MENTOR DE NEGÓCIOS </t>
  </si>
  <si>
    <t>NÚCLEO DE RELACIONAMENTO E PERFORMANCE</t>
  </si>
  <si>
    <t xml:space="preserve">GUILHERME JOSE RIBEIRO SULZ                      </t>
  </si>
  <si>
    <t xml:space="preserve">GERENTE DE RELACIONAMENTO </t>
  </si>
  <si>
    <t>ASSISTENTE FINANCEIRO</t>
  </si>
  <si>
    <t>CONCIERGE DE NEGOCIOS</t>
  </si>
  <si>
    <t>SUPERVISOR DE EXPANSAO</t>
  </si>
  <si>
    <t>GERENTE ADMINISTRATIVO (JUNIOR 1)</t>
  </si>
  <si>
    <t>ANALISTA DE EXPANSAO II</t>
  </si>
  <si>
    <t>SUPERVISOR QSGI</t>
  </si>
  <si>
    <t>JEMIMA LAIS DIAS MARTINS</t>
  </si>
  <si>
    <t>ANALISTA DE CS</t>
  </si>
  <si>
    <t>ANALISTA DE RECRUTAMENTO E SELEÇÃO II</t>
  </si>
  <si>
    <t xml:space="preserve">JENIFFER SARAIVA DA SILVA </t>
  </si>
  <si>
    <t>CONCIERGE DE FRANQUIAS</t>
  </si>
  <si>
    <t xml:space="preserve">JHONATTAN CARDOSO DA SILVA </t>
  </si>
  <si>
    <t>JOAO ANTONIO HONORATO CARVALHO</t>
  </si>
  <si>
    <t>ANALISTA DE DADOS E BUSSINESS INTELIGENCE</t>
  </si>
  <si>
    <t>JOAO GABRIEL GOMES DA SILVA</t>
  </si>
  <si>
    <t xml:space="preserve">COORDENADOR DE DESENVOLVIMENTO </t>
  </si>
  <si>
    <t>SUPERVISOR TECNICO</t>
  </si>
  <si>
    <t>ADMINISTRAÇÃO</t>
  </si>
  <si>
    <t>JONATHAS DO CARMO RODRIGUES</t>
  </si>
  <si>
    <t xml:space="preserve">JOSE LOPES SOBRINHO NETO </t>
  </si>
  <si>
    <t>GERENTE DE CS</t>
  </si>
  <si>
    <t xml:space="preserve">LAVINIA LETICIA BATISTA DA SILVA </t>
  </si>
  <si>
    <t>SUPERVISOR DE TI</t>
  </si>
  <si>
    <t>SUPERVISOR DE BACKOFFICE</t>
  </si>
  <si>
    <t>ANALISTA JURÍDICO I</t>
  </si>
  <si>
    <t>DESENVOLVEDOR PLENO</t>
  </si>
  <si>
    <t>ANALISTA DE SUPORTE I</t>
  </si>
  <si>
    <t>MANUELLY MARIA DA COSTA LUCENA</t>
  </si>
  <si>
    <t>ANALISTA CONTABIL II</t>
  </si>
  <si>
    <t xml:space="preserve">MARCELO SOARES DOS SANTOS JUNIOR </t>
  </si>
  <si>
    <t>MARCELO WANDERLEY DE SOUSA</t>
  </si>
  <si>
    <t>COORDENADOR DE LOGISTICA</t>
  </si>
  <si>
    <t>COORDENADOR TECNICO</t>
  </si>
  <si>
    <t>SOCIAL MEDIA</t>
  </si>
  <si>
    <t>COORDENADOR DE MARKETING</t>
  </si>
  <si>
    <t>MICAEL JORDAO MOURA DE SOUZA</t>
  </si>
  <si>
    <t>SERVIÇOS GERAIS</t>
  </si>
  <si>
    <t>MONICA JOSELITA ALVES VITORINO</t>
  </si>
  <si>
    <t xml:space="preserve">ANALISTA DE AUDITORIA OPERACIONAL  </t>
  </si>
  <si>
    <t xml:space="preserve">NICOLAS MICHELL FRAGOSO TOSCANO </t>
  </si>
  <si>
    <t>AUXILIAR DE OPERACOES</t>
  </si>
  <si>
    <t>PATRICIA KARLA HENRIQUE DE LIMA</t>
  </si>
  <si>
    <t>ANALISTA DE CONTAS A PAGAR E TESOURARIA</t>
  </si>
  <si>
    <t>COPYWRITER (JUNIOR 2)</t>
  </si>
  <si>
    <t>SUPERVISOR  DE PERFORMANCE E TRAFEGO PAGO</t>
  </si>
  <si>
    <t>PIETRUS SOARES LAVOR</t>
  </si>
  <si>
    <t>RAIRA CONCEICAO DOS SANTOS SENA</t>
  </si>
  <si>
    <t>COORDENADOR DE ONBOARDING</t>
  </si>
  <si>
    <t xml:space="preserve">RICARDO FRANÇA SOARES </t>
  </si>
  <si>
    <t>DESENVOLVEDOR JUNIOR I</t>
  </si>
  <si>
    <t>RIVALDO FRANCISCO DOS SANTOS NETO</t>
  </si>
  <si>
    <t>SUPERVISOR DE SEGURANÇA DA INFORMAÇÃO</t>
  </si>
  <si>
    <t>RUAN LUCAS FRANCA MACHADO</t>
  </si>
  <si>
    <t>ANALISTA CONTÁBIL</t>
  </si>
  <si>
    <t xml:space="preserve">SERGIO EUCLIDES MEIRELES GOMES JUNIOR  </t>
  </si>
  <si>
    <t>SIDNEY ROGERIO CIRAULO MARQUES</t>
  </si>
  <si>
    <t>TÉCNICO MONTAGEM II</t>
  </si>
  <si>
    <t xml:space="preserve">THALLES ALBUQUERQUE DA SILVA </t>
  </si>
  <si>
    <t>Analista de Novos Negócios</t>
  </si>
  <si>
    <t>NOVOS NEGÓCIOS</t>
  </si>
  <si>
    <t>VITORIA ANDRADE VASCONCELOS BRANDAO</t>
  </si>
  <si>
    <t>ANALISTA DE SOCIAL MIDIA II</t>
  </si>
  <si>
    <t xml:space="preserve">Nome </t>
  </si>
  <si>
    <t>Cargo</t>
  </si>
  <si>
    <t>Data de admissão</t>
  </si>
  <si>
    <t xml:space="preserve">Setor </t>
  </si>
  <si>
    <t xml:space="preserve">André Gustavo Barbosa Araujo </t>
  </si>
  <si>
    <t>Anos</t>
  </si>
  <si>
    <t>Pedido de Demissão</t>
  </si>
  <si>
    <t>João Gabriel Gomes da Silva</t>
  </si>
  <si>
    <t xml:space="preserve">Guilherme Silva De Lira </t>
  </si>
  <si>
    <t>130.850.874-35</t>
  </si>
  <si>
    <t>Operador de Lavanderia e entregas</t>
  </si>
  <si>
    <t xml:space="preserve">Vinicius Cordeiro Teodoro Dos Santos </t>
  </si>
  <si>
    <t>099.624.224-42</t>
  </si>
  <si>
    <t xml:space="preserve">30 dias </t>
  </si>
  <si>
    <t>F33</t>
  </si>
  <si>
    <t>Demissão sem Justa causa</t>
  </si>
  <si>
    <t xml:space="preserve">Demissão sem Justa causa </t>
  </si>
  <si>
    <t>Nº</t>
  </si>
  <si>
    <t>GESTOR</t>
  </si>
  <si>
    <t>João Gabriel</t>
  </si>
  <si>
    <t>Rennan Melo</t>
  </si>
  <si>
    <t>Débora Costa</t>
  </si>
  <si>
    <t>Demis</t>
  </si>
  <si>
    <t>Guilherme Sulz</t>
  </si>
  <si>
    <t>Karla Flor</t>
  </si>
  <si>
    <t>Anderson Brito</t>
  </si>
  <si>
    <t>TÉCNICA</t>
  </si>
  <si>
    <t>Matheus Alexsandro</t>
  </si>
  <si>
    <t>Bruna Carlucci</t>
  </si>
  <si>
    <t>Rammon Neves</t>
  </si>
  <si>
    <t>Domiciano Lucas de Carvalho Batista</t>
  </si>
  <si>
    <t>146.343.694-78</t>
  </si>
  <si>
    <t xml:space="preserve">Analista Juridico </t>
  </si>
  <si>
    <t>Joviniano de Melo Queiroz</t>
  </si>
  <si>
    <t>700.093.214-70</t>
  </si>
  <si>
    <t xml:space="preserve">Victor Pessoa Silva </t>
  </si>
  <si>
    <t>08:30 às 17:31</t>
  </si>
  <si>
    <t>08:30 às 17:32</t>
  </si>
  <si>
    <t>08:30 às 17:33</t>
  </si>
  <si>
    <t xml:space="preserve">JURIDICO </t>
  </si>
  <si>
    <t xml:space="preserve">NRS </t>
  </si>
  <si>
    <t xml:space="preserve">Petria Tereza da Silva Nascimento </t>
  </si>
  <si>
    <t>Lydia Pires de Souza</t>
  </si>
  <si>
    <t xml:space="preserve">Mileidy Aparecia Cardoso da silva Candeia </t>
  </si>
  <si>
    <t xml:space="preserve">Anderson Vasconcelos </t>
  </si>
  <si>
    <t>704.722.814-45</t>
  </si>
  <si>
    <t>Theo Frederico de Lima Luna</t>
  </si>
  <si>
    <t>077.573.864-62</t>
  </si>
  <si>
    <t>Consultor (a) Comercial - Comercial - Pay Lav</t>
  </si>
  <si>
    <t>Eduardo Quefren de Oliveira Cupertino Cruz</t>
  </si>
  <si>
    <t>123.210.634-83</t>
  </si>
  <si>
    <t>Katia Mery Falcão Nunes</t>
  </si>
  <si>
    <t>077.524.807-03</t>
  </si>
  <si>
    <t>Mentor de Negócios</t>
  </si>
  <si>
    <t>Bruna izabelli da silva brandão</t>
  </si>
  <si>
    <t>059.079.594-52</t>
  </si>
  <si>
    <t>Consultor (a) Comercial - Comercial</t>
  </si>
  <si>
    <t>08:30 às 17:34</t>
  </si>
  <si>
    <t xml:space="preserve"> Roberto Da Silva Bezerra  </t>
  </si>
  <si>
    <t xml:space="preserve">Rafael Dos Santos Sousa </t>
  </si>
  <si>
    <t xml:space="preserve">Rodolfo Matias de Lima </t>
  </si>
  <si>
    <t xml:space="preserve">Rafael Miranda Da Costa </t>
  </si>
  <si>
    <t>Nome</t>
  </si>
  <si>
    <t>Cpf</t>
  </si>
  <si>
    <t>Nascimento</t>
  </si>
  <si>
    <t>Demissão</t>
  </si>
  <si>
    <t>Excluir no mês 10</t>
  </si>
  <si>
    <t xml:space="preserve">Guilherme José Ribeiro Sulz </t>
  </si>
  <si>
    <t>Bruna Izabelli da Silva Brandão</t>
  </si>
  <si>
    <t>Kenia Suzany</t>
  </si>
  <si>
    <t xml:space="preserve">Matheus Antinho de Lima </t>
  </si>
  <si>
    <t xml:space="preserve">Aurian Silva Rodrigues dos Santos </t>
  </si>
  <si>
    <t xml:space="preserve">Ian Grisi Lyra </t>
  </si>
  <si>
    <t>Felipe Lima</t>
  </si>
  <si>
    <t xml:space="preserve">Kênia Suzany Caetano Leite </t>
  </si>
  <si>
    <t>085.986.834-69</t>
  </si>
  <si>
    <t>Consultor (a) Comercial</t>
  </si>
  <si>
    <t xml:space="preserve">Esther Maria Fernandxes De Carvalho </t>
  </si>
  <si>
    <t>057.375.794-17</t>
  </si>
  <si>
    <t xml:space="preserve">Assistente financeiro </t>
  </si>
  <si>
    <t xml:space="preserve">Edisio Manoel Do Nascimento Junior </t>
  </si>
  <si>
    <t>826.790.964-87</t>
  </si>
  <si>
    <t xml:space="preserve">Danilo Galvão De Oliveira </t>
  </si>
  <si>
    <t>052.519.304-96</t>
  </si>
  <si>
    <t>Coordenador de Onboarding</t>
  </si>
  <si>
    <t xml:space="preserve">Thomas Ramos dos Santos </t>
  </si>
  <si>
    <t>066.896.644-06</t>
  </si>
  <si>
    <t xml:space="preserve">Gestor de trafego pago </t>
  </si>
  <si>
    <t xml:space="preserve">Hudson Regis De sousa </t>
  </si>
  <si>
    <t>470.212.528-11</t>
  </si>
  <si>
    <t xml:space="preserve">Gustavo Scalia Cavalcanti de albuquerque </t>
  </si>
  <si>
    <t>115.250.584-01</t>
  </si>
  <si>
    <t>Thomas Ramos dos Santos</t>
  </si>
  <si>
    <t>Carla Cristina Braz Venceslau</t>
  </si>
  <si>
    <t xml:space="preserve">Romulo Gonçalves Ribeiro </t>
  </si>
  <si>
    <t>049.925.111-39</t>
  </si>
  <si>
    <t>106.019.994-79</t>
  </si>
  <si>
    <t>001.513.482-27</t>
  </si>
  <si>
    <t>Paulo Eduardo Balbino Do Nascimento</t>
  </si>
  <si>
    <t>Analista de  Onboarding</t>
  </si>
  <si>
    <t xml:space="preserve">Lavínia Letícia Batista da Silva </t>
  </si>
  <si>
    <t>lavinia Leticia Batista da Silva</t>
  </si>
  <si>
    <t>Karla Patrícia da Costa Flor</t>
  </si>
  <si>
    <t xml:space="preserve">Débora de Souza Costa </t>
  </si>
  <si>
    <t>Marcelo</t>
  </si>
  <si>
    <t>Lucas Bezerra</t>
  </si>
  <si>
    <t xml:space="preserve">Jairo Albuquerque </t>
  </si>
  <si>
    <t>Mateus do Nascimento Brito</t>
  </si>
  <si>
    <t>Eric Melo de Oliveira junior</t>
  </si>
  <si>
    <t xml:space="preserve">Emanuel Nunes Batista </t>
  </si>
  <si>
    <t xml:space="preserve">Advogado </t>
  </si>
  <si>
    <t>756.573.750-00</t>
  </si>
  <si>
    <t>Nataly  Cordeiro Queiroz Calado</t>
  </si>
  <si>
    <t>709.328.504-05</t>
  </si>
  <si>
    <t xml:space="preserve">Isadora Garcez Alves </t>
  </si>
  <si>
    <t xml:space="preserve">SETOR </t>
  </si>
  <si>
    <t>DIRETOR</t>
  </si>
  <si>
    <t xml:space="preserve">Ramom </t>
  </si>
  <si>
    <t xml:space="preserve">Karla </t>
  </si>
  <si>
    <t>Sidney</t>
  </si>
  <si>
    <t xml:space="preserve">Fillype Lucena </t>
  </si>
  <si>
    <t>Isaelson</t>
  </si>
  <si>
    <t>CARLA CRISTINA BRAZ VENCESLAU</t>
  </si>
  <si>
    <t>04992511139</t>
  </si>
  <si>
    <t xml:space="preserve">DANILO GALVÃO DE OLIVEIRA </t>
  </si>
  <si>
    <t>05251930496</t>
  </si>
  <si>
    <t xml:space="preserve">EDISIO MANOEL DO NASCIMENTO JUNIOR </t>
  </si>
  <si>
    <t>82679096487</t>
  </si>
  <si>
    <t xml:space="preserve">GUSTAVO SCALIA CAVALCANTI DE ALBUQUERQUE </t>
  </si>
  <si>
    <t>11525058401</t>
  </si>
  <si>
    <t xml:space="preserve">HUDSON REGIS DE SOUSA FERREIRA </t>
  </si>
  <si>
    <t>47021252811</t>
  </si>
  <si>
    <t>14347370474</t>
  </si>
  <si>
    <t>PAULO EDUARDO BALBINO DO NASCIMENTO</t>
  </si>
  <si>
    <t>00151348227</t>
  </si>
  <si>
    <t xml:space="preserve">ROMULO GONÇALVES RIBEIRO </t>
  </si>
  <si>
    <t>10601999479</t>
  </si>
  <si>
    <t>AURIAN RODRIGUES DOS SANTOS FILHO</t>
  </si>
  <si>
    <t xml:space="preserve">BRUNA LEÃO SÁ PESSOA </t>
  </si>
  <si>
    <t>CAROLINA MARQUES MAGALHÃES VERAS</t>
  </si>
  <si>
    <t xml:space="preserve">EDUARDO QUEFREN DE OLIVEIRA CUPERTINO CRUZ </t>
  </si>
  <si>
    <t xml:space="preserve">ESTHER MARIA FERNANDES DE CARVALHO </t>
  </si>
  <si>
    <t>FILIPE DE LIMA SANTOS</t>
  </si>
  <si>
    <t>IAN GRISI LYRA</t>
  </si>
  <si>
    <t>JONATHA LISBOA SOARES</t>
  </si>
  <si>
    <t xml:space="preserve">KENIA SUZANY CAETANO LEITE </t>
  </si>
  <si>
    <t xml:space="preserve">LYDIA PIRES DE SOUZA </t>
  </si>
  <si>
    <t>MARIA EDUARDA MOREIRA FERREIRA</t>
  </si>
  <si>
    <t>MATHEUS ANTINHO DE LIMA</t>
  </si>
  <si>
    <t>MICHELE BERNARDINO DE OLIVEIRA DOS SANTOS</t>
  </si>
  <si>
    <t xml:space="preserve">MILEIDY APARECIDA CARDOSO DA SILVA CANDEIA </t>
  </si>
  <si>
    <t>PETRIA TEREZA DA SILVA NASCIMENTO</t>
  </si>
  <si>
    <t xml:space="preserve">THEO FREDERICO DE LIMA LUNA </t>
  </si>
  <si>
    <t xml:space="preserve">THOMAS RAMOS DOS SANTOS </t>
  </si>
  <si>
    <t>Excluir no mês 11</t>
  </si>
  <si>
    <t xml:space="preserve">DOMICIANO LUCAS DE CARVALHO BATISTA </t>
  </si>
  <si>
    <t>14634369478</t>
  </si>
  <si>
    <t xml:space="preserve">VICTOR PESSOA SILVA </t>
  </si>
  <si>
    <t>70472281445</t>
  </si>
  <si>
    <t xml:space="preserve">JOVINIANO DE MELO QUEIROZ </t>
  </si>
  <si>
    <t>70009321470</t>
  </si>
  <si>
    <t xml:space="preserve">KATIA MERY FALCAO NUNES </t>
  </si>
  <si>
    <t>07752480703</t>
  </si>
  <si>
    <t xml:space="preserve">BRUNA IZABELLI DA SILVA BRANDÃO </t>
  </si>
  <si>
    <t>05907959452</t>
  </si>
  <si>
    <t>Admissão</t>
  </si>
  <si>
    <t>BRENO DO NASCIMENTO MACEDO</t>
  </si>
  <si>
    <t>ISAAC LIMA DE CARVALHO</t>
  </si>
  <si>
    <t>GLAUBER ARLINDO DE OLIVEIRA SILVA</t>
  </si>
  <si>
    <t>Exclusão no mês 09</t>
  </si>
  <si>
    <t>Inclusão no mês 09</t>
  </si>
  <si>
    <t xml:space="preserve">Supervisora de Relacionamento </t>
  </si>
  <si>
    <t xml:space="preserve">Consultor comercial </t>
  </si>
  <si>
    <t>118.899.514-63</t>
  </si>
  <si>
    <t xml:space="preserve">Crislayne Ferreira De Oliveira </t>
  </si>
  <si>
    <t>121.231.864-14</t>
  </si>
  <si>
    <t xml:space="preserve">Vitória Silvino Ferreira Da Silva </t>
  </si>
  <si>
    <t>Rafaella Cavalcante de Lima</t>
  </si>
  <si>
    <t>052.601.264-16</t>
  </si>
  <si>
    <t xml:space="preserve">Ramom Neves Baldino </t>
  </si>
  <si>
    <t>Chief Revenue Officer – CRO do Grupo H</t>
  </si>
  <si>
    <t xml:space="preserve">Marcelo Wanderley De Sousa </t>
  </si>
  <si>
    <t xml:space="preserve">180 dias </t>
  </si>
  <si>
    <t>F33 . F41, L40</t>
  </si>
  <si>
    <t xml:space="preserve">Davi Medeiros Dantas Soares </t>
  </si>
  <si>
    <t xml:space="preserve">Estagiário de desenvolvimento </t>
  </si>
  <si>
    <t>Término contrato experiência - empresa</t>
  </si>
  <si>
    <t>Término antecipado contrato experiência - empresa</t>
  </si>
  <si>
    <t xml:space="preserve">Término antecipado contrato experiência - colaborador </t>
  </si>
  <si>
    <t xml:space="preserve">Término antecipado contrato experiência - empresa </t>
  </si>
  <si>
    <t>Rescisão Contrato de Estágio - empresa</t>
  </si>
  <si>
    <t>Rescisão Contrato de Estágio - contratação</t>
  </si>
  <si>
    <t xml:space="preserve">Rescisão Contrato de Estágio - estagiário </t>
  </si>
  <si>
    <t xml:space="preserve">CRISLAYNE FERREIRA DE OLIVEIRA </t>
  </si>
  <si>
    <t xml:space="preserve">GUILHERME SILVA DE LIRA </t>
  </si>
  <si>
    <t xml:space="preserve">IARLEY MEIRA DE OLIVEIRA </t>
  </si>
  <si>
    <t>JENIFFER ALVES DA SILVA CASTOR</t>
  </si>
  <si>
    <t xml:space="preserve">PEDRO LUCAS GOMES DA SILVA </t>
  </si>
  <si>
    <t xml:space="preserve">RAFAELLA CAVALCANTE DE LIMA </t>
  </si>
  <si>
    <t xml:space="preserve">VINICIUS CORDEIRO TEODORO DOS SANTOS </t>
  </si>
  <si>
    <t xml:space="preserve">VÍNCULO </t>
  </si>
  <si>
    <t xml:space="preserve">ARTHUR DE AMORIM MACENA </t>
  </si>
  <si>
    <t xml:space="preserve">DANIEL ARAÚJO LIMA DOS SANTOS </t>
  </si>
  <si>
    <t xml:space="preserve">DEMIS DOUGLAS GOMES SANTOS  </t>
  </si>
  <si>
    <t xml:space="preserve">FILLYPHE EDUARDO LUCENA JUSTINO </t>
  </si>
  <si>
    <t xml:space="preserve">LÍVIA JESUS ALMEIDA DE LIRA </t>
  </si>
  <si>
    <t xml:space="preserve">SIDNEY DE LIMA </t>
  </si>
  <si>
    <t xml:space="preserve">DEBORA DE COSTA SOUZA </t>
  </si>
  <si>
    <t>RAMOM NEVES BALDINO</t>
  </si>
  <si>
    <t xml:space="preserve">NATALY QUEIROZ </t>
  </si>
  <si>
    <t>04/09/0000</t>
  </si>
  <si>
    <t>17/08/0000</t>
  </si>
  <si>
    <t>06/04/0000</t>
  </si>
  <si>
    <t>15/11/0000</t>
  </si>
  <si>
    <t>AYLTON DA SILVA ALVES JUNIOR    </t>
  </si>
  <si>
    <t>SÓCIO    </t>
  </si>
  <si>
    <t>ISAELSON RAMOS DE OLIVEIRA    </t>
  </si>
  <si>
    <t>HAIRON KLIFF GOMES DA SILVA  </t>
  </si>
  <si>
    <t> 24/07/1986</t>
  </si>
  <si>
    <t>GILSANDRO COSTA MACEDO   </t>
  </si>
  <si>
    <t>SÓCIO   </t>
  </si>
  <si>
    <t> 17/12/1976</t>
  </si>
  <si>
    <t>DONO   </t>
  </si>
  <si>
    <t>DONO    </t>
  </si>
  <si>
    <t>SETEMBRO</t>
  </si>
  <si>
    <t>Inclusão no mês 10</t>
  </si>
  <si>
    <t>132.230.724-54</t>
  </si>
  <si>
    <t>718.712.584-48</t>
  </si>
  <si>
    <t>119.028.854-06</t>
  </si>
  <si>
    <t>108.820.504-60</t>
  </si>
  <si>
    <t>CXO - Chief Xperience Officer</t>
  </si>
  <si>
    <t xml:space="preserve">Gerente de desenvolvimento </t>
  </si>
  <si>
    <t xml:space="preserve">RELACIONAMENTO E PERFOMANCE </t>
  </si>
  <si>
    <t xml:space="preserve">EXPANSÃO </t>
  </si>
  <si>
    <t xml:space="preserve">SUPERVISORA DE RELKACIONAMENTO E PERFORMANCE </t>
  </si>
  <si>
    <t xml:space="preserve">EM ANDAMENTO </t>
  </si>
  <si>
    <t>JONATHAS BEZERRA (SÓCIO)</t>
  </si>
  <si>
    <t>SÓCIO HI FRANCHISING</t>
  </si>
  <si>
    <t>Z</t>
  </si>
  <si>
    <t xml:space="preserve">Desenvolvedor Junior </t>
  </si>
  <si>
    <t>FINANCEIRO/CONTÁBIL</t>
  </si>
  <si>
    <t>Henrique Barbosa</t>
  </si>
  <si>
    <t xml:space="preserve">Beatriz da Costa Gonçalves </t>
  </si>
  <si>
    <t>133.288.924-78</t>
  </si>
  <si>
    <t>Mateus de Lima Albuquerque</t>
  </si>
  <si>
    <t>134.276.884-10</t>
  </si>
  <si>
    <t>Analista de Expansão</t>
  </si>
  <si>
    <t>Juliana de Souza Silva</t>
  </si>
  <si>
    <t>081.568.214-08</t>
  </si>
  <si>
    <t>Anna Vitória Guedes Do Nascimento Abilio</t>
  </si>
  <si>
    <t>103.984.914-88</t>
  </si>
  <si>
    <t xml:space="preserve">Estágiario  de Arquitetura </t>
  </si>
  <si>
    <t>11:30 às 17:30</t>
  </si>
  <si>
    <t xml:space="preserve">BEATRIZ DA COSTA GONÇALVES </t>
  </si>
  <si>
    <t xml:space="preserve">MATEUS DE LIMA ALBUQUERQUE </t>
  </si>
  <si>
    <t xml:space="preserve">JULIANA DE SOUZA SILVA </t>
  </si>
  <si>
    <t>ANNA VITÓRIA GUEDES DO NACIMENTO</t>
  </si>
  <si>
    <t xml:space="preserve">OUTUBRO </t>
  </si>
  <si>
    <t xml:space="preserve">ANALISTA DE EXPANSÃO </t>
  </si>
  <si>
    <t xml:space="preserve">ESTAGIÁRIO DE ARQUITETURA </t>
  </si>
  <si>
    <t>Gerente de Marketing</t>
  </si>
  <si>
    <t xml:space="preserve">vitória Silvino Ferreira Da Silva </t>
  </si>
  <si>
    <t>Carlos Henrique Barbosa da Silva</t>
  </si>
  <si>
    <t>074.363.824-70</t>
  </si>
  <si>
    <t>Everton Paranhos da Silva</t>
  </si>
  <si>
    <t>076.815.674-29</t>
  </si>
  <si>
    <t>Valdo Neves Da Silva Neto</t>
  </si>
  <si>
    <t>052.013.264-55</t>
  </si>
  <si>
    <t>Helena Da Nobrega Tomaz Trombeta</t>
  </si>
  <si>
    <t>701.363.574-07</t>
  </si>
  <si>
    <t>VT</t>
  </si>
  <si>
    <t xml:space="preserve">EVERTON PARANHOS DA SILVA </t>
  </si>
  <si>
    <t xml:space="preserve">VALDO NEVES DA SILVA NETO </t>
  </si>
  <si>
    <t>HELENA DA NOBREGA TOMAZ TROMBETA</t>
  </si>
  <si>
    <t xml:space="preserve">ABRIL </t>
  </si>
  <si>
    <t xml:space="preserve">AGOSTO </t>
  </si>
  <si>
    <t xml:space="preserve">SETEMBRO </t>
  </si>
  <si>
    <t xml:space="preserve">CARLOS HENRIQUE BARBOSA DA SILVA </t>
  </si>
  <si>
    <t xml:space="preserve">OPERAÇÕES </t>
  </si>
  <si>
    <t xml:space="preserve">OPERADOR DE LAVANDERIAS E ENTREGA </t>
  </si>
  <si>
    <t xml:space="preserve">CONSULTOR COMERCIAL </t>
  </si>
  <si>
    <t>ESTAGIÁRIA DE DESENVOLVIMENTO</t>
  </si>
  <si>
    <t>GERENTE DE MARKETING</t>
  </si>
  <si>
    <t xml:space="preserve">Oerador de lavanderia e entregas </t>
  </si>
  <si>
    <t>Consultor Comercial</t>
  </si>
  <si>
    <t>Estágiario  de Desenvolvimento</t>
  </si>
  <si>
    <t xml:space="preserve">Vitória Andrade Vasconcelos Brandão </t>
  </si>
  <si>
    <t>MARÇO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</si>
</sst>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7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indexed="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1F1F1F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rgb="FF1F1F1F"/>
      <name val="Calibri"/>
      <family val="2"/>
      <scheme val="minor"/>
    </font>
    <font>
      <sz val="11"/>
      <color rgb="FF151515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indexed="3"/>
      <name val="Calibri"/>
      <family val="2"/>
      <scheme val="minor"/>
    </font>
    <font>
      <sz val="10"/>
      <name val="Tahoma"/>
      <family val="2"/>
    </font>
    <font>
      <sz val="11"/>
      <color indexed="63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151515"/>
      <name val="Calibri"/>
      <family val="2"/>
      <scheme val="minor"/>
    </font>
    <font>
      <sz val="9"/>
      <color indexed="63"/>
      <name val="Segoe U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 Light"/>
      <family val="2"/>
      <scheme val="major"/>
    </font>
    <font>
      <b/>
      <sz val="9"/>
      <color theme="0"/>
      <name val="Calibri Light"/>
      <family val="2"/>
      <scheme val="major"/>
    </font>
    <font>
      <b/>
      <sz val="9"/>
      <color theme="1"/>
      <name val="Calibri Light"/>
      <family val="2"/>
      <scheme val="maj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theme="1"/>
      <name val="Calibri Light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 Light"/>
      <family val="2"/>
      <scheme val="major"/>
    </font>
    <font>
      <sz val="8"/>
      <color indexed="8"/>
      <name val="Arial"/>
      <family val="2"/>
    </font>
    <font>
      <sz val="10"/>
      <color theme="1"/>
      <name val="Arial"/>
      <family val="2"/>
    </font>
    <font>
      <sz val="8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sz val="10"/>
      <color rgb="FF333333"/>
      <name val="Arial"/>
      <family val="2"/>
    </font>
    <font>
      <sz val="10"/>
      <color indexed="8"/>
      <name val="Arial"/>
      <family val="2"/>
    </font>
    <font>
      <sz val="11"/>
      <color theme="1"/>
      <name val="Calibri "/>
    </font>
    <font>
      <sz val="11"/>
      <name val="Calibri 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name val="Calibri Light"/>
      <family val="2"/>
      <scheme val="major"/>
    </font>
    <font>
      <sz val="11"/>
      <color rgb="FF000000"/>
      <name val="Segoe UI"/>
      <family val="2"/>
    </font>
    <font>
      <sz val="10"/>
      <color theme="1"/>
      <name val="Calibri"/>
      <family val="2"/>
    </font>
    <font>
      <sz val="10"/>
      <color indexed="8"/>
      <name val="Calibri"/>
      <family val="2"/>
    </font>
    <font>
      <sz val="11"/>
      <color indexed="8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theme="8" tint="-0.249977111117893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indexed="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5"/>
      </patternFill>
    </fill>
    <fill>
      <patternFill patternType="solid">
        <fgColor theme="9" tint="-0.249977111117893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52" fillId="0" borderId="0" applyFont="0" applyFill="0" applyBorder="0" applyProtection="0"/>
  </cellStyleXfs>
  <cellXfs count="380">
    <xf numFmtId="0" fontId="0" fillId="0" borderId="0" xfId="0"/>
    <xf numFmtId="0" fontId="0" fillId="0" borderId="0" xfId="0" applyAlignment="1">
      <alignment horizontal="center"/>
    </xf>
    <xf numFmtId="0" fontId="33" fillId="0" borderId="0" xfId="0" applyFont="1"/>
    <xf numFmtId="0" fontId="34" fillId="3" borderId="1" xfId="0" applyFont="1" applyFill="1" applyBorder="1"/>
    <xf numFmtId="0" fontId="34" fillId="3" borderId="1" xfId="0" applyFont="1" applyFill="1" applyBorder="1" applyAlignment="1">
      <alignment horizontal="center"/>
    </xf>
    <xf numFmtId="0" fontId="35" fillId="0" borderId="1" xfId="0" applyFont="1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44" fontId="0" fillId="0" borderId="1" xfId="1" applyFont="1" applyBorder="1" applyAlignment="1">
      <alignment horizontal="center"/>
    </xf>
    <xf numFmtId="8" fontId="0" fillId="0" borderId="1" xfId="1" applyNumberFormat="1" applyFont="1" applyBorder="1" applyAlignment="1">
      <alignment horizontal="center"/>
    </xf>
    <xf numFmtId="0" fontId="36" fillId="0" borderId="1" xfId="0" applyFont="1" applyBorder="1"/>
    <xf numFmtId="0" fontId="0" fillId="0" borderId="1" xfId="0" applyBorder="1"/>
    <xf numFmtId="0" fontId="36" fillId="0" borderId="1" xfId="0" applyFont="1" applyBorder="1" applyAlignment="1">
      <alignment horizontal="center"/>
    </xf>
    <xf numFmtId="14" fontId="37" fillId="0" borderId="1" xfId="0" applyNumberFormat="1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1" xfId="0" applyFont="1" applyBorder="1"/>
    <xf numFmtId="3" fontId="35" fillId="0" borderId="1" xfId="0" applyNumberFormat="1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14" fontId="35" fillId="0" borderId="1" xfId="0" applyNumberFormat="1" applyFont="1" applyBorder="1" applyAlignment="1">
      <alignment horizontal="center"/>
    </xf>
    <xf numFmtId="14" fontId="38" fillId="0" borderId="1" xfId="0" applyNumberFormat="1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14" fontId="36" fillId="0" borderId="1" xfId="0" applyNumberFormat="1" applyFont="1" applyBorder="1" applyAlignment="1">
      <alignment horizontal="center" vertical="center" wrapText="1"/>
    </xf>
    <xf numFmtId="14" fontId="36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36" fillId="0" borderId="1" xfId="0" applyFont="1" applyBorder="1" applyAlignment="1">
      <alignment horizontal="left"/>
    </xf>
    <xf numFmtId="49" fontId="35" fillId="0" borderId="1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36" fillId="0" borderId="1" xfId="0" applyFont="1" applyBorder="1" applyAlignment="1">
      <alignment vertical="center" wrapText="1"/>
    </xf>
    <xf numFmtId="44" fontId="36" fillId="0" borderId="1" xfId="1" applyFont="1" applyBorder="1" applyAlignment="1">
      <alignment horizontal="center"/>
    </xf>
    <xf numFmtId="0" fontId="0" fillId="4" borderId="1" xfId="0" applyFill="1" applyBorder="1"/>
    <xf numFmtId="14" fontId="0" fillId="4" borderId="1" xfId="0" applyNumberFormat="1" applyFill="1" applyBorder="1" applyAlignment="1">
      <alignment horizontal="center"/>
    </xf>
    <xf numFmtId="0" fontId="43" fillId="4" borderId="0" xfId="0" applyFont="1" applyFill="1" applyAlignment="1">
      <alignment horizontal="center" vertical="top"/>
    </xf>
    <xf numFmtId="0" fontId="35" fillId="4" borderId="1" xfId="0" applyFont="1" applyFill="1" applyBorder="1"/>
    <xf numFmtId="0" fontId="43" fillId="0" borderId="0" xfId="0" applyFont="1" applyAlignment="1">
      <alignment vertical="top"/>
    </xf>
    <xf numFmtId="0" fontId="43" fillId="0" borderId="0" xfId="0" applyFont="1" applyAlignment="1">
      <alignment horizontal="center" vertical="top"/>
    </xf>
    <xf numFmtId="14" fontId="43" fillId="0" borderId="0" xfId="0" applyNumberFormat="1" applyFont="1" applyAlignment="1">
      <alignment horizontal="center" vertical="top"/>
    </xf>
    <xf numFmtId="0" fontId="0" fillId="5" borderId="1" xfId="0" applyFill="1" applyBorder="1"/>
    <xf numFmtId="14" fontId="0" fillId="5" borderId="1" xfId="0" applyNumberFormat="1" applyFill="1" applyBorder="1" applyAlignment="1">
      <alignment horizontal="center"/>
    </xf>
    <xf numFmtId="14" fontId="0" fillId="0" borderId="0" xfId="0" applyNumberFormat="1"/>
    <xf numFmtId="0" fontId="36" fillId="4" borderId="1" xfId="0" applyFont="1" applyFill="1" applyBorder="1"/>
    <xf numFmtId="0" fontId="36" fillId="5" borderId="1" xfId="0" applyFont="1" applyFill="1" applyBorder="1"/>
    <xf numFmtId="14" fontId="36" fillId="5" borderId="1" xfId="0" applyNumberFormat="1" applyFont="1" applyFill="1" applyBorder="1" applyAlignment="1">
      <alignment horizontal="center"/>
    </xf>
    <xf numFmtId="14" fontId="36" fillId="4" borderId="1" xfId="0" applyNumberFormat="1" applyFont="1" applyFill="1" applyBorder="1" applyAlignment="1">
      <alignment horizontal="center"/>
    </xf>
    <xf numFmtId="0" fontId="37" fillId="4" borderId="1" xfId="0" applyFont="1" applyFill="1" applyBorder="1"/>
    <xf numFmtId="0" fontId="44" fillId="4" borderId="1" xfId="0" applyFont="1" applyFill="1" applyBorder="1"/>
    <xf numFmtId="0" fontId="0" fillId="4" borderId="4" xfId="0" applyFill="1" applyBorder="1"/>
    <xf numFmtId="0" fontId="0" fillId="6" borderId="1" xfId="0" applyFill="1" applyBorder="1"/>
    <xf numFmtId="14" fontId="0" fillId="6" borderId="1" xfId="0" applyNumberFormat="1" applyFill="1" applyBorder="1" applyAlignment="1">
      <alignment horizontal="center"/>
    </xf>
    <xf numFmtId="0" fontId="35" fillId="5" borderId="1" xfId="0" applyFont="1" applyFill="1" applyBorder="1"/>
    <xf numFmtId="0" fontId="0" fillId="5" borderId="4" xfId="0" applyFill="1" applyBorder="1"/>
    <xf numFmtId="0" fontId="36" fillId="4" borderId="1" xfId="0" applyFont="1" applyFill="1" applyBorder="1" applyAlignment="1">
      <alignment horizontal="left"/>
    </xf>
    <xf numFmtId="0" fontId="36" fillId="4" borderId="0" xfId="0" applyFont="1" applyFill="1"/>
    <xf numFmtId="0" fontId="36" fillId="4" borderId="0" xfId="0" applyFont="1" applyFill="1" applyAlignment="1">
      <alignment horizontal="left"/>
    </xf>
    <xf numFmtId="0" fontId="36" fillId="5" borderId="1" xfId="0" applyFont="1" applyFill="1" applyBorder="1" applyAlignment="1">
      <alignment vertical="center" wrapText="1"/>
    </xf>
    <xf numFmtId="0" fontId="36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horizontal="left"/>
    </xf>
    <xf numFmtId="0" fontId="0" fillId="7" borderId="1" xfId="0" applyFill="1" applyBorder="1"/>
    <xf numFmtId="14" fontId="0" fillId="7" borderId="1" xfId="0" applyNumberFormat="1" applyFill="1" applyBorder="1" applyAlignment="1">
      <alignment horizontal="center"/>
    </xf>
    <xf numFmtId="0" fontId="0" fillId="4" borderId="5" xfId="0" applyFill="1" applyBorder="1"/>
    <xf numFmtId="0" fontId="36" fillId="8" borderId="6" xfId="0" applyFont="1" applyFill="1" applyBorder="1"/>
    <xf numFmtId="14" fontId="0" fillId="8" borderId="1" xfId="0" applyNumberFormat="1" applyFill="1" applyBorder="1" applyAlignment="1">
      <alignment horizontal="center"/>
    </xf>
    <xf numFmtId="0" fontId="0" fillId="4" borderId="0" xfId="0" applyFill="1"/>
    <xf numFmtId="0" fontId="0" fillId="8" borderId="6" xfId="0" applyFill="1" applyBorder="1"/>
    <xf numFmtId="0" fontId="36" fillId="8" borderId="1" xfId="0" applyFont="1" applyFill="1" applyBorder="1"/>
    <xf numFmtId="0" fontId="0" fillId="8" borderId="1" xfId="0" applyFill="1" applyBorder="1"/>
    <xf numFmtId="0" fontId="40" fillId="7" borderId="1" xfId="0" applyFont="1" applyFill="1" applyBorder="1" applyAlignment="1">
      <alignment horizontal="left"/>
    </xf>
    <xf numFmtId="0" fontId="36" fillId="4" borderId="1" xfId="0" applyFont="1" applyFill="1" applyBorder="1" applyAlignment="1">
      <alignment horizontal="center" vertical="top"/>
    </xf>
    <xf numFmtId="14" fontId="36" fillId="4" borderId="1" xfId="0" applyNumberFormat="1" applyFont="1" applyFill="1" applyBorder="1" applyAlignment="1">
      <alignment horizontal="center" vertical="top"/>
    </xf>
    <xf numFmtId="0" fontId="36" fillId="5" borderId="6" xfId="0" applyFont="1" applyFill="1" applyBorder="1"/>
    <xf numFmtId="0" fontId="0" fillId="5" borderId="6" xfId="0" applyFill="1" applyBorder="1"/>
    <xf numFmtId="0" fontId="33" fillId="0" borderId="0" xfId="0" applyFont="1" applyAlignment="1">
      <alignment horizontal="center"/>
    </xf>
    <xf numFmtId="0" fontId="37" fillId="4" borderId="1" xfId="0" applyFont="1" applyFill="1" applyBorder="1" applyAlignment="1">
      <alignment horizontal="center"/>
    </xf>
    <xf numFmtId="14" fontId="37" fillId="4" borderId="1" xfId="0" applyNumberFormat="1" applyFont="1" applyFill="1" applyBorder="1" applyAlignment="1">
      <alignment horizontal="center"/>
    </xf>
    <xf numFmtId="44" fontId="37" fillId="4" borderId="1" xfId="1" applyFont="1" applyFill="1" applyBorder="1"/>
    <xf numFmtId="0" fontId="37" fillId="4" borderId="6" xfId="0" applyFont="1" applyFill="1" applyBorder="1" applyAlignment="1">
      <alignment horizontal="center"/>
    </xf>
    <xf numFmtId="0" fontId="34" fillId="0" borderId="0" xfId="0" applyFont="1"/>
    <xf numFmtId="0" fontId="45" fillId="4" borderId="1" xfId="0" applyFont="1" applyFill="1" applyBorder="1" applyAlignment="1">
      <alignment horizontal="center"/>
    </xf>
    <xf numFmtId="0" fontId="37" fillId="4" borderId="0" xfId="0" applyFont="1" applyFill="1" applyAlignment="1">
      <alignment horizontal="center"/>
    </xf>
    <xf numFmtId="0" fontId="33" fillId="4" borderId="6" xfId="0" applyFont="1" applyFill="1" applyBorder="1" applyAlignment="1">
      <alignment horizontal="center"/>
    </xf>
    <xf numFmtId="0" fontId="33" fillId="4" borderId="1" xfId="0" applyFont="1" applyFill="1" applyBorder="1" applyAlignment="1">
      <alignment horizontal="center"/>
    </xf>
    <xf numFmtId="14" fontId="33" fillId="4" borderId="1" xfId="0" applyNumberFormat="1" applyFont="1" applyFill="1" applyBorder="1" applyAlignment="1">
      <alignment horizontal="center"/>
    </xf>
    <xf numFmtId="44" fontId="46" fillId="4" borderId="0" xfId="1" applyFont="1" applyFill="1"/>
    <xf numFmtId="44" fontId="33" fillId="4" borderId="1" xfId="1" applyFont="1" applyFill="1" applyBorder="1"/>
    <xf numFmtId="0" fontId="34" fillId="4" borderId="1" xfId="0" applyFont="1" applyFill="1" applyBorder="1" applyAlignment="1">
      <alignment horizontal="center"/>
    </xf>
    <xf numFmtId="44" fontId="33" fillId="4" borderId="3" xfId="1" applyFont="1" applyFill="1" applyBorder="1"/>
    <xf numFmtId="14" fontId="33" fillId="4" borderId="0" xfId="0" applyNumberFormat="1" applyFont="1" applyFill="1" applyAlignment="1">
      <alignment horizontal="center"/>
    </xf>
    <xf numFmtId="0" fontId="33" fillId="4" borderId="3" xfId="0" applyFont="1" applyFill="1" applyBorder="1" applyAlignment="1">
      <alignment horizontal="center"/>
    </xf>
    <xf numFmtId="0" fontId="33" fillId="4" borderId="1" xfId="0" applyFont="1" applyFill="1" applyBorder="1"/>
    <xf numFmtId="44" fontId="33" fillId="4" borderId="0" xfId="1" applyFont="1" applyFill="1"/>
    <xf numFmtId="0" fontId="33" fillId="7" borderId="1" xfId="0" applyFont="1" applyFill="1" applyBorder="1" applyAlignment="1">
      <alignment horizontal="center"/>
    </xf>
    <xf numFmtId="0" fontId="33" fillId="5" borderId="1" xfId="0" applyFont="1" applyFill="1" applyBorder="1"/>
    <xf numFmtId="0" fontId="33" fillId="5" borderId="1" xfId="0" applyFont="1" applyFill="1" applyBorder="1" applyAlignment="1">
      <alignment horizontal="center"/>
    </xf>
    <xf numFmtId="14" fontId="33" fillId="5" borderId="1" xfId="0" applyNumberFormat="1" applyFont="1" applyFill="1" applyBorder="1" applyAlignment="1">
      <alignment horizontal="center"/>
    </xf>
    <xf numFmtId="44" fontId="37" fillId="5" borderId="0" xfId="1" applyFont="1" applyFill="1"/>
    <xf numFmtId="0" fontId="33" fillId="0" borderId="1" xfId="0" applyFont="1" applyBorder="1"/>
    <xf numFmtId="0" fontId="33" fillId="0" borderId="1" xfId="0" applyFont="1" applyBorder="1" applyAlignment="1">
      <alignment horizontal="center"/>
    </xf>
    <xf numFmtId="14" fontId="33" fillId="0" borderId="1" xfId="0" applyNumberFormat="1" applyFont="1" applyBorder="1" applyAlignment="1">
      <alignment horizontal="center"/>
    </xf>
    <xf numFmtId="0" fontId="48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44" fontId="0" fillId="0" borderId="0" xfId="1" applyFont="1" applyAlignment="1">
      <alignment horizontal="center"/>
    </xf>
    <xf numFmtId="0" fontId="33" fillId="0" borderId="0" xfId="0" applyFont="1" applyAlignment="1">
      <alignment vertical="center"/>
    </xf>
    <xf numFmtId="0" fontId="34" fillId="3" borderId="1" xfId="0" applyFont="1" applyFill="1" applyBorder="1" applyAlignment="1">
      <alignment horizontal="left" vertical="center"/>
    </xf>
    <xf numFmtId="0" fontId="34" fillId="3" borderId="1" xfId="0" applyFont="1" applyFill="1" applyBorder="1" applyAlignment="1">
      <alignment horizontal="center" vertical="center"/>
    </xf>
    <xf numFmtId="44" fontId="34" fillId="3" borderId="1" xfId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14" fontId="33" fillId="4" borderId="1" xfId="0" applyNumberFormat="1" applyFont="1" applyFill="1" applyBorder="1" applyAlignment="1">
      <alignment horizontal="center" vertical="center"/>
    </xf>
    <xf numFmtId="44" fontId="33" fillId="4" borderId="1" xfId="1" applyFont="1" applyFill="1" applyBorder="1" applyAlignment="1">
      <alignment horizontal="center" vertical="center"/>
    </xf>
    <xf numFmtId="44" fontId="0" fillId="4" borderId="1" xfId="1" applyFont="1" applyFill="1" applyBorder="1" applyAlignment="1">
      <alignment horizontal="center"/>
    </xf>
    <xf numFmtId="44" fontId="36" fillId="4" borderId="1" xfId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left" vertical="center"/>
    </xf>
    <xf numFmtId="14" fontId="0" fillId="4" borderId="1" xfId="0" applyNumberFormat="1" applyFill="1" applyBorder="1" applyAlignment="1">
      <alignment horizontal="center" vertical="center"/>
    </xf>
    <xf numFmtId="14" fontId="0" fillId="4" borderId="1" xfId="1" applyNumberFormat="1" applyFont="1" applyFill="1" applyBorder="1" applyAlignment="1">
      <alignment horizontal="center"/>
    </xf>
    <xf numFmtId="44" fontId="0" fillId="4" borderId="1" xfId="1" applyFont="1" applyFill="1" applyBorder="1" applyAlignment="1">
      <alignment horizontal="center" vertical="center"/>
    </xf>
    <xf numFmtId="14" fontId="0" fillId="4" borderId="4" xfId="0" applyNumberFormat="1" applyFill="1" applyBorder="1" applyAlignment="1">
      <alignment horizontal="center" vertical="center"/>
    </xf>
    <xf numFmtId="14" fontId="0" fillId="4" borderId="4" xfId="0" applyNumberFormat="1" applyFill="1" applyBorder="1" applyAlignment="1">
      <alignment horizontal="center"/>
    </xf>
    <xf numFmtId="44" fontId="0" fillId="4" borderId="4" xfId="1" applyFont="1" applyFill="1" applyBorder="1" applyAlignment="1">
      <alignment horizontal="center"/>
    </xf>
    <xf numFmtId="44" fontId="0" fillId="4" borderId="4" xfId="1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/>
    </xf>
    <xf numFmtId="0" fontId="0" fillId="4" borderId="2" xfId="0" applyFill="1" applyBorder="1"/>
    <xf numFmtId="14" fontId="0" fillId="4" borderId="1" xfId="1" applyNumberFormat="1" applyFont="1" applyFill="1" applyBorder="1" applyAlignment="1">
      <alignment horizontal="center" vertical="center"/>
    </xf>
    <xf numFmtId="44" fontId="39" fillId="4" borderId="1" xfId="1" applyFont="1" applyFill="1" applyBorder="1" applyAlignment="1">
      <alignment horizontal="center"/>
    </xf>
    <xf numFmtId="44" fontId="39" fillId="4" borderId="1" xfId="1" applyFont="1" applyFill="1" applyBorder="1"/>
    <xf numFmtId="44" fontId="0" fillId="4" borderId="1" xfId="1" applyFont="1" applyFill="1" applyBorder="1"/>
    <xf numFmtId="14" fontId="0" fillId="4" borderId="0" xfId="0" applyNumberFormat="1" applyFill="1" applyAlignment="1">
      <alignment horizontal="center"/>
    </xf>
    <xf numFmtId="44" fontId="39" fillId="4" borderId="0" xfId="1" applyFont="1" applyFill="1" applyAlignment="1">
      <alignment horizontal="center"/>
    </xf>
    <xf numFmtId="16" fontId="0" fillId="4" borderId="1" xfId="0" applyNumberFormat="1" applyFill="1" applyBorder="1" applyAlignment="1">
      <alignment horizontal="center"/>
    </xf>
    <xf numFmtId="8" fontId="0" fillId="4" borderId="1" xfId="1" applyNumberFormat="1" applyFont="1" applyFill="1" applyBorder="1" applyAlignment="1">
      <alignment horizontal="center"/>
    </xf>
    <xf numFmtId="44" fontId="36" fillId="4" borderId="0" xfId="1" applyFont="1" applyFill="1"/>
    <xf numFmtId="0" fontId="0" fillId="9" borderId="1" xfId="0" applyFill="1" applyBorder="1" applyAlignment="1">
      <alignment horizontal="center"/>
    </xf>
    <xf numFmtId="14" fontId="0" fillId="9" borderId="1" xfId="0" applyNumberFormat="1" applyFill="1" applyBorder="1" applyAlignment="1">
      <alignment horizontal="center"/>
    </xf>
    <xf numFmtId="44" fontId="0" fillId="9" borderId="1" xfId="1" applyFont="1" applyFill="1" applyBorder="1" applyAlignment="1">
      <alignment horizontal="center"/>
    </xf>
    <xf numFmtId="0" fontId="49" fillId="10" borderId="0" xfId="0" applyFont="1" applyFill="1" applyAlignment="1">
      <alignment horizontal="center" vertical="center"/>
    </xf>
    <xf numFmtId="0" fontId="50" fillId="10" borderId="0" xfId="0" applyFont="1" applyFill="1" applyAlignment="1">
      <alignment horizontal="center" vertical="center"/>
    </xf>
    <xf numFmtId="0" fontId="49" fillId="0" borderId="0" xfId="0" applyFont="1"/>
    <xf numFmtId="14" fontId="53" fillId="4" borderId="1" xfId="0" applyNumberFormat="1" applyFont="1" applyFill="1" applyBorder="1" applyAlignment="1">
      <alignment horizontal="center"/>
    </xf>
    <xf numFmtId="0" fontId="0" fillId="12" borderId="1" xfId="0" applyFill="1" applyBorder="1"/>
    <xf numFmtId="0" fontId="0" fillId="12" borderId="1" xfId="0" applyFill="1" applyBorder="1" applyAlignment="1">
      <alignment horizontal="center"/>
    </xf>
    <xf numFmtId="14" fontId="0" fillId="12" borderId="1" xfId="0" applyNumberFormat="1" applyFill="1" applyBorder="1" applyAlignment="1">
      <alignment horizontal="center"/>
    </xf>
    <xf numFmtId="0" fontId="35" fillId="12" borderId="1" xfId="0" applyFont="1" applyFill="1" applyBorder="1"/>
    <xf numFmtId="0" fontId="36" fillId="12" borderId="1" xfId="0" applyFont="1" applyFill="1" applyBorder="1" applyAlignment="1">
      <alignment horizontal="left"/>
    </xf>
    <xf numFmtId="0" fontId="36" fillId="12" borderId="0" xfId="0" applyFont="1" applyFill="1" applyAlignment="1">
      <alignment horizontal="left"/>
    </xf>
    <xf numFmtId="44" fontId="0" fillId="12" borderId="1" xfId="1" applyFont="1" applyFill="1" applyBorder="1" applyAlignment="1">
      <alignment horizontal="center"/>
    </xf>
    <xf numFmtId="0" fontId="41" fillId="0" borderId="1" xfId="0" applyFont="1" applyBorder="1"/>
    <xf numFmtId="0" fontId="33" fillId="12" borderId="1" xfId="0" applyFont="1" applyFill="1" applyBorder="1"/>
    <xf numFmtId="0" fontId="33" fillId="12" borderId="1" xfId="0" applyFont="1" applyFill="1" applyBorder="1" applyAlignment="1">
      <alignment horizontal="center"/>
    </xf>
    <xf numFmtId="14" fontId="33" fillId="12" borderId="1" xfId="0" applyNumberFormat="1" applyFont="1" applyFill="1" applyBorder="1" applyAlignment="1">
      <alignment horizontal="center"/>
    </xf>
    <xf numFmtId="44" fontId="33" fillId="12" borderId="1" xfId="1" applyFont="1" applyFill="1" applyBorder="1"/>
    <xf numFmtId="44" fontId="33" fillId="0" borderId="1" xfId="0" applyNumberFormat="1" applyFont="1" applyBorder="1"/>
    <xf numFmtId="0" fontId="28" fillId="0" borderId="1" xfId="0" applyFont="1" applyBorder="1"/>
    <xf numFmtId="0" fontId="40" fillId="0" borderId="1" xfId="0" applyFont="1" applyBorder="1" applyAlignment="1">
      <alignment horizontal="left"/>
    </xf>
    <xf numFmtId="14" fontId="39" fillId="0" borderId="1" xfId="0" applyNumberFormat="1" applyFont="1" applyBorder="1" applyAlignment="1">
      <alignment horizontal="center"/>
    </xf>
    <xf numFmtId="0" fontId="0" fillId="13" borderId="1" xfId="0" applyFill="1" applyBorder="1"/>
    <xf numFmtId="0" fontId="36" fillId="12" borderId="1" xfId="0" applyFont="1" applyFill="1" applyBorder="1"/>
    <xf numFmtId="0" fontId="36" fillId="12" borderId="0" xfId="0" applyFont="1" applyFill="1"/>
    <xf numFmtId="0" fontId="0" fillId="12" borderId="0" xfId="0" applyFill="1"/>
    <xf numFmtId="0" fontId="0" fillId="14" borderId="1" xfId="0" applyFill="1" applyBorder="1"/>
    <xf numFmtId="14" fontId="0" fillId="14" borderId="1" xfId="0" applyNumberFormat="1" applyFill="1" applyBorder="1" applyAlignment="1">
      <alignment horizontal="center"/>
    </xf>
    <xf numFmtId="0" fontId="40" fillId="12" borderId="1" xfId="0" applyFont="1" applyFill="1" applyBorder="1" applyAlignment="1">
      <alignment horizontal="left"/>
    </xf>
    <xf numFmtId="44" fontId="33" fillId="12" borderId="1" xfId="0" applyNumberFormat="1" applyFont="1" applyFill="1" applyBorder="1"/>
    <xf numFmtId="0" fontId="27" fillId="0" borderId="1" xfId="0" applyFont="1" applyBorder="1" applyAlignment="1">
      <alignment horizontal="center"/>
    </xf>
    <xf numFmtId="0" fontId="47" fillId="0" borderId="1" xfId="0" applyFont="1" applyBorder="1"/>
    <xf numFmtId="0" fontId="29" fillId="12" borderId="1" xfId="0" applyFont="1" applyFill="1" applyBorder="1"/>
    <xf numFmtId="44" fontId="54" fillId="12" borderId="0" xfId="1" applyFont="1" applyFill="1"/>
    <xf numFmtId="44" fontId="54" fillId="12" borderId="1" xfId="1" applyFont="1" applyFill="1" applyBorder="1"/>
    <xf numFmtId="164" fontId="0" fillId="0" borderId="1" xfId="0" applyNumberFormat="1" applyBorder="1" applyAlignment="1">
      <alignment horizontal="center"/>
    </xf>
    <xf numFmtId="0" fontId="33" fillId="12" borderId="4" xfId="0" applyFont="1" applyFill="1" applyBorder="1" applyAlignment="1">
      <alignment horizontal="center"/>
    </xf>
    <xf numFmtId="44" fontId="37" fillId="12" borderId="0" xfId="1" applyFont="1" applyFill="1"/>
    <xf numFmtId="14" fontId="33" fillId="12" borderId="4" xfId="0" applyNumberFormat="1" applyFont="1" applyFill="1" applyBorder="1" applyAlignment="1">
      <alignment horizontal="center"/>
    </xf>
    <xf numFmtId="14" fontId="36" fillId="0" borderId="1" xfId="0" applyNumberFormat="1" applyFont="1" applyBorder="1" applyAlignment="1">
      <alignment horizontal="left"/>
    </xf>
    <xf numFmtId="164" fontId="36" fillId="0" borderId="1" xfId="1" applyNumberFormat="1" applyFont="1" applyBorder="1" applyAlignment="1">
      <alignment horizontal="left"/>
    </xf>
    <xf numFmtId="14" fontId="0" fillId="0" borderId="3" xfId="0" applyNumberFormat="1" applyBorder="1" applyAlignment="1">
      <alignment horizontal="center"/>
    </xf>
    <xf numFmtId="0" fontId="0" fillId="15" borderId="1" xfId="0" applyFill="1" applyBorder="1"/>
    <xf numFmtId="14" fontId="0" fillId="15" borderId="1" xfId="0" applyNumberFormat="1" applyFill="1" applyBorder="1" applyAlignment="1">
      <alignment horizontal="center"/>
    </xf>
    <xf numFmtId="0" fontId="36" fillId="15" borderId="1" xfId="0" applyFont="1" applyFill="1" applyBorder="1"/>
    <xf numFmtId="0" fontId="33" fillId="0" borderId="1" xfId="0" applyFont="1" applyBorder="1" applyAlignment="1">
      <alignment horizontal="left"/>
    </xf>
    <xf numFmtId="0" fontId="26" fillId="12" borderId="1" xfId="0" applyFont="1" applyFill="1" applyBorder="1"/>
    <xf numFmtId="164" fontId="0" fillId="0" borderId="1" xfId="1" applyNumberFormat="1" applyFont="1" applyBorder="1" applyAlignment="1">
      <alignment horizontal="center"/>
    </xf>
    <xf numFmtId="0" fontId="26" fillId="0" borderId="1" xfId="0" applyFont="1" applyBorder="1" applyAlignment="1">
      <alignment horizontal="left"/>
    </xf>
    <xf numFmtId="0" fontId="24" fillId="0" borderId="0" xfId="0" applyFont="1"/>
    <xf numFmtId="0" fontId="25" fillId="12" borderId="1" xfId="0" applyFont="1" applyFill="1" applyBorder="1" applyAlignment="1">
      <alignment horizontal="center"/>
    </xf>
    <xf numFmtId="0" fontId="58" fillId="17" borderId="1" xfId="0" applyFont="1" applyFill="1" applyBorder="1"/>
    <xf numFmtId="0" fontId="58" fillId="17" borderId="1" xfId="0" applyFont="1" applyFill="1" applyBorder="1" applyAlignment="1">
      <alignment horizontal="center"/>
    </xf>
    <xf numFmtId="14" fontId="58" fillId="17" borderId="1" xfId="0" applyNumberFormat="1" applyFont="1" applyFill="1" applyBorder="1" applyAlignment="1">
      <alignment horizontal="center"/>
    </xf>
    <xf numFmtId="14" fontId="24" fillId="0" borderId="0" xfId="0" applyNumberFormat="1" applyFont="1"/>
    <xf numFmtId="44" fontId="37" fillId="12" borderId="1" xfId="1" applyFont="1" applyFill="1" applyBorder="1"/>
    <xf numFmtId="14" fontId="57" fillId="0" borderId="0" xfId="0" applyNumberFormat="1" applyFont="1" applyAlignment="1">
      <alignment horizontal="center"/>
    </xf>
    <xf numFmtId="0" fontId="57" fillId="0" borderId="0" xfId="0" applyFont="1"/>
    <xf numFmtId="0" fontId="57" fillId="0" borderId="1" xfId="0" applyFont="1" applyBorder="1" applyAlignment="1">
      <alignment horizontal="left"/>
    </xf>
    <xf numFmtId="14" fontId="57" fillId="13" borderId="1" xfId="0" applyNumberFormat="1" applyFont="1" applyFill="1" applyBorder="1" applyAlignment="1">
      <alignment horizontal="left"/>
    </xf>
    <xf numFmtId="0" fontId="33" fillId="18" borderId="0" xfId="0" applyFont="1" applyFill="1"/>
    <xf numFmtId="14" fontId="33" fillId="13" borderId="1" xfId="0" applyNumberFormat="1" applyFont="1" applyFill="1" applyBorder="1" applyAlignment="1">
      <alignment horizontal="center"/>
    </xf>
    <xf numFmtId="0" fontId="33" fillId="13" borderId="1" xfId="0" applyFont="1" applyFill="1" applyBorder="1" applyAlignment="1">
      <alignment horizontal="center"/>
    </xf>
    <xf numFmtId="44" fontId="33" fillId="13" borderId="1" xfId="0" applyNumberFormat="1" applyFont="1" applyFill="1" applyBorder="1"/>
    <xf numFmtId="0" fontId="33" fillId="13" borderId="1" xfId="0" applyFont="1" applyFill="1" applyBorder="1"/>
    <xf numFmtId="0" fontId="5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4" fontId="34" fillId="3" borderId="1" xfId="0" applyNumberFormat="1" applyFont="1" applyFill="1" applyBorder="1" applyAlignment="1">
      <alignment horizontal="center"/>
    </xf>
    <xf numFmtId="164" fontId="36" fillId="0" borderId="1" xfId="1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23" fillId="12" borderId="1" xfId="0" applyFont="1" applyFill="1" applyBorder="1" applyAlignment="1">
      <alignment horizontal="center"/>
    </xf>
    <xf numFmtId="44" fontId="36" fillId="0" borderId="1" xfId="1" applyFont="1" applyBorder="1" applyAlignment="1">
      <alignment horizontal="left"/>
    </xf>
    <xf numFmtId="44" fontId="0" fillId="0" borderId="1" xfId="0" applyNumberFormat="1" applyBorder="1" applyAlignment="1">
      <alignment horizontal="left"/>
    </xf>
    <xf numFmtId="14" fontId="57" fillId="0" borderId="1" xfId="0" applyNumberFormat="1" applyFont="1" applyBorder="1" applyAlignment="1">
      <alignment horizontal="left"/>
    </xf>
    <xf numFmtId="14" fontId="57" fillId="13" borderId="1" xfId="0" applyNumberFormat="1" applyFont="1" applyFill="1" applyBorder="1" applyAlignment="1">
      <alignment horizontal="center"/>
    </xf>
    <xf numFmtId="0" fontId="19" fillId="12" borderId="1" xfId="0" applyFont="1" applyFill="1" applyBorder="1"/>
    <xf numFmtId="0" fontId="37" fillId="12" borderId="1" xfId="0" applyFont="1" applyFill="1" applyBorder="1" applyAlignment="1">
      <alignment horizontal="center"/>
    </xf>
    <xf numFmtId="0" fontId="18" fillId="0" borderId="1" xfId="0" applyFont="1" applyBorder="1"/>
    <xf numFmtId="0" fontId="18" fillId="0" borderId="1" xfId="0" applyFont="1" applyBorder="1" applyAlignment="1">
      <alignment horizontal="left"/>
    </xf>
    <xf numFmtId="14" fontId="18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wrapText="1"/>
    </xf>
    <xf numFmtId="0" fontId="18" fillId="0" borderId="1" xfId="0" applyFont="1" applyBorder="1" applyAlignment="1">
      <alignment horizontal="center"/>
    </xf>
    <xf numFmtId="164" fontId="18" fillId="0" borderId="1" xfId="0" applyNumberFormat="1" applyFont="1" applyBorder="1" applyAlignment="1">
      <alignment horizontal="center"/>
    </xf>
    <xf numFmtId="44" fontId="18" fillId="0" borderId="1" xfId="0" applyNumberFormat="1" applyFont="1" applyBorder="1" applyAlignment="1">
      <alignment horizontal="left"/>
    </xf>
    <xf numFmtId="44" fontId="18" fillId="0" borderId="1" xfId="0" applyNumberFormat="1" applyFont="1" applyBorder="1" applyAlignment="1">
      <alignment horizontal="center"/>
    </xf>
    <xf numFmtId="0" fontId="17" fillId="0" borderId="1" xfId="0" applyFont="1" applyBorder="1"/>
    <xf numFmtId="0" fontId="0" fillId="12" borderId="4" xfId="0" applyFill="1" applyBorder="1"/>
    <xf numFmtId="0" fontId="0" fillId="12" borderId="4" xfId="0" applyFill="1" applyBorder="1" applyAlignment="1">
      <alignment horizontal="center"/>
    </xf>
    <xf numFmtId="14" fontId="0" fillId="12" borderId="4" xfId="0" applyNumberFormat="1" applyFill="1" applyBorder="1" applyAlignment="1">
      <alignment horizontal="center"/>
    </xf>
    <xf numFmtId="14" fontId="0" fillId="12" borderId="0" xfId="0" applyNumberFormat="1" applyFill="1" applyAlignment="1">
      <alignment horizontal="center"/>
    </xf>
    <xf numFmtId="0" fontId="0" fillId="12" borderId="2" xfId="0" applyFill="1" applyBorder="1"/>
    <xf numFmtId="0" fontId="0" fillId="12" borderId="0" xfId="0" applyFill="1" applyAlignment="1">
      <alignment horizontal="center"/>
    </xf>
    <xf numFmtId="14" fontId="36" fillId="12" borderId="1" xfId="0" applyNumberFormat="1" applyFont="1" applyFill="1" applyBorder="1" applyAlignment="1">
      <alignment horizontal="center"/>
    </xf>
    <xf numFmtId="0" fontId="0" fillId="12" borderId="1" xfId="0" applyFill="1" applyBorder="1" applyAlignment="1">
      <alignment horizontal="center" vertical="center"/>
    </xf>
    <xf numFmtId="0" fontId="37" fillId="12" borderId="1" xfId="0" applyFont="1" applyFill="1" applyBorder="1"/>
    <xf numFmtId="14" fontId="37" fillId="12" borderId="1" xfId="0" applyNumberFormat="1" applyFont="1" applyFill="1" applyBorder="1" applyAlignment="1">
      <alignment horizontal="center"/>
    </xf>
    <xf numFmtId="44" fontId="37" fillId="12" borderId="1" xfId="0" applyNumberFormat="1" applyFont="1" applyFill="1" applyBorder="1"/>
    <xf numFmtId="0" fontId="36" fillId="12" borderId="1" xfId="0" applyFont="1" applyFill="1" applyBorder="1" applyAlignment="1">
      <alignment horizontal="center"/>
    </xf>
    <xf numFmtId="44" fontId="36" fillId="12" borderId="0" xfId="1" applyFont="1" applyFill="1"/>
    <xf numFmtId="44" fontId="36" fillId="12" borderId="1" xfId="1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61" fillId="16" borderId="1" xfId="0" applyFont="1" applyFill="1" applyBorder="1" applyAlignment="1">
      <alignment vertical="top" wrapText="1"/>
    </xf>
    <xf numFmtId="49" fontId="61" fillId="16" borderId="1" xfId="0" applyNumberFormat="1" applyFont="1" applyFill="1" applyBorder="1" applyAlignment="1">
      <alignment horizontal="left" vertical="top" wrapText="1"/>
    </xf>
    <xf numFmtId="14" fontId="61" fillId="13" borderId="1" xfId="0" applyNumberFormat="1" applyFont="1" applyFill="1" applyBorder="1" applyAlignment="1">
      <alignment horizontal="left" vertical="top"/>
    </xf>
    <xf numFmtId="49" fontId="61" fillId="16" borderId="1" xfId="0" applyNumberFormat="1" applyFont="1" applyFill="1" applyBorder="1" applyAlignment="1">
      <alignment vertical="top" wrapText="1"/>
    </xf>
    <xf numFmtId="0" fontId="61" fillId="16" borderId="1" xfId="0" applyFont="1" applyFill="1" applyBorder="1" applyAlignment="1">
      <alignment horizontal="left" vertical="top" wrapText="1"/>
    </xf>
    <xf numFmtId="0" fontId="57" fillId="0" borderId="1" xfId="0" applyFont="1" applyBorder="1" applyAlignment="1">
      <alignment horizontal="left" wrapText="1"/>
    </xf>
    <xf numFmtId="0" fontId="15" fillId="0" borderId="1" xfId="0" applyFont="1" applyBorder="1" applyAlignment="1">
      <alignment horizontal="center"/>
    </xf>
    <xf numFmtId="0" fontId="15" fillId="0" borderId="1" xfId="0" applyFont="1" applyBorder="1"/>
    <xf numFmtId="16" fontId="0" fillId="0" borderId="0" xfId="0" applyNumberFormat="1"/>
    <xf numFmtId="0" fontId="18" fillId="12" borderId="1" xfId="0" applyFont="1" applyFill="1" applyBorder="1" applyAlignment="1">
      <alignment horizontal="left"/>
    </xf>
    <xf numFmtId="14" fontId="18" fillId="12" borderId="1" xfId="0" applyNumberFormat="1" applyFont="1" applyFill="1" applyBorder="1" applyAlignment="1">
      <alignment horizontal="center"/>
    </xf>
    <xf numFmtId="0" fontId="18" fillId="12" borderId="4" xfId="0" applyFont="1" applyFill="1" applyBorder="1" applyAlignment="1">
      <alignment horizontal="left"/>
    </xf>
    <xf numFmtId="0" fontId="18" fillId="14" borderId="1" xfId="0" applyFont="1" applyFill="1" applyBorder="1" applyAlignment="1">
      <alignment horizontal="left"/>
    </xf>
    <xf numFmtId="14" fontId="18" fillId="14" borderId="1" xfId="0" applyNumberFormat="1" applyFont="1" applyFill="1" applyBorder="1" applyAlignment="1">
      <alignment horizontal="center"/>
    </xf>
    <xf numFmtId="0" fontId="18" fillId="12" borderId="1" xfId="0" applyFont="1" applyFill="1" applyBorder="1"/>
    <xf numFmtId="0" fontId="18" fillId="12" borderId="1" xfId="0" applyFont="1" applyFill="1" applyBorder="1" applyAlignment="1">
      <alignment wrapText="1"/>
    </xf>
    <xf numFmtId="0" fontId="18" fillId="14" borderId="1" xfId="0" applyFont="1" applyFill="1" applyBorder="1"/>
    <xf numFmtId="0" fontId="61" fillId="13" borderId="1" xfId="0" applyFont="1" applyFill="1" applyBorder="1" applyAlignment="1">
      <alignment vertical="top" wrapText="1"/>
    </xf>
    <xf numFmtId="49" fontId="61" fillId="13" borderId="1" xfId="0" applyNumberFormat="1" applyFont="1" applyFill="1" applyBorder="1" applyAlignment="1">
      <alignment horizontal="left" vertical="top" wrapText="1"/>
    </xf>
    <xf numFmtId="49" fontId="61" fillId="13" borderId="1" xfId="0" applyNumberFormat="1" applyFont="1" applyFill="1" applyBorder="1" applyAlignment="1">
      <alignment vertical="top" wrapText="1"/>
    </xf>
    <xf numFmtId="0" fontId="0" fillId="12" borderId="1" xfId="0" applyFill="1" applyBorder="1" applyAlignment="1">
      <alignment horizontal="left"/>
    </xf>
    <xf numFmtId="0" fontId="55" fillId="12" borderId="4" xfId="0" applyFont="1" applyFill="1" applyBorder="1" applyAlignment="1">
      <alignment horizontal="left"/>
    </xf>
    <xf numFmtId="0" fontId="0" fillId="20" borderId="1" xfId="0" applyFill="1" applyBorder="1"/>
    <xf numFmtId="14" fontId="0" fillId="20" borderId="3" xfId="0" applyNumberFormat="1" applyFill="1" applyBorder="1" applyAlignment="1">
      <alignment horizontal="center"/>
    </xf>
    <xf numFmtId="14" fontId="18" fillId="20" borderId="1" xfId="0" applyNumberFormat="1" applyFont="1" applyFill="1" applyBorder="1" applyAlignment="1">
      <alignment horizontal="center"/>
    </xf>
    <xf numFmtId="14" fontId="0" fillId="20" borderId="1" xfId="0" applyNumberFormat="1" applyFill="1" applyBorder="1" applyAlignment="1">
      <alignment horizontal="center"/>
    </xf>
    <xf numFmtId="0" fontId="41" fillId="20" borderId="1" xfId="0" applyFont="1" applyFill="1" applyBorder="1"/>
    <xf numFmtId="0" fontId="1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0" fillId="13" borderId="0" xfId="0" applyFill="1"/>
    <xf numFmtId="0" fontId="13" fillId="12" borderId="1" xfId="0" applyFont="1" applyFill="1" applyBorder="1"/>
    <xf numFmtId="0" fontId="48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21" borderId="1" xfId="0" applyFill="1" applyBorder="1" applyAlignment="1">
      <alignment vertical="center" wrapText="1"/>
    </xf>
    <xf numFmtId="0" fontId="62" fillId="16" borderId="1" xfId="0" applyFont="1" applyFill="1" applyBorder="1" applyAlignment="1">
      <alignment vertical="top" wrapText="1"/>
    </xf>
    <xf numFmtId="0" fontId="63" fillId="0" borderId="1" xfId="0" applyFont="1" applyBorder="1" applyAlignment="1">
      <alignment horizontal="left"/>
    </xf>
    <xf numFmtId="14" fontId="62" fillId="16" borderId="1" xfId="0" applyNumberFormat="1" applyFont="1" applyFill="1" applyBorder="1" applyAlignment="1">
      <alignment vertical="top"/>
    </xf>
    <xf numFmtId="0" fontId="64" fillId="0" borderId="0" xfId="0" applyFont="1"/>
    <xf numFmtId="0" fontId="62" fillId="19" borderId="1" xfId="0" applyFont="1" applyFill="1" applyBorder="1" applyAlignment="1">
      <alignment vertical="top" wrapText="1"/>
    </xf>
    <xf numFmtId="0" fontId="62" fillId="19" borderId="1" xfId="0" applyFont="1" applyFill="1" applyBorder="1" applyAlignment="1">
      <alignment horizontal="left" vertical="top" wrapText="1"/>
    </xf>
    <xf numFmtId="14" fontId="62" fillId="19" borderId="1" xfId="0" applyNumberFormat="1" applyFont="1" applyFill="1" applyBorder="1" applyAlignment="1">
      <alignment horizontal="left" vertical="top"/>
    </xf>
    <xf numFmtId="0" fontId="65" fillId="22" borderId="1" xfId="0" applyFont="1" applyFill="1" applyBorder="1" applyAlignment="1">
      <alignment vertical="top" wrapText="1"/>
    </xf>
    <xf numFmtId="14" fontId="65" fillId="22" borderId="1" xfId="0" applyNumberFormat="1" applyFont="1" applyFill="1" applyBorder="1" applyAlignment="1">
      <alignment vertical="top"/>
    </xf>
    <xf numFmtId="0" fontId="10" fillId="12" borderId="1" xfId="0" applyFont="1" applyFill="1" applyBorder="1"/>
    <xf numFmtId="0" fontId="9" fillId="12" borderId="1" xfId="0" applyFont="1" applyFill="1" applyBorder="1"/>
    <xf numFmtId="0" fontId="8" fillId="0" borderId="1" xfId="0" applyFont="1" applyBorder="1"/>
    <xf numFmtId="0" fontId="36" fillId="13" borderId="1" xfId="0" applyFont="1" applyFill="1" applyBorder="1" applyAlignment="1">
      <alignment horizontal="center"/>
    </xf>
    <xf numFmtId="0" fontId="7" fillId="0" borderId="1" xfId="0" applyFont="1" applyBorder="1"/>
    <xf numFmtId="0" fontId="6" fillId="0" borderId="1" xfId="0" applyFont="1" applyBorder="1" applyAlignment="1">
      <alignment horizontal="center"/>
    </xf>
    <xf numFmtId="0" fontId="51" fillId="11" borderId="1" xfId="0" applyFont="1" applyFill="1" applyBorder="1" applyAlignment="1">
      <alignment horizontal="center" vertical="center"/>
    </xf>
    <xf numFmtId="0" fontId="66" fillId="0" borderId="1" xfId="0" applyFont="1" applyBorder="1" applyAlignment="1">
      <alignment horizontal="left"/>
    </xf>
    <xf numFmtId="0" fontId="66" fillId="16" borderId="1" xfId="0" applyFont="1" applyFill="1" applyBorder="1" applyAlignment="1">
      <alignment horizontal="left" vertical="top" wrapText="1"/>
    </xf>
    <xf numFmtId="14" fontId="66" fillId="0" borderId="1" xfId="0" applyNumberFormat="1" applyFont="1" applyBorder="1" applyAlignment="1">
      <alignment horizontal="left"/>
    </xf>
    <xf numFmtId="14" fontId="66" fillId="0" borderId="1" xfId="0" applyNumberFormat="1" applyFont="1" applyBorder="1" applyAlignment="1">
      <alignment horizontal="left" vertical="center"/>
    </xf>
    <xf numFmtId="14" fontId="66" fillId="16" borderId="1" xfId="0" applyNumberFormat="1" applyFont="1" applyFill="1" applyBorder="1" applyAlignment="1">
      <alignment horizontal="left" vertical="top"/>
    </xf>
    <xf numFmtId="14" fontId="63" fillId="0" borderId="1" xfId="0" applyNumberFormat="1" applyFont="1" applyBorder="1" applyAlignment="1">
      <alignment horizontal="left"/>
    </xf>
    <xf numFmtId="14" fontId="66" fillId="13" borderId="1" xfId="0" applyNumberFormat="1" applyFont="1" applyFill="1" applyBorder="1" applyAlignment="1">
      <alignment horizontal="left" vertical="center"/>
    </xf>
    <xf numFmtId="0" fontId="51" fillId="11" borderId="3" xfId="0" applyFont="1" applyFill="1" applyBorder="1" applyAlignment="1">
      <alignment horizontal="center" vertical="center"/>
    </xf>
    <xf numFmtId="0" fontId="66" fillId="13" borderId="3" xfId="0" applyFont="1" applyFill="1" applyBorder="1" applyAlignment="1">
      <alignment horizontal="left"/>
    </xf>
    <xf numFmtId="0" fontId="66" fillId="13" borderId="3" xfId="0" applyFont="1" applyFill="1" applyBorder="1" applyAlignment="1">
      <alignment horizontal="left" vertical="center" wrapText="1"/>
    </xf>
    <xf numFmtId="0" fontId="66" fillId="13" borderId="3" xfId="0" applyFont="1" applyFill="1" applyBorder="1" applyAlignment="1">
      <alignment horizontal="left" vertical="top" wrapText="1"/>
    </xf>
    <xf numFmtId="0" fontId="63" fillId="0" borderId="3" xfId="0" applyFont="1" applyBorder="1" applyAlignment="1">
      <alignment horizontal="left"/>
    </xf>
    <xf numFmtId="0" fontId="67" fillId="0" borderId="3" xfId="0" applyFont="1" applyBorder="1" applyAlignment="1">
      <alignment horizontal="left" vertical="center" wrapText="1"/>
    </xf>
    <xf numFmtId="0" fontId="68" fillId="16" borderId="3" xfId="0" applyFont="1" applyFill="1" applyBorder="1" applyAlignment="1">
      <alignment vertical="top" wrapText="1"/>
    </xf>
    <xf numFmtId="14" fontId="68" fillId="16" borderId="1" xfId="0" applyNumberFormat="1" applyFont="1" applyFill="1" applyBorder="1" applyAlignment="1">
      <alignment horizontal="left" vertical="top"/>
    </xf>
    <xf numFmtId="14" fontId="36" fillId="13" borderId="1" xfId="0" applyNumberFormat="1" applyFont="1" applyFill="1" applyBorder="1" applyAlignment="1">
      <alignment horizontal="center"/>
    </xf>
    <xf numFmtId="0" fontId="36" fillId="16" borderId="1" xfId="0" applyFont="1" applyFill="1" applyBorder="1" applyAlignment="1">
      <alignment horizontal="center" vertical="top" wrapText="1"/>
    </xf>
    <xf numFmtId="14" fontId="69" fillId="0" borderId="1" xfId="0" applyNumberFormat="1" applyFont="1" applyBorder="1" applyAlignment="1">
      <alignment horizontal="center"/>
    </xf>
    <xf numFmtId="14" fontId="70" fillId="0" borderId="1" xfId="0" applyNumberFormat="1" applyFont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14" fontId="36" fillId="13" borderId="1" xfId="0" applyNumberFormat="1" applyFont="1" applyFill="1" applyBorder="1" applyAlignment="1">
      <alignment horizontal="left"/>
    </xf>
    <xf numFmtId="14" fontId="5" fillId="0" borderId="1" xfId="0" applyNumberFormat="1" applyFont="1" applyBorder="1" applyAlignment="1">
      <alignment horizontal="center"/>
    </xf>
    <xf numFmtId="0" fontId="61" fillId="16" borderId="9" xfId="0" applyFont="1" applyFill="1" applyBorder="1" applyAlignment="1">
      <alignment horizontal="left" vertical="top" wrapText="1"/>
    </xf>
    <xf numFmtId="49" fontId="61" fillId="16" borderId="9" xfId="0" applyNumberFormat="1" applyFont="1" applyFill="1" applyBorder="1" applyAlignment="1">
      <alignment horizontal="left" vertical="top" wrapText="1"/>
    </xf>
    <xf numFmtId="14" fontId="61" fillId="13" borderId="9" xfId="0" applyNumberFormat="1" applyFont="1" applyFill="1" applyBorder="1" applyAlignment="1">
      <alignment horizontal="left" vertical="top"/>
    </xf>
    <xf numFmtId="14" fontId="57" fillId="13" borderId="9" xfId="0" applyNumberFormat="1" applyFont="1" applyFill="1" applyBorder="1" applyAlignment="1">
      <alignment horizontal="center"/>
    </xf>
    <xf numFmtId="14" fontId="24" fillId="0" borderId="1" xfId="0" applyNumberFormat="1" applyFont="1" applyBorder="1" applyAlignment="1">
      <alignment horizontal="left"/>
    </xf>
    <xf numFmtId="0" fontId="24" fillId="0" borderId="1" xfId="0" applyFont="1" applyBorder="1" applyAlignment="1">
      <alignment horizontal="left"/>
    </xf>
    <xf numFmtId="44" fontId="33" fillId="0" borderId="0" xfId="0" applyNumberFormat="1" applyFont="1" applyAlignment="1">
      <alignment horizontal="center"/>
    </xf>
    <xf numFmtId="20" fontId="33" fillId="0" borderId="0" xfId="0" applyNumberFormat="1" applyFont="1"/>
    <xf numFmtId="20" fontId="33" fillId="0" borderId="0" xfId="0" applyNumberFormat="1" applyFont="1" applyAlignment="1">
      <alignment horizontal="center"/>
    </xf>
    <xf numFmtId="14" fontId="0" fillId="13" borderId="1" xfId="0" applyNumberFormat="1" applyFill="1" applyBorder="1" applyAlignment="1">
      <alignment horizontal="center"/>
    </xf>
    <xf numFmtId="14" fontId="18" fillId="13" borderId="1" xfId="0" applyNumberFormat="1" applyFont="1" applyFill="1" applyBorder="1" applyAlignment="1">
      <alignment horizontal="center"/>
    </xf>
    <xf numFmtId="0" fontId="22" fillId="12" borderId="1" xfId="0" applyFont="1" applyFill="1" applyBorder="1"/>
    <xf numFmtId="0" fontId="4" fillId="0" borderId="0" xfId="0" applyFont="1"/>
    <xf numFmtId="0" fontId="71" fillId="0" borderId="1" xfId="0" applyFont="1" applyBorder="1"/>
    <xf numFmtId="14" fontId="41" fillId="0" borderId="1" xfId="0" applyNumberFormat="1" applyFont="1" applyBorder="1" applyAlignment="1">
      <alignment horizontal="center"/>
    </xf>
    <xf numFmtId="0" fontId="41" fillId="0" borderId="1" xfId="0" applyFont="1" applyBorder="1" applyAlignment="1">
      <alignment horizontal="left"/>
    </xf>
    <xf numFmtId="0" fontId="40" fillId="0" borderId="1" xfId="0" applyFont="1" applyBorder="1" applyAlignment="1">
      <alignment horizontal="center"/>
    </xf>
    <xf numFmtId="0" fontId="40" fillId="0" borderId="1" xfId="0" applyFont="1" applyBorder="1"/>
    <xf numFmtId="0" fontId="68" fillId="13" borderId="3" xfId="0" applyFont="1" applyFill="1" applyBorder="1" applyAlignment="1">
      <alignment vertical="top" wrapText="1"/>
    </xf>
    <xf numFmtId="14" fontId="68" fillId="13" borderId="1" xfId="0" applyNumberFormat="1" applyFont="1" applyFill="1" applyBorder="1" applyAlignment="1">
      <alignment horizontal="left" vertical="top"/>
    </xf>
    <xf numFmtId="0" fontId="66" fillId="13" borderId="1" xfId="0" applyFont="1" applyFill="1" applyBorder="1" applyAlignment="1">
      <alignment horizontal="left"/>
    </xf>
    <xf numFmtId="0" fontId="63" fillId="13" borderId="3" xfId="0" applyFont="1" applyFill="1" applyBorder="1" applyAlignment="1">
      <alignment horizontal="left"/>
    </xf>
    <xf numFmtId="0" fontId="63" fillId="13" borderId="1" xfId="0" applyFont="1" applyFill="1" applyBorder="1" applyAlignment="1">
      <alignment horizontal="left"/>
    </xf>
    <xf numFmtId="14" fontId="63" fillId="13" borderId="1" xfId="0" applyNumberFormat="1" applyFont="1" applyFill="1" applyBorder="1" applyAlignment="1">
      <alignment horizontal="left"/>
    </xf>
    <xf numFmtId="0" fontId="68" fillId="16" borderId="3" xfId="0" applyFont="1" applyFill="1" applyBorder="1" applyAlignment="1">
      <alignment horizontal="left" vertical="top" wrapText="1"/>
    </xf>
    <xf numFmtId="49" fontId="33" fillId="0" borderId="1" xfId="0" applyNumberFormat="1" applyFont="1" applyBorder="1" applyAlignment="1">
      <alignment horizontal="center"/>
    </xf>
    <xf numFmtId="49" fontId="63" fillId="0" borderId="1" xfId="0" applyNumberFormat="1" applyFont="1" applyBorder="1" applyAlignment="1">
      <alignment horizontal="center"/>
    </xf>
    <xf numFmtId="0" fontId="72" fillId="0" borderId="3" xfId="0" applyFont="1" applyBorder="1" applyAlignment="1">
      <alignment horizontal="left"/>
    </xf>
    <xf numFmtId="49" fontId="61" fillId="0" borderId="1" xfId="0" applyNumberFormat="1" applyFont="1" applyBorder="1" applyAlignment="1">
      <alignment horizontal="left" vertical="top" wrapText="1"/>
    </xf>
    <xf numFmtId="0" fontId="7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14" fontId="36" fillId="20" borderId="1" xfId="0" applyNumberFormat="1" applyFont="1" applyFill="1" applyBorder="1" applyAlignment="1">
      <alignment horizontal="center"/>
    </xf>
    <xf numFmtId="0" fontId="2" fillId="0" borderId="1" xfId="0" applyFont="1" applyBorder="1"/>
    <xf numFmtId="14" fontId="40" fillId="0" borderId="1" xfId="0" applyNumberFormat="1" applyFont="1" applyBorder="1" applyAlignment="1">
      <alignment horizontal="center"/>
    </xf>
    <xf numFmtId="164" fontId="40" fillId="0" borderId="1" xfId="0" applyNumberFormat="1" applyFont="1" applyBorder="1" applyAlignment="1">
      <alignment horizontal="center"/>
    </xf>
    <xf numFmtId="44" fontId="40" fillId="0" borderId="1" xfId="0" applyNumberFormat="1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14" fontId="37" fillId="0" borderId="1" xfId="0" applyNumberFormat="1" applyFont="1" applyBorder="1" applyAlignment="1">
      <alignment horizontal="left"/>
    </xf>
    <xf numFmtId="164" fontId="33" fillId="0" borderId="1" xfId="0" applyNumberFormat="1" applyFont="1" applyBorder="1" applyAlignment="1">
      <alignment horizontal="center"/>
    </xf>
    <xf numFmtId="44" fontId="37" fillId="0" borderId="1" xfId="1" applyFont="1" applyBorder="1" applyAlignment="1">
      <alignment horizontal="left"/>
    </xf>
    <xf numFmtId="14" fontId="60" fillId="0" borderId="1" xfId="0" applyNumberFormat="1" applyFont="1" applyBorder="1" applyAlignment="1">
      <alignment horizontal="center"/>
    </xf>
    <xf numFmtId="0" fontId="70" fillId="0" borderId="1" xfId="0" applyFont="1" applyBorder="1"/>
    <xf numFmtId="0" fontId="74" fillId="0" borderId="1" xfId="0" applyFont="1" applyBorder="1"/>
    <xf numFmtId="0" fontId="40" fillId="0" borderId="1" xfId="0" applyFont="1" applyBorder="1" applyAlignment="1">
      <alignment vertical="center" wrapText="1"/>
    </xf>
    <xf numFmtId="0" fontId="75" fillId="0" borderId="1" xfId="0" applyFont="1" applyBorder="1" applyAlignment="1">
      <alignment horizontal="left"/>
    </xf>
    <xf numFmtId="14" fontId="75" fillId="0" borderId="1" xfId="0" applyNumberFormat="1" applyFont="1" applyBorder="1" applyAlignment="1">
      <alignment horizontal="left"/>
    </xf>
    <xf numFmtId="14" fontId="76" fillId="16" borderId="1" xfId="0" applyNumberFormat="1" applyFont="1" applyFill="1" applyBorder="1" applyAlignment="1">
      <alignment horizontal="left" vertical="top"/>
    </xf>
    <xf numFmtId="49" fontId="75" fillId="0" borderId="1" xfId="0" applyNumberFormat="1" applyFont="1" applyBorder="1" applyAlignment="1">
      <alignment horizontal="center"/>
    </xf>
    <xf numFmtId="14" fontId="41" fillId="0" borderId="1" xfId="0" applyNumberFormat="1" applyFont="1" applyBorder="1" applyAlignment="1">
      <alignment horizontal="left"/>
    </xf>
    <xf numFmtId="14" fontId="77" fillId="16" borderId="1" xfId="0" applyNumberFormat="1" applyFont="1" applyFill="1" applyBorder="1" applyAlignment="1">
      <alignment horizontal="left" vertical="top"/>
    </xf>
    <xf numFmtId="0" fontId="40" fillId="0" borderId="1" xfId="0" applyFont="1" applyBorder="1" applyAlignment="1">
      <alignment horizontal="left" vertical="center" wrapText="1"/>
    </xf>
    <xf numFmtId="14" fontId="40" fillId="0" borderId="1" xfId="0" applyNumberFormat="1" applyFont="1" applyBorder="1" applyAlignment="1">
      <alignment horizontal="left"/>
    </xf>
    <xf numFmtId="0" fontId="76" fillId="16" borderId="1" xfId="0" applyFont="1" applyFill="1" applyBorder="1" applyAlignment="1">
      <alignment horizontal="left" vertical="top" wrapText="1"/>
    </xf>
    <xf numFmtId="14" fontId="0" fillId="0" borderId="1" xfId="0" applyNumberFormat="1" applyBorder="1" applyAlignment="1">
      <alignment horizontal="left"/>
    </xf>
    <xf numFmtId="0" fontId="1" fillId="0" borderId="1" xfId="0" applyFont="1" applyBorder="1"/>
    <xf numFmtId="0" fontId="0" fillId="12" borderId="1" xfId="0" applyFill="1" applyBorder="1" applyAlignment="1">
      <alignment wrapText="1"/>
    </xf>
    <xf numFmtId="0" fontId="20" fillId="12" borderId="1" xfId="0" applyFont="1" applyFill="1" applyBorder="1"/>
    <xf numFmtId="0" fontId="14" fillId="12" borderId="1" xfId="0" applyFont="1" applyFill="1" applyBorder="1"/>
    <xf numFmtId="0" fontId="21" fillId="12" borderId="1" xfId="0" applyFont="1" applyFill="1" applyBorder="1" applyAlignment="1">
      <alignment wrapText="1"/>
    </xf>
    <xf numFmtId="0" fontId="21" fillId="12" borderId="1" xfId="0" applyFont="1" applyFill="1" applyBorder="1"/>
    <xf numFmtId="0" fontId="68" fillId="12" borderId="3" xfId="0" applyFont="1" applyFill="1" applyBorder="1" applyAlignment="1">
      <alignment vertical="top" wrapText="1"/>
    </xf>
    <xf numFmtId="14" fontId="68" fillId="12" borderId="1" xfId="0" applyNumberFormat="1" applyFont="1" applyFill="1" applyBorder="1" applyAlignment="1">
      <alignment horizontal="left" vertical="top"/>
    </xf>
    <xf numFmtId="49" fontId="33" fillId="12" borderId="1" xfId="0" applyNumberFormat="1" applyFont="1" applyFill="1" applyBorder="1" applyAlignment="1">
      <alignment horizontal="center"/>
    </xf>
    <xf numFmtId="0" fontId="31" fillId="2" borderId="8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/>
    </xf>
    <xf numFmtId="0" fontId="42" fillId="2" borderId="6" xfId="0" applyFont="1" applyFill="1" applyBorder="1" applyAlignment="1">
      <alignment horizontal="center" vertical="center"/>
    </xf>
    <xf numFmtId="0" fontId="42" fillId="2" borderId="7" xfId="0" applyFont="1" applyFill="1" applyBorder="1" applyAlignment="1">
      <alignment horizontal="center" vertical="center"/>
    </xf>
    <xf numFmtId="0" fontId="42" fillId="2" borderId="3" xfId="0" applyFont="1" applyFill="1" applyBorder="1" applyAlignment="1">
      <alignment horizontal="center" vertical="center"/>
    </xf>
    <xf numFmtId="0" fontId="42" fillId="2" borderId="1" xfId="0" applyFont="1" applyFill="1" applyBorder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4" fillId="0" borderId="1" xfId="0" applyFont="1" applyBorder="1" applyAlignment="1">
      <alignment horizontal="center"/>
    </xf>
    <xf numFmtId="0" fontId="34" fillId="0" borderId="6" xfId="0" applyFont="1" applyBorder="1" applyAlignment="1">
      <alignment horizontal="center"/>
    </xf>
    <xf numFmtId="0" fontId="34" fillId="0" borderId="3" xfId="0" applyFont="1" applyBorder="1" applyAlignment="1">
      <alignment horizontal="center"/>
    </xf>
  </cellXfs>
  <cellStyles count="2">
    <cellStyle name="Moeda" xfId="1" builtinId="4"/>
    <cellStyle name="Normal" xfId="0" builtinId="0"/>
  </cellStyles>
  <dxfs count="1">
    <dxf>
      <font>
        <color indexed="20"/>
      </font>
      <fill>
        <patternFill patternType="solid">
          <fgColor indexed="45"/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ime" id="{50A4020E-F1B9-3BEC-81FD-131D67EAD754}" userId="" providerId=""/>
  <person displayName="GRUPO HI" id="{AA5EFA56-87D9-9AAB-1E9F-D0F1949C6240}" userId="" providerId=""/>
  <person displayName="RH Ikli Tecnologia" id="{AF9E1C89-3F7C-12A6-61A6-84480EFD42C5}" userId="S::rh@1t1r0p.onmicrosoft.com::de772b8d-3c17-4522-85a6-82d287d4d8ea" providerId="AD"/>
</personList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20" dT="2025-03-25T12:51:11.25" personId="{AF9E1C89-3F7C-12A6-61A6-84480EFD42C5}" id="{44180ABC-94A1-45F5-869A-31E6CE8AEE40}">
    <text xml:space="preserve">+ R$500,00 bonificação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7" personId="{AA5EFA56-87D9-9AAB-1E9F-D0F1949C6240}" id="{00980009-00C8-4062-A0F6-0044008F00B3}">
    <text xml:space="preserve">Começa na expansão dia 25/04 impossibiltando uma análise de experiência no 1º período 
</text>
  </threadedComment>
  <threadedComment ref="C24" personId="{AA5EFA56-87D9-9AAB-1E9F-D0F1949C6240}" id="{00580095-00F2-4E9A-ABDB-00D0004300E4}">
    <text xml:space="preserve">prazo de contrato de experiência alterado ppr Bruno para 15 dias 
</text>
  </threadedComment>
  <threadedComment ref="C38" personId="{AA5EFA56-87D9-9AAB-1E9F-D0F1949C6240}" id="{00210079-008A-467E-AB07-0036007A00FB}">
    <text xml:space="preserve">15 dias experiência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2" personId="{50A4020E-F1B9-3BEC-81FD-131D67EAD754}" id="{0081005D-00DA-45CC-8167-0051006C00BA}">
    <text xml:space="preserve">data + 89
</text>
  </threadedComment>
  <threadedComment ref="C24" personId="{AA5EFA56-87D9-9AAB-1E9F-D0F1949C6240}" id="{002900DA-002D-4C96-ABC8-00B2001200FA}">
    <text xml:space="preserve">Começa na expansão dia 25/04 impossibiltando uma análise de experiência no 1º período 
</text>
  </threadedComment>
  <threadedComment ref="D24" personId="{AA5EFA56-87D9-9AAB-1E9F-D0F1949C6240}" id="{006F00FE-0054-45BF-B362-001C00AC0024}">
    <text xml:space="preserve">Alterar setor, cargo e salário para Consultor de expansão - closer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6" personId="{AA5EFA56-87D9-9AAB-1E9F-D0F1949C6240}" id="{007E00C1-0042-430A-B8F9-00E8006800AC}">
    <text xml:space="preserve">Antecipou retorno pro dia 16/04
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E24" personId="{AA5EFA56-87D9-9AAB-1E9F-D0F1949C6240}" id="{00CD00CC-0024-4F81-B04A-0009003C00B8}">
    <text xml:space="preserve">Retorno licença maternidade
</text>
  </threadedComment>
  <threadedComment ref="E26" personId="{AA5EFA56-87D9-9AAB-1E9F-D0F1949C6240}" id="{006000BA-00F5-43E9-9BFA-0024000800C9}">
    <text xml:space="preserve">gozo: 09/06
</text>
  </threadedComment>
  <threadedComment ref="F26" personId="{AA5EFA56-87D9-9AAB-1E9F-D0F1949C6240}" id="{006A0031-0025-4158-B3D5-00CC001C007F}">
    <text xml:space="preserve">08/07/2025
</text>
  </threadedComment>
  <threadedComment ref="E31" personId="{AA5EFA56-87D9-9AAB-1E9F-D0F1949C6240}" id="{00D10010-0093-4304-AB9F-009700C50094}">
    <text xml:space="preserve">Retorno licença maternidade 
</text>
  </threadedComment>
  <threadedComment ref="E37" personId="{AA5EFA56-87D9-9AAB-1E9F-D0F1949C6240}" id="{009D0028-0024-4976-AFFB-00CD001700D7}">
    <text xml:space="preserve">dias oficialemnte gozados: 
10 dias - 01/09 a 10/09 
10 dias - 17/11 26/11
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J5" personId="{AA5EFA56-87D9-9AAB-1E9F-D0F1949C6240}" id="{006400D0-0057-4133-90F7-00C800B7007B}">
    <text xml:space="preserve">Antecipação FGTS mensal 
</text>
  </threadedComment>
  <threadedComment ref="A16" personId="{AA5EFA56-87D9-9AAB-1E9F-D0F1949C6240}" id="{00430015-0058-4472-AC86-001B00D3008A}">
    <text xml:space="preserve">Acordo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80"/>
  <sheetViews>
    <sheetView zoomScaleNormal="100" workbookViewId="0">
      <pane xSplit="1" ySplit="2" topLeftCell="D167" activePane="bottomRight" state="frozen"/>
      <selection activeCell="C131" sqref="C130:C131"/>
      <selection pane="topRight"/>
      <selection pane="bottomLeft"/>
      <selection pane="bottomRight" activeCell="A173" sqref="A173:XFD173"/>
    </sheetView>
  </sheetViews>
  <sheetFormatPr defaultRowHeight="15"/>
  <cols>
    <col min="1" max="1" width="44.5703125" bestFit="1" customWidth="1"/>
    <col min="2" max="2" width="14.85546875" style="1" bestFit="1" customWidth="1"/>
    <col min="3" max="3" width="16.7109375" style="1" bestFit="1" customWidth="1"/>
    <col min="4" max="4" width="17.7109375" style="1" bestFit="1" customWidth="1"/>
    <col min="5" max="5" width="41.140625" style="1" bestFit="1" customWidth="1"/>
    <col min="6" max="6" width="18.85546875" style="1" bestFit="1" customWidth="1"/>
    <col min="7" max="7" width="15.5703125" style="1" bestFit="1" customWidth="1"/>
    <col min="8" max="8" width="28" style="1" customWidth="1"/>
    <col min="9" max="9" width="15.28515625" style="199" customWidth="1"/>
    <col min="10" max="10" width="12.7109375" style="1" customWidth="1"/>
    <col min="11" max="11" width="16.5703125" style="1" customWidth="1"/>
  </cols>
  <sheetData>
    <row r="1" spans="1:11" ht="29.45" customHeight="1">
      <c r="A1" s="368" t="s">
        <v>724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</row>
    <row r="2" spans="1:11" s="2" customFormat="1" ht="12.7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197" t="s">
        <v>8</v>
      </c>
      <c r="J2" s="4" t="s">
        <v>9</v>
      </c>
      <c r="K2" s="4" t="s">
        <v>10</v>
      </c>
    </row>
    <row r="3" spans="1:11">
      <c r="A3" s="5" t="s">
        <v>11</v>
      </c>
      <c r="B3" s="6" t="s">
        <v>12</v>
      </c>
      <c r="C3" s="7">
        <v>37755</v>
      </c>
      <c r="D3" s="7" t="s">
        <v>13</v>
      </c>
      <c r="E3" s="6" t="s">
        <v>14</v>
      </c>
      <c r="F3" s="7">
        <v>45671</v>
      </c>
      <c r="G3" s="7" t="s">
        <v>15</v>
      </c>
      <c r="H3" s="7" t="s">
        <v>16</v>
      </c>
      <c r="I3" s="177">
        <v>1783.77</v>
      </c>
      <c r="J3" s="8">
        <v>16.5</v>
      </c>
      <c r="K3" s="9" t="s">
        <v>17</v>
      </c>
    </row>
    <row r="4" spans="1:11" ht="13.9" customHeight="1">
      <c r="A4" s="5" t="s">
        <v>18</v>
      </c>
      <c r="B4" s="6" t="s">
        <v>19</v>
      </c>
      <c r="C4" s="7">
        <v>34389</v>
      </c>
      <c r="D4" s="7" t="s">
        <v>13</v>
      </c>
      <c r="E4" s="6" t="s">
        <v>14</v>
      </c>
      <c r="F4" s="7">
        <v>45671</v>
      </c>
      <c r="G4" s="7" t="s">
        <v>15</v>
      </c>
      <c r="H4" s="7" t="s">
        <v>16</v>
      </c>
      <c r="I4" s="177">
        <v>1783.77</v>
      </c>
      <c r="J4" s="8">
        <v>16.5</v>
      </c>
      <c r="K4" s="8" t="s">
        <v>20</v>
      </c>
    </row>
    <row r="5" spans="1:11">
      <c r="A5" s="5" t="s">
        <v>21</v>
      </c>
      <c r="B5" s="6" t="s">
        <v>22</v>
      </c>
      <c r="C5" s="7">
        <v>35987</v>
      </c>
      <c r="D5" s="7" t="s">
        <v>13</v>
      </c>
      <c r="E5" s="6" t="s">
        <v>14</v>
      </c>
      <c r="F5" s="7">
        <v>45671</v>
      </c>
      <c r="G5" s="7" t="s">
        <v>15</v>
      </c>
      <c r="H5" s="7" t="s">
        <v>23</v>
      </c>
      <c r="I5" s="177">
        <v>1783.77</v>
      </c>
      <c r="J5" s="8">
        <v>16.5</v>
      </c>
      <c r="K5" s="8" t="s">
        <v>20</v>
      </c>
    </row>
    <row r="6" spans="1:11">
      <c r="A6" s="10" t="s">
        <v>24</v>
      </c>
      <c r="B6" s="6" t="s">
        <v>25</v>
      </c>
      <c r="C6" s="7">
        <v>35727</v>
      </c>
      <c r="D6" s="7" t="s">
        <v>13</v>
      </c>
      <c r="E6" s="6" t="s">
        <v>14</v>
      </c>
      <c r="F6" s="7">
        <v>45671</v>
      </c>
      <c r="G6" s="7" t="s">
        <v>15</v>
      </c>
      <c r="H6" s="7" t="s">
        <v>16</v>
      </c>
      <c r="I6" s="177">
        <v>1783.77</v>
      </c>
      <c r="J6" s="8">
        <v>16.5</v>
      </c>
      <c r="K6" s="8" t="s">
        <v>20</v>
      </c>
    </row>
    <row r="7" spans="1:11">
      <c r="A7" s="11" t="s">
        <v>26</v>
      </c>
      <c r="B7" s="6" t="s">
        <v>27</v>
      </c>
      <c r="C7" s="7">
        <v>37531</v>
      </c>
      <c r="D7" s="7" t="s">
        <v>13</v>
      </c>
      <c r="E7" s="6" t="s">
        <v>14</v>
      </c>
      <c r="F7" s="7">
        <v>45671</v>
      </c>
      <c r="G7" s="7" t="s">
        <v>15</v>
      </c>
      <c r="H7" s="7" t="s">
        <v>16</v>
      </c>
      <c r="I7" s="177">
        <v>1783.77</v>
      </c>
      <c r="J7" s="8">
        <v>16.5</v>
      </c>
      <c r="K7" s="8" t="s">
        <v>17</v>
      </c>
    </row>
    <row r="8" spans="1:11">
      <c r="A8" s="10" t="s">
        <v>28</v>
      </c>
      <c r="B8" s="6" t="s">
        <v>29</v>
      </c>
      <c r="C8" s="7">
        <v>36642</v>
      </c>
      <c r="D8" s="7" t="s">
        <v>13</v>
      </c>
      <c r="E8" s="6" t="s">
        <v>14</v>
      </c>
      <c r="F8" s="7">
        <v>45671</v>
      </c>
      <c r="G8" s="7" t="s">
        <v>30</v>
      </c>
      <c r="H8" s="6" t="s">
        <v>31</v>
      </c>
      <c r="I8" s="177">
        <v>1783.77</v>
      </c>
      <c r="J8" s="8">
        <v>16.5</v>
      </c>
      <c r="K8" s="8" t="s">
        <v>17</v>
      </c>
    </row>
    <row r="9" spans="1:11" ht="13.15" customHeight="1">
      <c r="A9" s="11" t="s">
        <v>224</v>
      </c>
      <c r="B9" s="20" t="s">
        <v>225</v>
      </c>
      <c r="C9" s="18">
        <v>35244</v>
      </c>
      <c r="D9" s="7" t="s">
        <v>13</v>
      </c>
      <c r="E9" s="6" t="s">
        <v>226</v>
      </c>
      <c r="F9" s="7">
        <v>45679</v>
      </c>
      <c r="G9" s="22" t="s">
        <v>35</v>
      </c>
      <c r="H9" s="12" t="s">
        <v>36</v>
      </c>
      <c r="I9" s="177">
        <v>2500</v>
      </c>
      <c r="J9" s="28">
        <v>16.5</v>
      </c>
      <c r="K9" s="6" t="s">
        <v>17</v>
      </c>
    </row>
    <row r="10" spans="1:11" ht="13.15" customHeight="1">
      <c r="A10" s="10" t="s">
        <v>32</v>
      </c>
      <c r="B10" s="6" t="s">
        <v>33</v>
      </c>
      <c r="C10" s="7">
        <v>35829</v>
      </c>
      <c r="D10" s="7" t="s">
        <v>13</v>
      </c>
      <c r="E10" s="6" t="s">
        <v>34</v>
      </c>
      <c r="F10" s="7">
        <v>45684</v>
      </c>
      <c r="G10" s="7" t="s">
        <v>35</v>
      </c>
      <c r="H10" s="6" t="s">
        <v>36</v>
      </c>
      <c r="I10" s="177">
        <v>2092.4</v>
      </c>
      <c r="J10" s="8">
        <v>16.5</v>
      </c>
      <c r="K10" s="8" t="s">
        <v>17</v>
      </c>
    </row>
    <row r="11" spans="1:11" ht="13.15" customHeight="1">
      <c r="A11" s="11" t="s">
        <v>38</v>
      </c>
      <c r="B11" s="6" t="s">
        <v>39</v>
      </c>
      <c r="C11" s="7">
        <v>39082</v>
      </c>
      <c r="D11" s="7" t="s">
        <v>13</v>
      </c>
      <c r="E11" s="6" t="s">
        <v>40</v>
      </c>
      <c r="F11" s="7">
        <v>45694</v>
      </c>
      <c r="G11" s="7" t="s">
        <v>41</v>
      </c>
      <c r="H11" s="6" t="s">
        <v>42</v>
      </c>
      <c r="I11" s="177">
        <v>1645.1</v>
      </c>
      <c r="J11" s="8">
        <v>16.5</v>
      </c>
      <c r="K11" s="8" t="s">
        <v>17</v>
      </c>
    </row>
    <row r="12" spans="1:11">
      <c r="A12" s="11" t="s">
        <v>43</v>
      </c>
      <c r="B12" s="6" t="s">
        <v>44</v>
      </c>
      <c r="C12" s="7">
        <v>37804</v>
      </c>
      <c r="D12" s="7" t="s">
        <v>13</v>
      </c>
      <c r="E12" s="6" t="s">
        <v>40</v>
      </c>
      <c r="F12" s="7">
        <v>45694</v>
      </c>
      <c r="G12" s="7" t="s">
        <v>41</v>
      </c>
      <c r="H12" s="6" t="s">
        <v>42</v>
      </c>
      <c r="I12" s="177">
        <v>1645.1</v>
      </c>
      <c r="J12" s="8">
        <v>16.5</v>
      </c>
      <c r="K12" s="8" t="s">
        <v>17</v>
      </c>
    </row>
    <row r="13" spans="1:11">
      <c r="A13" s="11" t="s">
        <v>45</v>
      </c>
      <c r="B13" s="6" t="s">
        <v>46</v>
      </c>
      <c r="C13" s="7">
        <v>31480</v>
      </c>
      <c r="D13" s="7" t="s">
        <v>13</v>
      </c>
      <c r="E13" s="6" t="s">
        <v>14</v>
      </c>
      <c r="F13" s="7">
        <v>45706</v>
      </c>
      <c r="G13" s="7" t="s">
        <v>15</v>
      </c>
      <c r="H13" s="7" t="s">
        <v>16</v>
      </c>
      <c r="I13" s="177">
        <v>2000</v>
      </c>
      <c r="J13" s="8">
        <v>16.5</v>
      </c>
      <c r="K13" s="8" t="s">
        <v>17</v>
      </c>
    </row>
    <row r="14" spans="1:11">
      <c r="A14" s="11" t="s">
        <v>47</v>
      </c>
      <c r="B14" s="6" t="s">
        <v>48</v>
      </c>
      <c r="C14" s="7">
        <v>35854</v>
      </c>
      <c r="D14" s="7" t="s">
        <v>13</v>
      </c>
      <c r="E14" s="6" t="s">
        <v>14</v>
      </c>
      <c r="F14" s="7">
        <v>45706</v>
      </c>
      <c r="G14" s="7" t="s">
        <v>15</v>
      </c>
      <c r="H14" s="7" t="s">
        <v>16</v>
      </c>
      <c r="I14" s="177">
        <v>2000</v>
      </c>
      <c r="J14" s="8">
        <v>16.5</v>
      </c>
      <c r="K14" s="8" t="s">
        <v>17</v>
      </c>
    </row>
    <row r="15" spans="1:11">
      <c r="A15" s="11" t="s">
        <v>49</v>
      </c>
      <c r="B15" s="6" t="s">
        <v>50</v>
      </c>
      <c r="C15" s="7">
        <v>37210</v>
      </c>
      <c r="D15" s="7" t="s">
        <v>13</v>
      </c>
      <c r="E15" s="6" t="s">
        <v>51</v>
      </c>
      <c r="F15" s="7">
        <v>45708</v>
      </c>
      <c r="G15" s="7" t="s">
        <v>35</v>
      </c>
      <c r="H15" s="6" t="s">
        <v>52</v>
      </c>
      <c r="I15" s="177">
        <v>1200</v>
      </c>
      <c r="J15" s="8">
        <v>16.5</v>
      </c>
      <c r="K15" s="8" t="s">
        <v>17</v>
      </c>
    </row>
    <row r="16" spans="1:11" ht="13.9" customHeight="1">
      <c r="A16" s="11" t="s">
        <v>53</v>
      </c>
      <c r="B16" s="6" t="s">
        <v>54</v>
      </c>
      <c r="C16" s="7">
        <v>35645</v>
      </c>
      <c r="D16" s="7" t="s">
        <v>13</v>
      </c>
      <c r="E16" s="6" t="s">
        <v>55</v>
      </c>
      <c r="F16" s="7">
        <v>45712</v>
      </c>
      <c r="G16" s="7" t="s">
        <v>35</v>
      </c>
      <c r="H16" s="6" t="s">
        <v>36</v>
      </c>
      <c r="I16" s="177">
        <v>1518</v>
      </c>
      <c r="J16" s="8">
        <v>16.5</v>
      </c>
      <c r="K16" s="8" t="s">
        <v>17</v>
      </c>
    </row>
    <row r="17" spans="1:11">
      <c r="A17" s="11" t="s">
        <v>56</v>
      </c>
      <c r="B17" s="6" t="s">
        <v>57</v>
      </c>
      <c r="C17" s="7">
        <v>34900</v>
      </c>
      <c r="D17" s="7" t="s">
        <v>13</v>
      </c>
      <c r="E17" s="6" t="s">
        <v>58</v>
      </c>
      <c r="F17" s="7">
        <v>45729</v>
      </c>
      <c r="G17" s="7" t="s">
        <v>35</v>
      </c>
      <c r="H17" s="6" t="s">
        <v>36</v>
      </c>
      <c r="I17" s="177">
        <v>3000</v>
      </c>
      <c r="J17" s="8">
        <v>16.5</v>
      </c>
      <c r="K17" s="8" t="s">
        <v>17</v>
      </c>
    </row>
    <row r="18" spans="1:11" ht="13.9" customHeight="1">
      <c r="A18" s="11" t="s">
        <v>59</v>
      </c>
      <c r="B18" s="6" t="s">
        <v>60</v>
      </c>
      <c r="C18" s="7">
        <v>37623</v>
      </c>
      <c r="D18" s="7" t="s">
        <v>13</v>
      </c>
      <c r="E18" s="6" t="s">
        <v>61</v>
      </c>
      <c r="F18" s="7">
        <v>45734</v>
      </c>
      <c r="G18" s="7" t="s">
        <v>35</v>
      </c>
      <c r="H18" s="6" t="s">
        <v>36</v>
      </c>
      <c r="I18" s="177">
        <v>2000</v>
      </c>
      <c r="J18" s="8">
        <v>16.5</v>
      </c>
      <c r="K18" s="8" t="s">
        <v>17</v>
      </c>
    </row>
    <row r="19" spans="1:11">
      <c r="A19" s="11" t="s">
        <v>62</v>
      </c>
      <c r="B19" s="6" t="s">
        <v>63</v>
      </c>
      <c r="C19" s="7">
        <v>25091</v>
      </c>
      <c r="D19" s="7" t="s">
        <v>13</v>
      </c>
      <c r="E19" s="6" t="s">
        <v>64</v>
      </c>
      <c r="F19" s="7">
        <v>45734</v>
      </c>
      <c r="G19" s="7" t="s">
        <v>35</v>
      </c>
      <c r="H19" s="6" t="s">
        <v>36</v>
      </c>
      <c r="I19" s="177">
        <v>2000</v>
      </c>
      <c r="J19" s="8">
        <v>16.5</v>
      </c>
      <c r="K19" s="8" t="s">
        <v>17</v>
      </c>
    </row>
    <row r="20" spans="1:11">
      <c r="A20" s="11" t="s">
        <v>65</v>
      </c>
      <c r="B20" s="12" t="s">
        <v>66</v>
      </c>
      <c r="C20" s="13">
        <v>32119</v>
      </c>
      <c r="D20" s="7" t="s">
        <v>13</v>
      </c>
      <c r="E20" s="12" t="s">
        <v>67</v>
      </c>
      <c r="F20" s="7">
        <v>45742</v>
      </c>
      <c r="G20" s="7" t="s">
        <v>41</v>
      </c>
      <c r="H20" s="6" t="s">
        <v>42</v>
      </c>
      <c r="I20" s="177">
        <v>2000</v>
      </c>
      <c r="J20" s="8">
        <v>16.5</v>
      </c>
      <c r="K20" s="8" t="s">
        <v>17</v>
      </c>
    </row>
    <row r="21" spans="1:11">
      <c r="A21" s="11" t="s">
        <v>68</v>
      </c>
      <c r="B21" s="14" t="s">
        <v>69</v>
      </c>
      <c r="C21" s="13">
        <v>31811</v>
      </c>
      <c r="D21" s="7" t="s">
        <v>13</v>
      </c>
      <c r="E21" s="6" t="s">
        <v>14</v>
      </c>
      <c r="F21" s="7">
        <v>45743</v>
      </c>
      <c r="G21" s="7" t="s">
        <v>15</v>
      </c>
      <c r="H21" s="7" t="s">
        <v>16</v>
      </c>
      <c r="I21" s="177">
        <v>1700</v>
      </c>
      <c r="J21" s="8">
        <v>16.5</v>
      </c>
      <c r="K21" s="8" t="s">
        <v>17</v>
      </c>
    </row>
    <row r="22" spans="1:11">
      <c r="A22" s="11" t="s">
        <v>70</v>
      </c>
      <c r="B22" s="12" t="s">
        <v>71</v>
      </c>
      <c r="C22" s="13">
        <v>38545</v>
      </c>
      <c r="D22" s="7" t="s">
        <v>13</v>
      </c>
      <c r="E22" s="6" t="s">
        <v>14</v>
      </c>
      <c r="F22" s="7">
        <v>45743</v>
      </c>
      <c r="G22" s="7" t="s">
        <v>15</v>
      </c>
      <c r="H22" s="7" t="s">
        <v>16</v>
      </c>
      <c r="I22" s="177">
        <v>1700</v>
      </c>
      <c r="J22" s="8">
        <v>16.5</v>
      </c>
      <c r="K22" s="8" t="s">
        <v>17</v>
      </c>
    </row>
    <row r="23" spans="1:11">
      <c r="A23" s="15" t="s">
        <v>72</v>
      </c>
      <c r="B23" s="14" t="s">
        <v>73</v>
      </c>
      <c r="C23" s="14" t="s">
        <v>74</v>
      </c>
      <c r="D23" s="7" t="s">
        <v>13</v>
      </c>
      <c r="E23" s="6" t="s">
        <v>14</v>
      </c>
      <c r="F23" s="7">
        <v>45743</v>
      </c>
      <c r="G23" s="7" t="s">
        <v>15</v>
      </c>
      <c r="H23" s="6" t="s">
        <v>31</v>
      </c>
      <c r="I23" s="177">
        <v>1700</v>
      </c>
      <c r="J23" s="8">
        <v>16.5</v>
      </c>
      <c r="K23" s="8" t="s">
        <v>17</v>
      </c>
    </row>
    <row r="24" spans="1:11">
      <c r="A24" s="11" t="s">
        <v>75</v>
      </c>
      <c r="B24" s="6" t="s">
        <v>76</v>
      </c>
      <c r="C24" s="7">
        <v>36511</v>
      </c>
      <c r="D24" s="7" t="s">
        <v>13</v>
      </c>
      <c r="E24" s="6" t="s">
        <v>77</v>
      </c>
      <c r="F24" s="7">
        <v>45750</v>
      </c>
      <c r="G24" s="7" t="s">
        <v>35</v>
      </c>
      <c r="H24" s="6" t="s">
        <v>36</v>
      </c>
      <c r="I24" s="177">
        <v>2096.6</v>
      </c>
      <c r="J24" s="8">
        <v>16.5</v>
      </c>
      <c r="K24" s="6" t="s">
        <v>78</v>
      </c>
    </row>
    <row r="25" spans="1:11" ht="13.9" customHeight="1">
      <c r="A25" s="10" t="s">
        <v>79</v>
      </c>
      <c r="B25" s="16" t="s">
        <v>80</v>
      </c>
      <c r="C25" s="18">
        <v>31843</v>
      </c>
      <c r="D25" s="7" t="s">
        <v>13</v>
      </c>
      <c r="E25" s="6" t="s">
        <v>40</v>
      </c>
      <c r="F25" s="7">
        <v>45751</v>
      </c>
      <c r="G25" s="7" t="s">
        <v>41</v>
      </c>
      <c r="H25" s="6" t="s">
        <v>42</v>
      </c>
      <c r="I25" s="177">
        <v>1750</v>
      </c>
      <c r="J25" s="8">
        <v>16.5</v>
      </c>
      <c r="K25" s="6" t="s">
        <v>81</v>
      </c>
    </row>
    <row r="26" spans="1:11">
      <c r="A26" s="11" t="s">
        <v>82</v>
      </c>
      <c r="B26" s="17" t="s">
        <v>83</v>
      </c>
      <c r="C26" s="18">
        <v>38027</v>
      </c>
      <c r="D26" s="7" t="s">
        <v>13</v>
      </c>
      <c r="E26" s="6" t="s">
        <v>40</v>
      </c>
      <c r="F26" s="7">
        <v>45751</v>
      </c>
      <c r="G26" s="7" t="s">
        <v>41</v>
      </c>
      <c r="H26" s="6" t="s">
        <v>42</v>
      </c>
      <c r="I26" s="177">
        <v>1750</v>
      </c>
      <c r="J26" s="8">
        <v>16.5</v>
      </c>
      <c r="K26" s="6" t="s">
        <v>81</v>
      </c>
    </row>
    <row r="27" spans="1:11" ht="15" customHeight="1">
      <c r="A27" s="11" t="s">
        <v>84</v>
      </c>
      <c r="B27" s="17" t="s">
        <v>85</v>
      </c>
      <c r="C27" s="19">
        <v>37329</v>
      </c>
      <c r="D27" s="7" t="s">
        <v>13</v>
      </c>
      <c r="E27" s="6" t="s">
        <v>86</v>
      </c>
      <c r="F27" s="7">
        <v>45754</v>
      </c>
      <c r="G27" s="7" t="s">
        <v>35</v>
      </c>
      <c r="H27" s="6" t="s">
        <v>36</v>
      </c>
      <c r="I27" s="177">
        <v>1800</v>
      </c>
      <c r="J27" s="8">
        <v>16.5</v>
      </c>
      <c r="K27" s="6" t="s">
        <v>81</v>
      </c>
    </row>
    <row r="28" spans="1:11" ht="13.9" customHeight="1">
      <c r="A28" s="11" t="s">
        <v>87</v>
      </c>
      <c r="B28" s="17" t="s">
        <v>88</v>
      </c>
      <c r="C28" s="19">
        <v>34499</v>
      </c>
      <c r="D28" s="7" t="s">
        <v>13</v>
      </c>
      <c r="E28" s="6" t="s">
        <v>89</v>
      </c>
      <c r="F28" s="7">
        <v>45754</v>
      </c>
      <c r="G28" s="7" t="s">
        <v>35</v>
      </c>
      <c r="H28" s="6" t="s">
        <v>36</v>
      </c>
      <c r="I28" s="177">
        <v>2500</v>
      </c>
      <c r="J28" s="8">
        <v>16.5</v>
      </c>
      <c r="K28" s="6" t="s">
        <v>81</v>
      </c>
    </row>
    <row r="29" spans="1:11">
      <c r="A29" s="11" t="s">
        <v>90</v>
      </c>
      <c r="B29" s="6" t="s">
        <v>91</v>
      </c>
      <c r="C29" s="7">
        <v>37368</v>
      </c>
      <c r="D29" s="7" t="s">
        <v>13</v>
      </c>
      <c r="E29" s="6" t="s">
        <v>92</v>
      </c>
      <c r="F29" s="7">
        <v>45756</v>
      </c>
      <c r="G29" s="7" t="s">
        <v>35</v>
      </c>
      <c r="H29" s="6" t="s">
        <v>36</v>
      </c>
      <c r="I29" s="177">
        <v>2000</v>
      </c>
      <c r="J29" s="8">
        <v>16.5</v>
      </c>
      <c r="K29" s="6" t="s">
        <v>17</v>
      </c>
    </row>
    <row r="30" spans="1:11">
      <c r="A30" s="11" t="s">
        <v>93</v>
      </c>
      <c r="B30" s="6" t="s">
        <v>94</v>
      </c>
      <c r="C30" s="7">
        <v>33373</v>
      </c>
      <c r="D30" s="7" t="s">
        <v>13</v>
      </c>
      <c r="E30" s="6" t="s">
        <v>95</v>
      </c>
      <c r="F30" s="7">
        <v>45757</v>
      </c>
      <c r="G30" s="7" t="s">
        <v>35</v>
      </c>
      <c r="H30" s="6" t="s">
        <v>36</v>
      </c>
      <c r="I30" s="177">
        <v>2500</v>
      </c>
      <c r="J30" s="8">
        <v>16.5</v>
      </c>
      <c r="K30" s="6" t="s">
        <v>81</v>
      </c>
    </row>
    <row r="31" spans="1:11">
      <c r="A31" s="11" t="s">
        <v>96</v>
      </c>
      <c r="B31" s="6" t="s">
        <v>97</v>
      </c>
      <c r="C31" s="7">
        <v>33025</v>
      </c>
      <c r="D31" s="7" t="s">
        <v>13</v>
      </c>
      <c r="E31" s="6" t="s">
        <v>98</v>
      </c>
      <c r="F31" s="7">
        <v>45761</v>
      </c>
      <c r="G31" s="7" t="s">
        <v>35</v>
      </c>
      <c r="H31" s="6" t="s">
        <v>36</v>
      </c>
      <c r="I31" s="177">
        <v>2000</v>
      </c>
      <c r="J31" s="8">
        <v>16.5</v>
      </c>
      <c r="K31" s="6" t="s">
        <v>81</v>
      </c>
    </row>
    <row r="32" spans="1:11">
      <c r="A32" s="11" t="s">
        <v>99</v>
      </c>
      <c r="B32" s="20" t="s">
        <v>100</v>
      </c>
      <c r="C32" s="7">
        <v>28596</v>
      </c>
      <c r="D32" s="7" t="s">
        <v>13</v>
      </c>
      <c r="E32" s="6" t="s">
        <v>101</v>
      </c>
      <c r="F32" s="7">
        <v>45762</v>
      </c>
      <c r="G32" s="7" t="s">
        <v>35</v>
      </c>
      <c r="H32" s="6" t="s">
        <v>36</v>
      </c>
      <c r="I32" s="177">
        <v>2000</v>
      </c>
      <c r="J32" s="8">
        <v>16.5</v>
      </c>
      <c r="K32" s="6">
        <v>0</v>
      </c>
    </row>
    <row r="33" spans="1:11">
      <c r="A33" s="11" t="s">
        <v>102</v>
      </c>
      <c r="B33" s="6" t="s">
        <v>103</v>
      </c>
      <c r="C33" s="7">
        <v>34745</v>
      </c>
      <c r="D33" s="7" t="s">
        <v>13</v>
      </c>
      <c r="E33" s="6" t="s">
        <v>101</v>
      </c>
      <c r="F33" s="7">
        <v>45762</v>
      </c>
      <c r="G33" s="7" t="s">
        <v>35</v>
      </c>
      <c r="H33" s="6" t="s">
        <v>36</v>
      </c>
      <c r="I33" s="177">
        <v>2000</v>
      </c>
      <c r="J33" s="8">
        <v>16.5</v>
      </c>
      <c r="K33" s="6" t="s">
        <v>81</v>
      </c>
    </row>
    <row r="34" spans="1:11" ht="13.9" customHeight="1">
      <c r="A34" s="5" t="s">
        <v>104</v>
      </c>
      <c r="B34" s="6" t="s">
        <v>105</v>
      </c>
      <c r="C34" s="7">
        <v>31192</v>
      </c>
      <c r="D34" s="7" t="s">
        <v>13</v>
      </c>
      <c r="E34" s="6" t="s">
        <v>101</v>
      </c>
      <c r="F34" s="7">
        <v>45762</v>
      </c>
      <c r="G34" s="7" t="s">
        <v>35</v>
      </c>
      <c r="H34" s="6" t="s">
        <v>36</v>
      </c>
      <c r="I34" s="177">
        <v>2000</v>
      </c>
      <c r="J34" s="8">
        <v>16.5</v>
      </c>
      <c r="K34" s="6" t="s">
        <v>81</v>
      </c>
    </row>
    <row r="35" spans="1:11" ht="13.9" customHeight="1">
      <c r="A35" s="11" t="s">
        <v>106</v>
      </c>
      <c r="B35" s="6" t="s">
        <v>107</v>
      </c>
      <c r="C35" s="7">
        <v>32746</v>
      </c>
      <c r="D35" s="7" t="s">
        <v>13</v>
      </c>
      <c r="E35" s="6" t="s">
        <v>108</v>
      </c>
      <c r="F35" s="7">
        <v>45762</v>
      </c>
      <c r="G35" s="7" t="s">
        <v>35</v>
      </c>
      <c r="H35" s="6" t="s">
        <v>36</v>
      </c>
      <c r="I35" s="177">
        <v>1800</v>
      </c>
      <c r="J35" s="8">
        <v>16.5</v>
      </c>
      <c r="K35" s="6" t="s">
        <v>81</v>
      </c>
    </row>
    <row r="36" spans="1:11" ht="13.9" customHeight="1">
      <c r="A36" s="10" t="s">
        <v>109</v>
      </c>
      <c r="B36" s="12" t="s">
        <v>110</v>
      </c>
      <c r="C36" s="21">
        <v>35811</v>
      </c>
      <c r="D36" s="7" t="s">
        <v>13</v>
      </c>
      <c r="E36" s="6" t="s">
        <v>95</v>
      </c>
      <c r="F36" s="7">
        <v>45784</v>
      </c>
      <c r="G36" s="7" t="s">
        <v>35</v>
      </c>
      <c r="H36" s="6" t="s">
        <v>36</v>
      </c>
      <c r="I36" s="177">
        <v>2500</v>
      </c>
      <c r="J36" s="8">
        <v>16.5</v>
      </c>
      <c r="K36" s="6" t="s">
        <v>17</v>
      </c>
    </row>
    <row r="37" spans="1:11" ht="13.9" customHeight="1">
      <c r="A37" s="11" t="s">
        <v>111</v>
      </c>
      <c r="B37" s="12" t="s">
        <v>112</v>
      </c>
      <c r="C37" s="21">
        <v>37283</v>
      </c>
      <c r="D37" s="7" t="s">
        <v>13</v>
      </c>
      <c r="E37" s="6" t="s">
        <v>14</v>
      </c>
      <c r="F37" s="7">
        <v>45790</v>
      </c>
      <c r="G37" s="7" t="s">
        <v>15</v>
      </c>
      <c r="H37" s="6" t="s">
        <v>113</v>
      </c>
      <c r="I37" s="177">
        <v>1700</v>
      </c>
      <c r="J37" s="8">
        <v>16.5</v>
      </c>
      <c r="K37" s="6" t="s">
        <v>17</v>
      </c>
    </row>
    <row r="38" spans="1:11" ht="13.9" customHeight="1">
      <c r="A38" s="10" t="s">
        <v>114</v>
      </c>
      <c r="B38" s="12" t="s">
        <v>115</v>
      </c>
      <c r="C38" s="22">
        <v>34181</v>
      </c>
      <c r="D38" s="7" t="s">
        <v>13</v>
      </c>
      <c r="E38" s="12" t="s">
        <v>14</v>
      </c>
      <c r="F38" s="7">
        <v>45790</v>
      </c>
      <c r="G38" s="7" t="s">
        <v>15</v>
      </c>
      <c r="H38" s="6" t="s">
        <v>31</v>
      </c>
      <c r="I38" s="177">
        <v>1700</v>
      </c>
      <c r="J38" s="8">
        <v>16.5</v>
      </c>
      <c r="K38" s="6" t="s">
        <v>17</v>
      </c>
    </row>
    <row r="39" spans="1:11" ht="13.9" customHeight="1">
      <c r="A39" s="11" t="s">
        <v>116</v>
      </c>
      <c r="B39" s="12" t="s">
        <v>117</v>
      </c>
      <c r="C39" s="22">
        <v>35425</v>
      </c>
      <c r="D39" s="7" t="s">
        <v>13</v>
      </c>
      <c r="E39" s="6" t="s">
        <v>14</v>
      </c>
      <c r="F39" s="7">
        <v>45790</v>
      </c>
      <c r="G39" s="7" t="s">
        <v>15</v>
      </c>
      <c r="H39" s="7" t="s">
        <v>16</v>
      </c>
      <c r="I39" s="177">
        <v>1700</v>
      </c>
      <c r="J39" s="8">
        <v>16.5</v>
      </c>
      <c r="K39" s="6" t="s">
        <v>17</v>
      </c>
    </row>
    <row r="40" spans="1:11" ht="13.9" customHeight="1">
      <c r="A40" s="11" t="s">
        <v>118</v>
      </c>
      <c r="B40" s="12" t="s">
        <v>119</v>
      </c>
      <c r="C40" s="22">
        <v>37252</v>
      </c>
      <c r="D40" s="7" t="s">
        <v>13</v>
      </c>
      <c r="E40" s="6" t="s">
        <v>14</v>
      </c>
      <c r="F40" s="7">
        <v>45803</v>
      </c>
      <c r="G40" s="7" t="s">
        <v>35</v>
      </c>
      <c r="H40" s="6" t="s">
        <v>113</v>
      </c>
      <c r="I40" s="177">
        <v>1700</v>
      </c>
      <c r="J40" s="8">
        <v>16.5</v>
      </c>
      <c r="K40" s="6" t="s">
        <v>17</v>
      </c>
    </row>
    <row r="41" spans="1:11" ht="13.9" customHeight="1">
      <c r="A41" s="23" t="s">
        <v>120</v>
      </c>
      <c r="B41" s="12" t="s">
        <v>121</v>
      </c>
      <c r="C41" s="22">
        <v>36621</v>
      </c>
      <c r="D41" s="7" t="s">
        <v>13</v>
      </c>
      <c r="E41" s="6" t="s">
        <v>122</v>
      </c>
      <c r="F41" s="7">
        <v>45803</v>
      </c>
      <c r="G41" s="7" t="s">
        <v>35</v>
      </c>
      <c r="H41" s="6" t="s">
        <v>113</v>
      </c>
      <c r="I41" s="177">
        <v>1800</v>
      </c>
      <c r="J41" s="8">
        <v>16.5</v>
      </c>
      <c r="K41" s="6" t="s">
        <v>17</v>
      </c>
    </row>
    <row r="42" spans="1:11" ht="13.9" customHeight="1">
      <c r="A42" s="24" t="s">
        <v>123</v>
      </c>
      <c r="B42" s="12" t="s">
        <v>124</v>
      </c>
      <c r="C42" s="22">
        <v>36899</v>
      </c>
      <c r="D42" s="7" t="s">
        <v>13</v>
      </c>
      <c r="E42" s="6" t="s">
        <v>40</v>
      </c>
      <c r="F42" s="7">
        <v>45813</v>
      </c>
      <c r="G42" s="7" t="s">
        <v>41</v>
      </c>
      <c r="H42" s="6" t="s">
        <v>42</v>
      </c>
      <c r="I42" s="177">
        <v>1750</v>
      </c>
      <c r="J42" s="8">
        <v>16.5</v>
      </c>
      <c r="K42" s="6" t="s">
        <v>17</v>
      </c>
    </row>
    <row r="43" spans="1:11">
      <c r="A43" s="10" t="s">
        <v>125</v>
      </c>
      <c r="B43" s="12" t="s">
        <v>126</v>
      </c>
      <c r="C43" s="7">
        <v>30762</v>
      </c>
      <c r="D43" s="7" t="s">
        <v>13</v>
      </c>
      <c r="E43" s="6" t="s">
        <v>101</v>
      </c>
      <c r="F43" s="7">
        <v>45817</v>
      </c>
      <c r="G43" s="7" t="s">
        <v>41</v>
      </c>
      <c r="H43" s="6" t="s">
        <v>127</v>
      </c>
      <c r="I43" s="177">
        <v>3000</v>
      </c>
      <c r="J43" s="8">
        <v>16.5</v>
      </c>
      <c r="K43" s="6" t="s">
        <v>17</v>
      </c>
    </row>
    <row r="44" spans="1:11">
      <c r="A44" s="10" t="s">
        <v>128</v>
      </c>
      <c r="B44" s="6" t="s">
        <v>129</v>
      </c>
      <c r="C44" s="6" t="s">
        <v>130</v>
      </c>
      <c r="D44" s="7" t="s">
        <v>13</v>
      </c>
      <c r="E44" s="6" t="s">
        <v>101</v>
      </c>
      <c r="F44" s="7">
        <v>45817</v>
      </c>
      <c r="G44" s="7" t="s">
        <v>41</v>
      </c>
      <c r="H44" s="6" t="s">
        <v>127</v>
      </c>
      <c r="I44" s="177">
        <v>3000</v>
      </c>
      <c r="J44" s="8">
        <v>16.5</v>
      </c>
      <c r="K44" s="6" t="s">
        <v>131</v>
      </c>
    </row>
    <row r="45" spans="1:11">
      <c r="A45" s="11" t="s">
        <v>132</v>
      </c>
      <c r="B45" s="25" t="s">
        <v>133</v>
      </c>
      <c r="C45" s="7">
        <v>34485</v>
      </c>
      <c r="D45" s="7" t="s">
        <v>13</v>
      </c>
      <c r="E45" s="6" t="s">
        <v>134</v>
      </c>
      <c r="F45" s="7">
        <v>45817</v>
      </c>
      <c r="G45" s="7" t="s">
        <v>35</v>
      </c>
      <c r="H45" s="6" t="s">
        <v>36</v>
      </c>
      <c r="I45" s="177">
        <v>1800</v>
      </c>
      <c r="J45" s="8">
        <v>16.5</v>
      </c>
      <c r="K45" s="6" t="s">
        <v>17</v>
      </c>
    </row>
    <row r="46" spans="1:11">
      <c r="A46" s="11" t="s">
        <v>135</v>
      </c>
      <c r="B46" s="20" t="s">
        <v>136</v>
      </c>
      <c r="C46" s="151">
        <v>27672</v>
      </c>
      <c r="D46" s="7" t="s">
        <v>13</v>
      </c>
      <c r="E46" s="6" t="s">
        <v>101</v>
      </c>
      <c r="F46" s="7">
        <v>45824</v>
      </c>
      <c r="G46" s="7" t="s">
        <v>41</v>
      </c>
      <c r="H46" s="6" t="s">
        <v>127</v>
      </c>
      <c r="I46" s="177">
        <v>3000</v>
      </c>
      <c r="J46" s="8">
        <v>16.5</v>
      </c>
      <c r="K46" s="6" t="s">
        <v>17</v>
      </c>
    </row>
    <row r="47" spans="1:11">
      <c r="A47" s="11" t="s">
        <v>137</v>
      </c>
      <c r="B47" s="20" t="s">
        <v>138</v>
      </c>
      <c r="C47" s="18">
        <v>25468</v>
      </c>
      <c r="D47" s="7" t="s">
        <v>13</v>
      </c>
      <c r="E47" s="6" t="s">
        <v>101</v>
      </c>
      <c r="F47" s="7">
        <v>45824</v>
      </c>
      <c r="G47" s="7" t="s">
        <v>41</v>
      </c>
      <c r="H47" s="6" t="s">
        <v>127</v>
      </c>
      <c r="I47" s="177">
        <v>3000</v>
      </c>
      <c r="J47" s="8">
        <v>16.5</v>
      </c>
      <c r="K47" s="6" t="s">
        <v>17</v>
      </c>
    </row>
    <row r="48" spans="1:11">
      <c r="A48" s="11" t="s">
        <v>139</v>
      </c>
      <c r="B48" s="20" t="s">
        <v>140</v>
      </c>
      <c r="C48" s="18">
        <v>35016</v>
      </c>
      <c r="D48" s="7" t="s">
        <v>13</v>
      </c>
      <c r="E48" s="6" t="s">
        <v>101</v>
      </c>
      <c r="F48" s="7">
        <v>45824</v>
      </c>
      <c r="G48" s="7" t="s">
        <v>41</v>
      </c>
      <c r="H48" s="6" t="s">
        <v>127</v>
      </c>
      <c r="I48" s="177">
        <v>3000</v>
      </c>
      <c r="J48" s="8">
        <v>16.5</v>
      </c>
      <c r="K48" s="6" t="s">
        <v>17</v>
      </c>
    </row>
    <row r="49" spans="1:11">
      <c r="A49" s="11" t="s">
        <v>49</v>
      </c>
      <c r="B49" s="6" t="s">
        <v>50</v>
      </c>
      <c r="C49" s="7">
        <v>37210</v>
      </c>
      <c r="D49" s="7" t="s">
        <v>13</v>
      </c>
      <c r="E49" s="6" t="s">
        <v>141</v>
      </c>
      <c r="F49" s="7">
        <v>45839</v>
      </c>
      <c r="G49" s="7" t="s">
        <v>35</v>
      </c>
      <c r="H49" s="6" t="s">
        <v>36</v>
      </c>
      <c r="I49" s="177">
        <v>2000</v>
      </c>
      <c r="J49" s="8">
        <v>16.5</v>
      </c>
      <c r="K49" s="6" t="s">
        <v>17</v>
      </c>
    </row>
    <row r="50" spans="1:11">
      <c r="A50" s="11" t="s">
        <v>142</v>
      </c>
      <c r="B50" s="6" t="s">
        <v>143</v>
      </c>
      <c r="C50" s="7">
        <v>34039</v>
      </c>
      <c r="D50" s="7" t="s">
        <v>13</v>
      </c>
      <c r="E50" s="6" t="s">
        <v>144</v>
      </c>
      <c r="F50" s="7">
        <v>45841</v>
      </c>
      <c r="G50" s="7" t="s">
        <v>35</v>
      </c>
      <c r="H50" s="6" t="s">
        <v>36</v>
      </c>
      <c r="I50" s="177">
        <v>1800</v>
      </c>
      <c r="J50" s="8">
        <v>16.5</v>
      </c>
      <c r="K50" s="6" t="s">
        <v>17</v>
      </c>
    </row>
    <row r="51" spans="1:11">
      <c r="A51" s="11" t="s">
        <v>145</v>
      </c>
      <c r="B51" s="6" t="s">
        <v>146</v>
      </c>
      <c r="C51" s="7">
        <v>37789</v>
      </c>
      <c r="D51" s="7" t="s">
        <v>13</v>
      </c>
      <c r="E51" s="6" t="s">
        <v>14</v>
      </c>
      <c r="F51" s="7">
        <v>45841</v>
      </c>
      <c r="G51" s="7" t="s">
        <v>15</v>
      </c>
      <c r="H51" s="6" t="s">
        <v>113</v>
      </c>
      <c r="I51" s="177">
        <v>1700</v>
      </c>
      <c r="J51" s="8">
        <v>16.5</v>
      </c>
      <c r="K51" s="6" t="s">
        <v>17</v>
      </c>
    </row>
    <row r="52" spans="1:11">
      <c r="A52" s="11" t="s">
        <v>147</v>
      </c>
      <c r="B52" s="26" t="s">
        <v>148</v>
      </c>
      <c r="C52" s="7">
        <v>36037</v>
      </c>
      <c r="D52" s="7" t="s">
        <v>13</v>
      </c>
      <c r="E52" s="6" t="s">
        <v>14</v>
      </c>
      <c r="F52" s="7">
        <v>45841</v>
      </c>
      <c r="G52" s="7" t="s">
        <v>15</v>
      </c>
      <c r="H52" s="6" t="s">
        <v>16</v>
      </c>
      <c r="I52" s="177">
        <v>1700</v>
      </c>
      <c r="J52" s="8">
        <v>16.5</v>
      </c>
      <c r="K52" s="6" t="s">
        <v>17</v>
      </c>
    </row>
    <row r="53" spans="1:11">
      <c r="A53" s="11" t="s">
        <v>149</v>
      </c>
      <c r="B53" s="6" t="s">
        <v>150</v>
      </c>
      <c r="C53" s="7">
        <v>30712</v>
      </c>
      <c r="D53" s="7" t="s">
        <v>13</v>
      </c>
      <c r="E53" s="6" t="s">
        <v>14</v>
      </c>
      <c r="F53" s="7">
        <v>45841</v>
      </c>
      <c r="G53" s="7" t="s">
        <v>15</v>
      </c>
      <c r="H53" s="6" t="s">
        <v>113</v>
      </c>
      <c r="I53" s="177">
        <v>1700</v>
      </c>
      <c r="J53" s="8">
        <v>16.5</v>
      </c>
      <c r="K53" s="6" t="s">
        <v>17</v>
      </c>
    </row>
    <row r="54" spans="1:11">
      <c r="A54" s="11" t="s">
        <v>151</v>
      </c>
      <c r="B54" s="6" t="s">
        <v>152</v>
      </c>
      <c r="C54" s="7">
        <v>34908</v>
      </c>
      <c r="D54" s="7" t="s">
        <v>13</v>
      </c>
      <c r="E54" s="6" t="s">
        <v>14</v>
      </c>
      <c r="F54" s="7">
        <v>45845</v>
      </c>
      <c r="G54" s="7" t="s">
        <v>15</v>
      </c>
      <c r="H54" s="6" t="s">
        <v>16</v>
      </c>
      <c r="I54" s="177">
        <v>1700</v>
      </c>
      <c r="J54" s="8">
        <v>16.5</v>
      </c>
      <c r="K54" s="6" t="s">
        <v>20</v>
      </c>
    </row>
    <row r="55" spans="1:11" ht="15" customHeight="1">
      <c r="A55" s="11" t="s">
        <v>153</v>
      </c>
      <c r="B55" s="6" t="s">
        <v>154</v>
      </c>
      <c r="C55" s="7">
        <v>36558</v>
      </c>
      <c r="D55" s="7" t="s">
        <v>13</v>
      </c>
      <c r="E55" s="6" t="s">
        <v>155</v>
      </c>
      <c r="F55" s="7">
        <v>45845</v>
      </c>
      <c r="G55" s="7" t="s">
        <v>35</v>
      </c>
      <c r="H55" s="6" t="s">
        <v>36</v>
      </c>
      <c r="I55" s="177">
        <v>1800</v>
      </c>
      <c r="J55" s="8">
        <v>16.5</v>
      </c>
      <c r="K55" s="6" t="s">
        <v>17</v>
      </c>
    </row>
    <row r="56" spans="1:11">
      <c r="A56" s="11" t="s">
        <v>156</v>
      </c>
      <c r="B56" s="12" t="s">
        <v>157</v>
      </c>
      <c r="C56" s="7">
        <v>37358</v>
      </c>
      <c r="D56" s="7" t="s">
        <v>13</v>
      </c>
      <c r="E56" s="6" t="s">
        <v>14</v>
      </c>
      <c r="F56" s="7">
        <v>45855</v>
      </c>
      <c r="G56" s="7" t="s">
        <v>15</v>
      </c>
      <c r="H56" s="6" t="s">
        <v>16</v>
      </c>
      <c r="I56" s="177">
        <v>2000</v>
      </c>
      <c r="J56" s="8">
        <v>16.5</v>
      </c>
      <c r="K56" s="6" t="s">
        <v>17</v>
      </c>
    </row>
    <row r="57" spans="1:11">
      <c r="A57" s="11" t="s">
        <v>158</v>
      </c>
      <c r="B57" s="6" t="s">
        <v>159</v>
      </c>
      <c r="C57" s="18">
        <v>36381</v>
      </c>
      <c r="D57" s="7" t="s">
        <v>13</v>
      </c>
      <c r="E57" s="6" t="s">
        <v>160</v>
      </c>
      <c r="F57" s="7">
        <v>45855</v>
      </c>
      <c r="G57" s="7" t="s">
        <v>35</v>
      </c>
      <c r="H57" s="6" t="s">
        <v>36</v>
      </c>
      <c r="I57" s="177">
        <v>1800</v>
      </c>
      <c r="J57" s="8">
        <v>16.5</v>
      </c>
      <c r="K57" s="6" t="s">
        <v>17</v>
      </c>
    </row>
    <row r="58" spans="1:11">
      <c r="A58" s="11" t="s">
        <v>161</v>
      </c>
      <c r="B58" s="26" t="s">
        <v>162</v>
      </c>
      <c r="C58" s="7">
        <v>28474</v>
      </c>
      <c r="D58" s="7" t="s">
        <v>13</v>
      </c>
      <c r="E58" s="6" t="s">
        <v>101</v>
      </c>
      <c r="F58" s="7">
        <v>45855</v>
      </c>
      <c r="G58" s="7" t="s">
        <v>35</v>
      </c>
      <c r="H58" s="6" t="s">
        <v>36</v>
      </c>
      <c r="I58" s="177">
        <v>3000</v>
      </c>
      <c r="J58" s="8">
        <v>16.5</v>
      </c>
      <c r="K58" s="6" t="s">
        <v>17</v>
      </c>
    </row>
    <row r="59" spans="1:11">
      <c r="A59" s="24" t="s">
        <v>163</v>
      </c>
      <c r="B59" s="6" t="s">
        <v>164</v>
      </c>
      <c r="C59" s="7">
        <v>38189</v>
      </c>
      <c r="D59" s="7" t="s">
        <v>13</v>
      </c>
      <c r="E59" s="6" t="s">
        <v>14</v>
      </c>
      <c r="F59" s="7">
        <v>45866</v>
      </c>
      <c r="G59" s="7" t="s">
        <v>15</v>
      </c>
      <c r="H59" s="6" t="s">
        <v>16</v>
      </c>
      <c r="I59" s="177">
        <v>2000</v>
      </c>
      <c r="J59" s="8">
        <v>16.5</v>
      </c>
      <c r="K59" s="6" t="s">
        <v>17</v>
      </c>
    </row>
    <row r="60" spans="1:11">
      <c r="A60" s="27" t="s">
        <v>165</v>
      </c>
      <c r="B60" s="6" t="s">
        <v>166</v>
      </c>
      <c r="C60" s="7">
        <v>34778</v>
      </c>
      <c r="D60" s="7" t="s">
        <v>13</v>
      </c>
      <c r="E60" s="6" t="s">
        <v>14</v>
      </c>
      <c r="F60" s="7">
        <v>45866</v>
      </c>
      <c r="G60" s="7" t="s">
        <v>15</v>
      </c>
      <c r="H60" s="6" t="s">
        <v>16</v>
      </c>
      <c r="I60" s="177">
        <v>2000</v>
      </c>
      <c r="J60" s="8">
        <v>16.5</v>
      </c>
      <c r="K60" s="6" t="s">
        <v>17</v>
      </c>
    </row>
    <row r="61" spans="1:11">
      <c r="A61" s="27" t="s">
        <v>167</v>
      </c>
      <c r="B61" s="6" t="s">
        <v>168</v>
      </c>
      <c r="C61" s="7">
        <v>36232</v>
      </c>
      <c r="D61" s="7" t="s">
        <v>13</v>
      </c>
      <c r="E61" s="6" t="s">
        <v>14</v>
      </c>
      <c r="F61" s="7">
        <v>45866</v>
      </c>
      <c r="G61" s="7" t="s">
        <v>15</v>
      </c>
      <c r="H61" s="6" t="s">
        <v>16</v>
      </c>
      <c r="I61" s="177">
        <v>2000</v>
      </c>
      <c r="J61" s="8">
        <v>16.5</v>
      </c>
      <c r="K61" s="6" t="s">
        <v>20</v>
      </c>
    </row>
    <row r="62" spans="1:11">
      <c r="A62" s="23" t="s">
        <v>169</v>
      </c>
      <c r="B62" s="6" t="s">
        <v>170</v>
      </c>
      <c r="C62" s="7">
        <v>36707</v>
      </c>
      <c r="D62" s="7" t="s">
        <v>13</v>
      </c>
      <c r="E62" s="6" t="s">
        <v>14</v>
      </c>
      <c r="F62" s="7">
        <v>45877</v>
      </c>
      <c r="G62" s="7" t="s">
        <v>171</v>
      </c>
      <c r="H62" s="6" t="s">
        <v>16</v>
      </c>
      <c r="I62" s="177">
        <v>2000</v>
      </c>
      <c r="J62" s="8">
        <v>16.5</v>
      </c>
      <c r="K62" s="6" t="s">
        <v>17</v>
      </c>
    </row>
    <row r="63" spans="1:11">
      <c r="A63" s="11" t="s">
        <v>172</v>
      </c>
      <c r="B63" s="20" t="s">
        <v>173</v>
      </c>
      <c r="C63" s="7">
        <v>33682</v>
      </c>
      <c r="D63" s="7" t="s">
        <v>13</v>
      </c>
      <c r="E63" s="6" t="s">
        <v>14</v>
      </c>
      <c r="F63" s="7">
        <v>45877</v>
      </c>
      <c r="G63" s="7" t="s">
        <v>171</v>
      </c>
      <c r="H63" s="6" t="s">
        <v>16</v>
      </c>
      <c r="I63" s="177">
        <v>2000</v>
      </c>
      <c r="J63" s="8">
        <v>16.5</v>
      </c>
      <c r="K63" s="6" t="s">
        <v>17</v>
      </c>
    </row>
    <row r="64" spans="1:11">
      <c r="A64" s="11" t="s">
        <v>174</v>
      </c>
      <c r="B64" s="12" t="s">
        <v>175</v>
      </c>
      <c r="C64" s="18">
        <v>39303</v>
      </c>
      <c r="D64" s="7" t="s">
        <v>13</v>
      </c>
      <c r="E64" s="6" t="s">
        <v>14</v>
      </c>
      <c r="F64" s="7">
        <v>45884</v>
      </c>
      <c r="G64" s="7" t="s">
        <v>171</v>
      </c>
      <c r="H64" s="6" t="s">
        <v>16</v>
      </c>
      <c r="I64" s="177">
        <v>2000</v>
      </c>
      <c r="J64" s="8">
        <v>16.5</v>
      </c>
      <c r="K64" s="6" t="s">
        <v>17</v>
      </c>
    </row>
    <row r="65" spans="1:11">
      <c r="A65" s="11" t="s">
        <v>176</v>
      </c>
      <c r="B65" s="20" t="s">
        <v>177</v>
      </c>
      <c r="C65" s="18">
        <v>36449</v>
      </c>
      <c r="D65" s="7" t="s">
        <v>13</v>
      </c>
      <c r="E65" s="6" t="s">
        <v>14</v>
      </c>
      <c r="F65" s="7">
        <v>45884</v>
      </c>
      <c r="G65" s="7" t="s">
        <v>171</v>
      </c>
      <c r="H65" s="6" t="s">
        <v>16</v>
      </c>
      <c r="I65" s="177">
        <v>2000</v>
      </c>
      <c r="J65" s="8">
        <v>16.5</v>
      </c>
      <c r="K65" s="6" t="s">
        <v>17</v>
      </c>
    </row>
    <row r="66" spans="1:11">
      <c r="A66" s="11" t="s">
        <v>178</v>
      </c>
      <c r="B66" s="20" t="s">
        <v>179</v>
      </c>
      <c r="C66" s="18">
        <v>34379</v>
      </c>
      <c r="D66" s="7" t="s">
        <v>13</v>
      </c>
      <c r="E66" s="6" t="s">
        <v>14</v>
      </c>
      <c r="F66" s="7">
        <v>45901</v>
      </c>
      <c r="G66" s="7" t="s">
        <v>171</v>
      </c>
      <c r="H66" s="6" t="s">
        <v>16</v>
      </c>
      <c r="I66" s="177">
        <v>2000</v>
      </c>
      <c r="J66" s="8">
        <v>16.5</v>
      </c>
      <c r="K66" s="6" t="s">
        <v>20</v>
      </c>
    </row>
    <row r="67" spans="1:11">
      <c r="A67" s="5" t="s">
        <v>180</v>
      </c>
      <c r="B67" s="20" t="s">
        <v>181</v>
      </c>
      <c r="C67" s="18">
        <v>38110</v>
      </c>
      <c r="D67" s="7" t="s">
        <v>13</v>
      </c>
      <c r="E67" s="6" t="s">
        <v>14</v>
      </c>
      <c r="F67" s="7">
        <v>45901</v>
      </c>
      <c r="G67" s="7" t="s">
        <v>171</v>
      </c>
      <c r="H67" s="6" t="s">
        <v>16</v>
      </c>
      <c r="I67" s="177">
        <v>2000</v>
      </c>
      <c r="J67" s="8">
        <v>16.5</v>
      </c>
      <c r="K67" s="6" t="s">
        <v>17</v>
      </c>
    </row>
    <row r="68" spans="1:11">
      <c r="A68" s="11" t="s">
        <v>182</v>
      </c>
      <c r="B68" s="6" t="s">
        <v>183</v>
      </c>
      <c r="C68" s="7">
        <v>36936</v>
      </c>
      <c r="D68" s="7" t="s">
        <v>13</v>
      </c>
      <c r="E68" s="6" t="s">
        <v>144</v>
      </c>
      <c r="F68" s="7">
        <v>45910</v>
      </c>
      <c r="G68" s="7" t="s">
        <v>35</v>
      </c>
      <c r="H68" s="6" t="s">
        <v>36</v>
      </c>
      <c r="I68" s="177">
        <v>1800</v>
      </c>
      <c r="J68" s="8">
        <v>16.5</v>
      </c>
      <c r="K68" s="6" t="s">
        <v>17</v>
      </c>
    </row>
    <row r="69" spans="1:11">
      <c r="A69" s="11" t="s">
        <v>184</v>
      </c>
      <c r="B69" s="6" t="s">
        <v>185</v>
      </c>
      <c r="C69" s="7">
        <v>35181</v>
      </c>
      <c r="D69" s="7" t="s">
        <v>13</v>
      </c>
      <c r="E69" s="6" t="s">
        <v>186</v>
      </c>
      <c r="F69" s="7">
        <v>45923</v>
      </c>
      <c r="G69" s="7" t="s">
        <v>35</v>
      </c>
      <c r="H69" s="6" t="s">
        <v>36</v>
      </c>
      <c r="I69" s="177">
        <v>2000</v>
      </c>
      <c r="J69" s="8">
        <v>16.5</v>
      </c>
      <c r="K69" s="6" t="s">
        <v>17</v>
      </c>
    </row>
    <row r="70" spans="1:11">
      <c r="A70" s="11" t="s">
        <v>187</v>
      </c>
      <c r="B70" s="6" t="s">
        <v>188</v>
      </c>
      <c r="C70" s="7">
        <v>32956</v>
      </c>
      <c r="D70" s="7" t="s">
        <v>13</v>
      </c>
      <c r="E70" s="6" t="s">
        <v>186</v>
      </c>
      <c r="F70" s="7">
        <v>45923</v>
      </c>
      <c r="G70" s="7" t="s">
        <v>35</v>
      </c>
      <c r="H70" s="6" t="s">
        <v>36</v>
      </c>
      <c r="I70" s="177">
        <v>2000</v>
      </c>
      <c r="J70" s="8">
        <v>16.5</v>
      </c>
      <c r="K70" s="6" t="s">
        <v>17</v>
      </c>
    </row>
    <row r="71" spans="1:11">
      <c r="A71" s="11" t="s">
        <v>191</v>
      </c>
      <c r="B71" s="20" t="s">
        <v>192</v>
      </c>
      <c r="C71" s="18">
        <v>36503</v>
      </c>
      <c r="D71" s="7" t="s">
        <v>13</v>
      </c>
      <c r="E71" s="6" t="s">
        <v>134</v>
      </c>
      <c r="F71" s="7">
        <v>45944</v>
      </c>
      <c r="G71" s="7" t="s">
        <v>35</v>
      </c>
      <c r="H71" s="6" t="s">
        <v>36</v>
      </c>
      <c r="I71" s="177">
        <v>2200</v>
      </c>
      <c r="J71" s="8">
        <v>16.5</v>
      </c>
      <c r="K71" s="6" t="s">
        <v>17</v>
      </c>
    </row>
    <row r="72" spans="1:11">
      <c r="A72" s="11" t="s">
        <v>193</v>
      </c>
      <c r="B72" s="20" t="s">
        <v>194</v>
      </c>
      <c r="C72" s="18">
        <v>36457</v>
      </c>
      <c r="D72" s="7" t="s">
        <v>13</v>
      </c>
      <c r="E72" s="6" t="s">
        <v>40</v>
      </c>
      <c r="F72" s="7">
        <v>45944</v>
      </c>
      <c r="G72" s="7" t="s">
        <v>41</v>
      </c>
      <c r="H72" s="6" t="s">
        <v>42</v>
      </c>
      <c r="I72" s="177">
        <v>2000</v>
      </c>
      <c r="J72" s="8">
        <v>16.5</v>
      </c>
      <c r="K72" s="6" t="s">
        <v>17</v>
      </c>
    </row>
    <row r="73" spans="1:11">
      <c r="A73" s="11" t="s">
        <v>195</v>
      </c>
      <c r="B73" s="20" t="s">
        <v>196</v>
      </c>
      <c r="C73" s="18">
        <v>30535</v>
      </c>
      <c r="D73" s="7" t="s">
        <v>13</v>
      </c>
      <c r="E73" s="6" t="s">
        <v>40</v>
      </c>
      <c r="F73" s="7">
        <v>45944</v>
      </c>
      <c r="G73" s="7" t="s">
        <v>41</v>
      </c>
      <c r="H73" s="6" t="s">
        <v>42</v>
      </c>
      <c r="I73" s="177">
        <v>2000</v>
      </c>
      <c r="J73" s="8">
        <v>16.5</v>
      </c>
      <c r="K73" s="6" t="s">
        <v>17</v>
      </c>
    </row>
    <row r="74" spans="1:11">
      <c r="A74" s="11" t="s">
        <v>189</v>
      </c>
      <c r="B74" s="20" t="s">
        <v>190</v>
      </c>
      <c r="C74" s="18">
        <v>38374</v>
      </c>
      <c r="D74" s="7" t="s">
        <v>13</v>
      </c>
      <c r="E74" s="6" t="s">
        <v>92</v>
      </c>
      <c r="F74" s="7">
        <v>45944</v>
      </c>
      <c r="G74" s="7" t="s">
        <v>35</v>
      </c>
      <c r="H74" s="6" t="s">
        <v>36</v>
      </c>
      <c r="I74" s="177">
        <v>2500</v>
      </c>
      <c r="J74" s="8">
        <v>16.5</v>
      </c>
      <c r="K74" s="6" t="s">
        <v>17</v>
      </c>
    </row>
    <row r="75" spans="1:11">
      <c r="A75" s="10" t="s">
        <v>197</v>
      </c>
      <c r="B75" s="20" t="s">
        <v>198</v>
      </c>
      <c r="C75" s="7">
        <v>35926</v>
      </c>
      <c r="D75" s="7" t="s">
        <v>13</v>
      </c>
      <c r="E75" s="6" t="s">
        <v>134</v>
      </c>
      <c r="F75" s="7">
        <v>45951</v>
      </c>
      <c r="G75" s="7" t="s">
        <v>35</v>
      </c>
      <c r="H75" s="6" t="s">
        <v>36</v>
      </c>
      <c r="I75" s="177">
        <v>2200</v>
      </c>
      <c r="J75" s="8">
        <v>16.5</v>
      </c>
      <c r="K75" s="6" t="s">
        <v>20</v>
      </c>
    </row>
    <row r="76" spans="1:11">
      <c r="A76" s="10" t="s">
        <v>199</v>
      </c>
      <c r="B76" s="16" t="s">
        <v>200</v>
      </c>
      <c r="C76" s="7">
        <v>37532</v>
      </c>
      <c r="D76" s="7" t="s">
        <v>13</v>
      </c>
      <c r="E76" s="6" t="s">
        <v>89</v>
      </c>
      <c r="F76" s="7">
        <v>45951</v>
      </c>
      <c r="G76" s="7" t="s">
        <v>35</v>
      </c>
      <c r="H76" s="6" t="s">
        <v>36</v>
      </c>
      <c r="I76" s="177">
        <v>2500</v>
      </c>
      <c r="J76" s="8">
        <v>16.5</v>
      </c>
      <c r="K76" s="6" t="s">
        <v>20</v>
      </c>
    </row>
    <row r="77" spans="1:11">
      <c r="A77" s="10" t="s">
        <v>201</v>
      </c>
      <c r="B77" s="16" t="s">
        <v>202</v>
      </c>
      <c r="C77" s="7">
        <v>35522</v>
      </c>
      <c r="D77" s="7" t="s">
        <v>13</v>
      </c>
      <c r="E77" s="6" t="s">
        <v>203</v>
      </c>
      <c r="F77" s="7">
        <v>45953</v>
      </c>
      <c r="G77" s="7" t="s">
        <v>35</v>
      </c>
      <c r="H77" s="6" t="s">
        <v>36</v>
      </c>
      <c r="I77" s="177">
        <v>2000</v>
      </c>
      <c r="J77" s="8">
        <v>16.5</v>
      </c>
      <c r="K77" s="6" t="s">
        <v>17</v>
      </c>
    </row>
    <row r="78" spans="1:11">
      <c r="A78" s="10" t="s">
        <v>206</v>
      </c>
      <c r="B78" s="25" t="s">
        <v>207</v>
      </c>
      <c r="C78" s="18">
        <v>32319</v>
      </c>
      <c r="D78" s="7" t="s">
        <v>13</v>
      </c>
      <c r="E78" s="6" t="s">
        <v>14</v>
      </c>
      <c r="F78" s="7">
        <v>45958</v>
      </c>
      <c r="G78" s="7" t="s">
        <v>171</v>
      </c>
      <c r="H78" s="6" t="s">
        <v>16</v>
      </c>
      <c r="I78" s="177">
        <v>2000</v>
      </c>
      <c r="J78" s="8">
        <v>16.5</v>
      </c>
      <c r="K78" s="6" t="s">
        <v>20</v>
      </c>
    </row>
    <row r="79" spans="1:11">
      <c r="A79" s="10" t="s">
        <v>204</v>
      </c>
      <c r="B79" s="6" t="s">
        <v>205</v>
      </c>
      <c r="C79" s="7">
        <v>34039</v>
      </c>
      <c r="D79" s="7" t="s">
        <v>13</v>
      </c>
      <c r="E79" s="6" t="s">
        <v>14</v>
      </c>
      <c r="F79" s="7">
        <v>45958</v>
      </c>
      <c r="G79" s="7" t="s">
        <v>171</v>
      </c>
      <c r="H79" s="6" t="s">
        <v>16</v>
      </c>
      <c r="I79" s="177">
        <v>2000</v>
      </c>
      <c r="J79" s="8">
        <v>16.5</v>
      </c>
      <c r="K79" s="6" t="s">
        <v>17</v>
      </c>
    </row>
    <row r="80" spans="1:11">
      <c r="A80" s="10" t="s">
        <v>210</v>
      </c>
      <c r="B80" s="16" t="s">
        <v>211</v>
      </c>
      <c r="C80" s="18">
        <v>36924</v>
      </c>
      <c r="D80" s="7" t="s">
        <v>13</v>
      </c>
      <c r="E80" s="6" t="s">
        <v>86</v>
      </c>
      <c r="F80" s="7">
        <v>45965</v>
      </c>
      <c r="G80" s="7" t="s">
        <v>35</v>
      </c>
      <c r="H80" s="6" t="s">
        <v>36</v>
      </c>
      <c r="I80" s="177">
        <v>2000</v>
      </c>
      <c r="J80" s="8">
        <v>16.5</v>
      </c>
      <c r="K80" s="6" t="s">
        <v>17</v>
      </c>
    </row>
    <row r="81" spans="1:11">
      <c r="A81" s="11" t="s">
        <v>212</v>
      </c>
      <c r="B81" s="6" t="s">
        <v>213</v>
      </c>
      <c r="C81" s="7">
        <v>38360</v>
      </c>
      <c r="D81" s="7" t="s">
        <v>13</v>
      </c>
      <c r="E81" s="6" t="s">
        <v>14</v>
      </c>
      <c r="F81" s="7">
        <v>45973</v>
      </c>
      <c r="G81" s="7" t="s">
        <v>171</v>
      </c>
      <c r="H81" s="6" t="s">
        <v>16</v>
      </c>
      <c r="I81" s="177">
        <v>2000</v>
      </c>
      <c r="J81" s="8">
        <v>16.5</v>
      </c>
      <c r="K81" s="6" t="s">
        <v>17</v>
      </c>
    </row>
    <row r="82" spans="1:11">
      <c r="A82" s="11" t="s">
        <v>214</v>
      </c>
      <c r="B82" s="6" t="s">
        <v>215</v>
      </c>
      <c r="C82" s="7">
        <v>31248</v>
      </c>
      <c r="D82" s="7" t="s">
        <v>13</v>
      </c>
      <c r="E82" s="6" t="s">
        <v>14</v>
      </c>
      <c r="F82" s="7">
        <v>45973</v>
      </c>
      <c r="G82" s="7" t="s">
        <v>171</v>
      </c>
      <c r="H82" s="6" t="s">
        <v>16</v>
      </c>
      <c r="I82" s="177">
        <v>2000</v>
      </c>
      <c r="J82" s="8">
        <v>16.5</v>
      </c>
      <c r="K82" s="6" t="s">
        <v>17</v>
      </c>
    </row>
    <row r="83" spans="1:11">
      <c r="A83" s="11" t="s">
        <v>216</v>
      </c>
      <c r="B83" s="6" t="s">
        <v>217</v>
      </c>
      <c r="C83" s="7">
        <v>31961</v>
      </c>
      <c r="D83" s="7" t="s">
        <v>13</v>
      </c>
      <c r="E83" s="6" t="s">
        <v>14</v>
      </c>
      <c r="F83" s="7">
        <v>45979</v>
      </c>
      <c r="G83" s="7" t="s">
        <v>171</v>
      </c>
      <c r="H83" s="6" t="s">
        <v>16</v>
      </c>
      <c r="I83" s="177">
        <v>2000</v>
      </c>
      <c r="J83" s="8">
        <v>16.5</v>
      </c>
      <c r="K83" s="6" t="s">
        <v>20</v>
      </c>
    </row>
    <row r="84" spans="1:11">
      <c r="A84" s="10" t="s">
        <v>218</v>
      </c>
      <c r="B84" s="6" t="s">
        <v>219</v>
      </c>
      <c r="C84" s="7">
        <v>28908</v>
      </c>
      <c r="D84" s="7" t="s">
        <v>13</v>
      </c>
      <c r="E84" s="6" t="s">
        <v>95</v>
      </c>
      <c r="F84" s="7">
        <v>46034</v>
      </c>
      <c r="G84" s="7" t="s">
        <v>35</v>
      </c>
      <c r="H84" s="6" t="s">
        <v>36</v>
      </c>
      <c r="I84" s="177">
        <v>2500</v>
      </c>
      <c r="J84" s="8">
        <v>16.5</v>
      </c>
      <c r="K84" s="6" t="s">
        <v>20</v>
      </c>
    </row>
    <row r="85" spans="1:11">
      <c r="A85" s="11" t="s">
        <v>220</v>
      </c>
      <c r="B85" s="6"/>
      <c r="C85" s="6"/>
      <c r="D85" s="6" t="s">
        <v>37</v>
      </c>
      <c r="E85" s="6" t="s">
        <v>221</v>
      </c>
      <c r="F85" s="7">
        <v>46034</v>
      </c>
      <c r="G85" s="6"/>
      <c r="H85" s="6"/>
      <c r="I85" s="165"/>
      <c r="J85" s="6"/>
      <c r="K85" s="6"/>
    </row>
    <row r="86" spans="1:11">
      <c r="A86" s="10" t="s">
        <v>222</v>
      </c>
      <c r="B86" s="12" t="s">
        <v>223</v>
      </c>
      <c r="C86" s="22">
        <v>29966</v>
      </c>
      <c r="D86" s="7" t="s">
        <v>13</v>
      </c>
      <c r="E86" s="6" t="s">
        <v>101</v>
      </c>
      <c r="F86" s="22">
        <v>46042</v>
      </c>
      <c r="G86" s="22" t="s">
        <v>35</v>
      </c>
      <c r="H86" s="12" t="s">
        <v>36</v>
      </c>
      <c r="I86" s="198">
        <v>3000</v>
      </c>
      <c r="J86" s="28">
        <v>16.5</v>
      </c>
      <c r="K86" s="12" t="s">
        <v>131</v>
      </c>
    </row>
    <row r="87" spans="1:11">
      <c r="A87" s="5" t="s">
        <v>227</v>
      </c>
      <c r="B87" s="20" t="s">
        <v>228</v>
      </c>
      <c r="C87" s="18">
        <v>38589</v>
      </c>
      <c r="D87" s="7" t="s">
        <v>13</v>
      </c>
      <c r="E87" s="6" t="s">
        <v>209</v>
      </c>
      <c r="F87" s="7">
        <v>46048</v>
      </c>
      <c r="G87" s="22" t="s">
        <v>35</v>
      </c>
      <c r="H87" s="12" t="s">
        <v>36</v>
      </c>
      <c r="I87" s="177">
        <v>2000</v>
      </c>
      <c r="J87" s="28">
        <v>16.5</v>
      </c>
      <c r="K87" s="6" t="s">
        <v>17</v>
      </c>
    </row>
    <row r="88" spans="1:11">
      <c r="A88" s="11" t="s">
        <v>229</v>
      </c>
      <c r="B88" s="6" t="s">
        <v>230</v>
      </c>
      <c r="C88" s="7">
        <v>37401</v>
      </c>
      <c r="D88" s="7" t="s">
        <v>13</v>
      </c>
      <c r="E88" s="237" t="s">
        <v>209</v>
      </c>
      <c r="F88" s="7">
        <v>46065</v>
      </c>
      <c r="G88" s="22" t="s">
        <v>35</v>
      </c>
      <c r="H88" s="12" t="s">
        <v>36</v>
      </c>
      <c r="I88" s="177">
        <v>2080</v>
      </c>
      <c r="J88" s="28">
        <v>16.5</v>
      </c>
      <c r="K88" s="6" t="s">
        <v>20</v>
      </c>
    </row>
    <row r="89" spans="1:11">
      <c r="A89" s="11" t="s">
        <v>231</v>
      </c>
      <c r="B89" s="6" t="s">
        <v>232</v>
      </c>
      <c r="C89" s="7">
        <v>37545</v>
      </c>
      <c r="D89" s="7" t="s">
        <v>13</v>
      </c>
      <c r="E89" s="6" t="s">
        <v>233</v>
      </c>
      <c r="F89" s="7">
        <v>46065</v>
      </c>
      <c r="G89" s="22" t="s">
        <v>35</v>
      </c>
      <c r="H89" s="12" t="s">
        <v>36</v>
      </c>
      <c r="I89" s="177">
        <v>2200</v>
      </c>
      <c r="J89" s="28">
        <v>16.5</v>
      </c>
      <c r="K89" s="6" t="s">
        <v>17</v>
      </c>
    </row>
    <row r="90" spans="1:11">
      <c r="A90" s="11" t="s">
        <v>234</v>
      </c>
      <c r="B90" s="6" t="s">
        <v>235</v>
      </c>
      <c r="C90" s="7">
        <v>36041</v>
      </c>
      <c r="D90" s="7" t="s">
        <v>13</v>
      </c>
      <c r="E90" s="6" t="s">
        <v>236</v>
      </c>
      <c r="F90" s="7">
        <v>46065</v>
      </c>
      <c r="G90" s="22" t="s">
        <v>35</v>
      </c>
      <c r="H90" s="12" t="s">
        <v>36</v>
      </c>
      <c r="I90" s="177">
        <v>2300</v>
      </c>
      <c r="J90" s="28">
        <v>16.5</v>
      </c>
      <c r="K90" s="6" t="s">
        <v>17</v>
      </c>
    </row>
    <row r="91" spans="1:11">
      <c r="A91" s="11" t="s">
        <v>237</v>
      </c>
      <c r="B91" s="26" t="s">
        <v>238</v>
      </c>
      <c r="C91" s="22">
        <v>34416</v>
      </c>
      <c r="D91" s="6" t="s">
        <v>37</v>
      </c>
      <c r="E91" s="6" t="s">
        <v>239</v>
      </c>
      <c r="F91" s="7">
        <v>46076</v>
      </c>
      <c r="G91" s="22" t="s">
        <v>35</v>
      </c>
      <c r="H91" s="12" t="s">
        <v>36</v>
      </c>
      <c r="I91" s="165"/>
      <c r="J91" s="6"/>
      <c r="K91" s="6"/>
    </row>
    <row r="92" spans="1:11" ht="13.9" customHeight="1">
      <c r="A92" s="11" t="s">
        <v>240</v>
      </c>
      <c r="B92" s="6" t="s">
        <v>241</v>
      </c>
      <c r="C92" s="22">
        <v>36173</v>
      </c>
      <c r="D92" s="7" t="s">
        <v>13</v>
      </c>
      <c r="E92" s="6" t="s">
        <v>242</v>
      </c>
      <c r="F92" s="7">
        <v>46084</v>
      </c>
      <c r="G92" s="22" t="s">
        <v>35</v>
      </c>
      <c r="H92" s="12" t="s">
        <v>36</v>
      </c>
      <c r="I92" s="177">
        <v>2600</v>
      </c>
      <c r="J92" s="28">
        <v>16.5</v>
      </c>
      <c r="K92" s="6" t="s">
        <v>20</v>
      </c>
    </row>
    <row r="93" spans="1:11">
      <c r="A93" s="11" t="s">
        <v>243</v>
      </c>
      <c r="B93" s="6" t="s">
        <v>244</v>
      </c>
      <c r="C93" s="22">
        <v>37217</v>
      </c>
      <c r="D93" s="7" t="s">
        <v>13</v>
      </c>
      <c r="E93" s="6" t="s">
        <v>89</v>
      </c>
      <c r="F93" s="7">
        <v>46084</v>
      </c>
      <c r="G93" s="22" t="s">
        <v>35</v>
      </c>
      <c r="H93" s="12" t="s">
        <v>36</v>
      </c>
      <c r="I93" s="177">
        <v>2600</v>
      </c>
      <c r="J93" s="28">
        <v>16.5</v>
      </c>
      <c r="K93" s="6" t="s">
        <v>17</v>
      </c>
    </row>
    <row r="94" spans="1:11">
      <c r="A94" s="10" t="s">
        <v>245</v>
      </c>
      <c r="B94" s="12" t="s">
        <v>246</v>
      </c>
      <c r="C94" s="22">
        <v>32177</v>
      </c>
      <c r="D94" s="7" t="s">
        <v>13</v>
      </c>
      <c r="E94" s="6" t="s">
        <v>77</v>
      </c>
      <c r="F94" s="7">
        <v>46090</v>
      </c>
      <c r="G94" s="22" t="s">
        <v>35</v>
      </c>
      <c r="H94" s="12" t="s">
        <v>36</v>
      </c>
      <c r="I94" s="177">
        <v>2500</v>
      </c>
      <c r="J94" s="28">
        <v>16.5</v>
      </c>
      <c r="K94" s="6" t="s">
        <v>17</v>
      </c>
    </row>
    <row r="95" spans="1:11">
      <c r="A95" s="10" t="s">
        <v>247</v>
      </c>
      <c r="B95" s="12" t="s">
        <v>248</v>
      </c>
      <c r="C95" s="22">
        <v>34136</v>
      </c>
      <c r="D95" s="7" t="s">
        <v>13</v>
      </c>
      <c r="E95" s="6" t="s">
        <v>249</v>
      </c>
      <c r="F95" s="7">
        <v>46090</v>
      </c>
      <c r="G95" s="22" t="s">
        <v>35</v>
      </c>
      <c r="H95" s="12" t="s">
        <v>36</v>
      </c>
      <c r="I95" s="177">
        <v>5000</v>
      </c>
      <c r="J95" s="28">
        <v>16.5</v>
      </c>
      <c r="K95" s="6" t="s">
        <v>17</v>
      </c>
    </row>
    <row r="96" spans="1:11">
      <c r="A96" s="11" t="s">
        <v>250</v>
      </c>
      <c r="B96" s="14" t="s">
        <v>251</v>
      </c>
      <c r="C96" s="13">
        <v>35154</v>
      </c>
      <c r="D96" s="7" t="s">
        <v>13</v>
      </c>
      <c r="E96" s="6" t="s">
        <v>86</v>
      </c>
      <c r="F96" s="7">
        <v>46093</v>
      </c>
      <c r="G96" s="22" t="s">
        <v>35</v>
      </c>
      <c r="H96" s="12" t="s">
        <v>36</v>
      </c>
      <c r="I96" s="177">
        <v>2080</v>
      </c>
      <c r="J96" s="28">
        <v>16.5</v>
      </c>
      <c r="K96" s="6" t="s">
        <v>17</v>
      </c>
    </row>
    <row r="97" spans="1:11">
      <c r="A97" s="11" t="s">
        <v>252</v>
      </c>
      <c r="B97" s="12" t="s">
        <v>253</v>
      </c>
      <c r="C97" s="22">
        <v>35045</v>
      </c>
      <c r="D97" s="7" t="s">
        <v>13</v>
      </c>
      <c r="E97" s="6" t="s">
        <v>209</v>
      </c>
      <c r="F97" s="7">
        <v>46093</v>
      </c>
      <c r="G97" s="22" t="s">
        <v>35</v>
      </c>
      <c r="H97" s="12" t="s">
        <v>36</v>
      </c>
      <c r="I97" s="177">
        <v>2080</v>
      </c>
      <c r="J97" s="28">
        <v>16.5</v>
      </c>
      <c r="K97" s="6" t="s">
        <v>17</v>
      </c>
    </row>
    <row r="98" spans="1:11">
      <c r="A98" s="10" t="s">
        <v>254</v>
      </c>
      <c r="B98" s="6" t="s">
        <v>255</v>
      </c>
      <c r="C98" s="7">
        <v>37643</v>
      </c>
      <c r="D98" s="7" t="s">
        <v>13</v>
      </c>
      <c r="E98" s="6" t="s">
        <v>89</v>
      </c>
      <c r="F98" s="7">
        <v>46097</v>
      </c>
      <c r="G98" s="22" t="s">
        <v>35</v>
      </c>
      <c r="H98" s="12" t="s">
        <v>36</v>
      </c>
      <c r="I98" s="177">
        <v>2600</v>
      </c>
      <c r="J98" s="28">
        <v>16.5</v>
      </c>
      <c r="K98" s="6" t="s">
        <v>17</v>
      </c>
    </row>
    <row r="99" spans="1:11">
      <c r="A99" s="10" t="s">
        <v>256</v>
      </c>
      <c r="B99" s="6" t="s">
        <v>257</v>
      </c>
      <c r="C99" s="7">
        <v>36211</v>
      </c>
      <c r="D99" s="7" t="s">
        <v>258</v>
      </c>
      <c r="E99" s="6" t="s">
        <v>259</v>
      </c>
      <c r="F99" s="7">
        <v>46097</v>
      </c>
      <c r="G99" s="22" t="s">
        <v>35</v>
      </c>
      <c r="H99" s="12" t="s">
        <v>36</v>
      </c>
      <c r="I99" s="177">
        <v>2080</v>
      </c>
      <c r="J99" s="28">
        <v>16.5</v>
      </c>
      <c r="K99" s="6" t="s">
        <v>20</v>
      </c>
    </row>
    <row r="100" spans="1:11">
      <c r="A100" s="10" t="s">
        <v>260</v>
      </c>
      <c r="B100" s="6" t="s">
        <v>261</v>
      </c>
      <c r="C100" s="7">
        <v>33843</v>
      </c>
      <c r="D100" s="7" t="s">
        <v>13</v>
      </c>
      <c r="E100" s="6" t="s">
        <v>259</v>
      </c>
      <c r="F100" s="7">
        <v>46097</v>
      </c>
      <c r="G100" s="22" t="s">
        <v>35</v>
      </c>
      <c r="H100" s="12" t="s">
        <v>36</v>
      </c>
      <c r="I100" s="177">
        <v>2080</v>
      </c>
      <c r="J100" s="28">
        <v>16.5</v>
      </c>
      <c r="K100" s="6" t="s">
        <v>20</v>
      </c>
    </row>
    <row r="101" spans="1:11">
      <c r="A101" s="10" t="s">
        <v>263</v>
      </c>
      <c r="B101" s="6" t="s">
        <v>264</v>
      </c>
      <c r="C101" s="7">
        <v>34699</v>
      </c>
      <c r="D101" s="7" t="s">
        <v>13</v>
      </c>
      <c r="E101" s="6" t="s">
        <v>186</v>
      </c>
      <c r="F101" s="7">
        <v>46097</v>
      </c>
      <c r="G101" s="22" t="s">
        <v>35</v>
      </c>
      <c r="H101" s="12" t="s">
        <v>36</v>
      </c>
      <c r="I101" s="177">
        <v>2080</v>
      </c>
      <c r="J101" s="28">
        <v>16.5</v>
      </c>
      <c r="K101" s="6" t="s">
        <v>17</v>
      </c>
    </row>
    <row r="102" spans="1:11">
      <c r="A102" s="10" t="s">
        <v>265</v>
      </c>
      <c r="B102" s="6" t="s">
        <v>266</v>
      </c>
      <c r="C102" s="7">
        <v>33390</v>
      </c>
      <c r="D102" s="7" t="s">
        <v>13</v>
      </c>
      <c r="E102" s="6" t="s">
        <v>186</v>
      </c>
      <c r="F102" s="7">
        <v>46097</v>
      </c>
      <c r="G102" s="22" t="s">
        <v>35</v>
      </c>
      <c r="H102" s="12" t="s">
        <v>36</v>
      </c>
      <c r="I102" s="177">
        <v>2080</v>
      </c>
      <c r="J102" s="28">
        <v>16.5</v>
      </c>
      <c r="K102" s="6" t="s">
        <v>17</v>
      </c>
    </row>
    <row r="103" spans="1:11">
      <c r="A103" s="10" t="s">
        <v>267</v>
      </c>
      <c r="B103" s="6" t="s">
        <v>268</v>
      </c>
      <c r="C103" s="7">
        <v>35272</v>
      </c>
      <c r="D103" s="7" t="s">
        <v>13</v>
      </c>
      <c r="E103" s="237" t="s">
        <v>269</v>
      </c>
      <c r="F103" s="7">
        <v>46098</v>
      </c>
      <c r="G103" s="22" t="s">
        <v>35</v>
      </c>
      <c r="H103" s="12" t="s">
        <v>36</v>
      </c>
      <c r="I103" s="177">
        <v>3000</v>
      </c>
      <c r="J103" s="28">
        <v>16.5</v>
      </c>
      <c r="K103" s="6" t="s">
        <v>17</v>
      </c>
    </row>
    <row r="104" spans="1:11" ht="13.9" customHeight="1">
      <c r="A104" s="10" t="s">
        <v>270</v>
      </c>
      <c r="B104" s="6" t="s">
        <v>271</v>
      </c>
      <c r="C104" s="7">
        <v>36703</v>
      </c>
      <c r="D104" s="7" t="s">
        <v>13</v>
      </c>
      <c r="E104" s="6" t="s">
        <v>61</v>
      </c>
      <c r="F104" s="7">
        <v>46099</v>
      </c>
      <c r="G104" s="22" t="s">
        <v>35</v>
      </c>
      <c r="H104" s="12" t="s">
        <v>36</v>
      </c>
      <c r="I104" s="177">
        <v>2500</v>
      </c>
      <c r="J104" s="28">
        <v>16.5</v>
      </c>
      <c r="K104" s="6" t="s">
        <v>17</v>
      </c>
    </row>
    <row r="105" spans="1:11" ht="15" customHeight="1">
      <c r="A105" s="10" t="s">
        <v>272</v>
      </c>
      <c r="B105" s="6" t="s">
        <v>273</v>
      </c>
      <c r="C105" s="7">
        <v>37500</v>
      </c>
      <c r="D105" s="7"/>
      <c r="E105" s="6" t="s">
        <v>14</v>
      </c>
      <c r="F105" s="7">
        <v>46120</v>
      </c>
      <c r="G105" s="6" t="s">
        <v>171</v>
      </c>
      <c r="H105" s="6" t="s">
        <v>274</v>
      </c>
      <c r="I105" s="177">
        <v>2080</v>
      </c>
      <c r="J105" s="28">
        <v>16.5</v>
      </c>
      <c r="K105" s="6" t="s">
        <v>17</v>
      </c>
    </row>
    <row r="106" spans="1:11">
      <c r="A106" s="10" t="s">
        <v>275</v>
      </c>
      <c r="B106" s="6" t="s">
        <v>276</v>
      </c>
      <c r="C106" s="7">
        <v>36807</v>
      </c>
      <c r="D106" s="7"/>
      <c r="E106" s="6" t="s">
        <v>14</v>
      </c>
      <c r="F106" s="7">
        <v>46120</v>
      </c>
      <c r="G106" s="6" t="s">
        <v>171</v>
      </c>
      <c r="H106" s="6" t="s">
        <v>277</v>
      </c>
      <c r="I106" s="177">
        <v>2080</v>
      </c>
      <c r="J106" s="28">
        <v>16.5</v>
      </c>
      <c r="K106" s="6" t="s">
        <v>17</v>
      </c>
    </row>
    <row r="107" spans="1:11">
      <c r="A107" s="10" t="s">
        <v>278</v>
      </c>
      <c r="B107" s="6" t="s">
        <v>279</v>
      </c>
      <c r="C107" s="7">
        <v>32257</v>
      </c>
      <c r="D107" s="7"/>
      <c r="E107" s="6" t="s">
        <v>280</v>
      </c>
      <c r="F107" s="7">
        <v>46120</v>
      </c>
      <c r="G107" s="22" t="s">
        <v>35</v>
      </c>
      <c r="H107" s="12" t="s">
        <v>36</v>
      </c>
      <c r="I107" s="177">
        <v>2080</v>
      </c>
      <c r="J107" s="28">
        <v>16.5</v>
      </c>
      <c r="K107" s="6" t="s">
        <v>17</v>
      </c>
    </row>
    <row r="108" spans="1:11">
      <c r="A108" s="11" t="s">
        <v>281</v>
      </c>
      <c r="B108" s="6" t="s">
        <v>282</v>
      </c>
      <c r="C108" s="7">
        <v>35954</v>
      </c>
      <c r="D108" s="6"/>
      <c r="E108" s="6" t="s">
        <v>283</v>
      </c>
      <c r="F108" s="7">
        <v>46120</v>
      </c>
      <c r="G108" s="22" t="s">
        <v>35</v>
      </c>
      <c r="H108" s="12" t="s">
        <v>36</v>
      </c>
      <c r="I108" s="177">
        <v>2080</v>
      </c>
      <c r="J108" s="28">
        <v>16.5</v>
      </c>
      <c r="K108" s="6" t="s">
        <v>17</v>
      </c>
    </row>
    <row r="109" spans="1:11">
      <c r="A109" s="11" t="s">
        <v>284</v>
      </c>
      <c r="B109" s="12" t="s">
        <v>285</v>
      </c>
      <c r="C109" s="7">
        <v>37321</v>
      </c>
      <c r="D109" s="6"/>
      <c r="E109" s="6" t="s">
        <v>286</v>
      </c>
      <c r="F109" s="7">
        <v>46127</v>
      </c>
      <c r="G109" s="22" t="s">
        <v>35</v>
      </c>
      <c r="H109" s="12" t="s">
        <v>36</v>
      </c>
      <c r="I109" s="177">
        <v>2288</v>
      </c>
      <c r="J109" s="28">
        <v>16.5</v>
      </c>
      <c r="K109" s="6" t="s">
        <v>17</v>
      </c>
    </row>
    <row r="110" spans="1:11">
      <c r="A110" s="11" t="s">
        <v>287</v>
      </c>
      <c r="B110" s="6" t="s">
        <v>288</v>
      </c>
      <c r="C110" s="7">
        <v>36139</v>
      </c>
      <c r="D110" s="6"/>
      <c r="E110" s="6" t="s">
        <v>289</v>
      </c>
      <c r="F110" s="7">
        <v>46129</v>
      </c>
      <c r="G110" s="22" t="s">
        <v>35</v>
      </c>
      <c r="H110" s="12" t="s">
        <v>36</v>
      </c>
      <c r="I110" s="177">
        <v>2200</v>
      </c>
      <c r="J110" s="28">
        <v>16.5</v>
      </c>
      <c r="K110" s="6" t="s">
        <v>17</v>
      </c>
    </row>
    <row r="111" spans="1:11">
      <c r="A111" s="11" t="s">
        <v>290</v>
      </c>
      <c r="B111" s="340" t="s">
        <v>291</v>
      </c>
      <c r="C111" s="7">
        <v>35804</v>
      </c>
      <c r="D111" s="6"/>
      <c r="E111" s="6" t="s">
        <v>292</v>
      </c>
      <c r="F111" s="7">
        <v>46129</v>
      </c>
      <c r="G111" s="22" t="s">
        <v>35</v>
      </c>
      <c r="H111" s="12" t="s">
        <v>36</v>
      </c>
      <c r="I111" s="177">
        <v>6000</v>
      </c>
      <c r="J111" s="28">
        <v>16.5</v>
      </c>
      <c r="K111" s="6" t="s">
        <v>17</v>
      </c>
    </row>
    <row r="112" spans="1:11">
      <c r="A112" s="11" t="s">
        <v>293</v>
      </c>
      <c r="B112" s="6" t="s">
        <v>294</v>
      </c>
      <c r="C112" s="7">
        <v>35143</v>
      </c>
      <c r="D112" s="6"/>
      <c r="E112" s="6" t="s">
        <v>292</v>
      </c>
      <c r="F112" s="7">
        <v>46129</v>
      </c>
      <c r="G112" s="22" t="s">
        <v>35</v>
      </c>
      <c r="H112" s="12" t="s">
        <v>36</v>
      </c>
      <c r="I112" s="177">
        <v>6000</v>
      </c>
      <c r="J112" s="28">
        <v>16.5</v>
      </c>
      <c r="K112" s="6" t="s">
        <v>17</v>
      </c>
    </row>
    <row r="113" spans="1:11">
      <c r="A113" s="11" t="s">
        <v>295</v>
      </c>
      <c r="B113" s="6" t="s">
        <v>296</v>
      </c>
      <c r="C113" s="7">
        <v>37977</v>
      </c>
      <c r="D113" s="6"/>
      <c r="E113" s="6" t="s">
        <v>297</v>
      </c>
      <c r="F113" s="7">
        <v>46129</v>
      </c>
      <c r="G113" s="22" t="s">
        <v>35</v>
      </c>
      <c r="H113" s="6" t="s">
        <v>298</v>
      </c>
      <c r="I113" s="177">
        <v>1000</v>
      </c>
      <c r="J113" s="28">
        <v>16.5</v>
      </c>
      <c r="K113" s="6" t="s">
        <v>17</v>
      </c>
    </row>
    <row r="114" spans="1:11">
      <c r="A114" s="11" t="s">
        <v>299</v>
      </c>
      <c r="B114" s="6" t="s">
        <v>300</v>
      </c>
      <c r="C114" s="7">
        <v>38615</v>
      </c>
      <c r="D114" s="6"/>
      <c r="E114" s="6" t="s">
        <v>297</v>
      </c>
      <c r="F114" s="7">
        <v>46129</v>
      </c>
      <c r="G114" s="22" t="s">
        <v>35</v>
      </c>
      <c r="H114" s="6" t="s">
        <v>298</v>
      </c>
      <c r="I114" s="177">
        <v>1000</v>
      </c>
      <c r="J114" s="28">
        <v>16.5</v>
      </c>
      <c r="K114" s="6" t="s">
        <v>17</v>
      </c>
    </row>
    <row r="115" spans="1:11">
      <c r="A115" s="150" t="s">
        <v>301</v>
      </c>
      <c r="B115" s="6" t="s">
        <v>302</v>
      </c>
      <c r="C115" s="7">
        <v>37447</v>
      </c>
      <c r="D115" s="7" t="s">
        <v>13</v>
      </c>
      <c r="E115" s="6" t="s">
        <v>303</v>
      </c>
      <c r="F115" s="7">
        <v>46135</v>
      </c>
      <c r="G115" s="22" t="s">
        <v>35</v>
      </c>
      <c r="H115" s="12" t="s">
        <v>36</v>
      </c>
      <c r="I115" s="177">
        <v>2080</v>
      </c>
      <c r="J115" s="28">
        <v>16.5</v>
      </c>
      <c r="K115" s="6" t="s">
        <v>17</v>
      </c>
    </row>
    <row r="116" spans="1:11">
      <c r="A116" s="143" t="s">
        <v>304</v>
      </c>
      <c r="B116" s="6" t="s">
        <v>305</v>
      </c>
      <c r="C116" s="7">
        <v>38324</v>
      </c>
      <c r="D116" s="6"/>
      <c r="E116" s="6" t="s">
        <v>306</v>
      </c>
      <c r="F116" s="7">
        <v>46139</v>
      </c>
      <c r="G116" s="22" t="s">
        <v>35</v>
      </c>
      <c r="H116" s="12" t="s">
        <v>36</v>
      </c>
      <c r="I116" s="177">
        <v>1000</v>
      </c>
      <c r="J116" s="28">
        <v>16.5</v>
      </c>
      <c r="K116" s="6" t="s">
        <v>17</v>
      </c>
    </row>
    <row r="117" spans="1:11">
      <c r="A117" s="11" t="s">
        <v>307</v>
      </c>
      <c r="B117" s="6" t="s">
        <v>308</v>
      </c>
      <c r="C117" s="7">
        <v>33610</v>
      </c>
      <c r="D117" s="6"/>
      <c r="E117" s="6" t="s">
        <v>309</v>
      </c>
      <c r="F117" s="7">
        <v>46141</v>
      </c>
      <c r="G117" s="6" t="s">
        <v>171</v>
      </c>
      <c r="H117" s="6" t="s">
        <v>310</v>
      </c>
      <c r="I117" s="177">
        <v>2080</v>
      </c>
      <c r="J117" s="28">
        <v>16.5</v>
      </c>
      <c r="K117" s="6" t="s">
        <v>17</v>
      </c>
    </row>
    <row r="118" spans="1:11">
      <c r="A118" s="11" t="s">
        <v>311</v>
      </c>
      <c r="B118" s="6" t="s">
        <v>312</v>
      </c>
      <c r="C118" s="7">
        <v>35432</v>
      </c>
      <c r="D118" s="6"/>
      <c r="E118" s="6" t="s">
        <v>309</v>
      </c>
      <c r="F118" s="7">
        <v>46141</v>
      </c>
      <c r="G118" s="6" t="s">
        <v>171</v>
      </c>
      <c r="H118" s="6" t="s">
        <v>310</v>
      </c>
      <c r="I118" s="177">
        <v>2080</v>
      </c>
      <c r="J118" s="28">
        <v>16.5</v>
      </c>
      <c r="K118" s="6" t="s">
        <v>17</v>
      </c>
    </row>
    <row r="119" spans="1:11">
      <c r="A119" s="11" t="s">
        <v>313</v>
      </c>
      <c r="B119" s="6" t="s">
        <v>314</v>
      </c>
      <c r="C119" s="7">
        <v>34944</v>
      </c>
      <c r="D119" s="6"/>
      <c r="E119" s="6" t="s">
        <v>309</v>
      </c>
      <c r="F119" s="7">
        <v>46141</v>
      </c>
      <c r="G119" s="6" t="s">
        <v>171</v>
      </c>
      <c r="H119" s="6" t="s">
        <v>310</v>
      </c>
      <c r="I119" s="177">
        <v>2080</v>
      </c>
      <c r="J119" s="28">
        <v>16.5</v>
      </c>
      <c r="K119" s="6" t="s">
        <v>315</v>
      </c>
    </row>
    <row r="120" spans="1:11">
      <c r="A120" s="11" t="s">
        <v>316</v>
      </c>
      <c r="B120" s="6" t="s">
        <v>317</v>
      </c>
      <c r="C120" s="7">
        <v>37033</v>
      </c>
      <c r="D120" s="7" t="s">
        <v>13</v>
      </c>
      <c r="E120" s="6" t="s">
        <v>89</v>
      </c>
      <c r="F120" s="7">
        <v>46148</v>
      </c>
      <c r="G120" s="22" t="s">
        <v>35</v>
      </c>
      <c r="H120" s="12" t="s">
        <v>36</v>
      </c>
      <c r="I120" s="177">
        <v>2600</v>
      </c>
      <c r="J120" s="28">
        <v>16.5</v>
      </c>
      <c r="K120" s="6" t="s">
        <v>17</v>
      </c>
    </row>
    <row r="121" spans="1:11">
      <c r="A121" s="11" t="s">
        <v>318</v>
      </c>
      <c r="B121" s="6" t="s">
        <v>319</v>
      </c>
      <c r="C121" s="7">
        <v>36406</v>
      </c>
      <c r="D121" s="7" t="s">
        <v>13</v>
      </c>
      <c r="E121" s="6" t="s">
        <v>309</v>
      </c>
      <c r="F121" s="7">
        <v>46155</v>
      </c>
      <c r="G121" s="6" t="s">
        <v>171</v>
      </c>
      <c r="H121" s="6" t="s">
        <v>277</v>
      </c>
      <c r="I121" s="177">
        <v>2080</v>
      </c>
      <c r="J121" s="28">
        <v>16.5</v>
      </c>
      <c r="K121" s="6" t="s">
        <v>315</v>
      </c>
    </row>
    <row r="122" spans="1:11" ht="13.9" customHeight="1">
      <c r="A122" s="11" t="s">
        <v>320</v>
      </c>
      <c r="B122" s="6" t="s">
        <v>711</v>
      </c>
      <c r="C122" s="7">
        <v>38265</v>
      </c>
      <c r="D122" s="7" t="s">
        <v>13</v>
      </c>
      <c r="E122" s="6" t="s">
        <v>321</v>
      </c>
      <c r="F122" s="7">
        <v>46162</v>
      </c>
      <c r="G122" s="22" t="s">
        <v>35</v>
      </c>
      <c r="H122" s="12" t="s">
        <v>36</v>
      </c>
      <c r="I122" s="177">
        <v>2500</v>
      </c>
      <c r="J122" s="28">
        <v>16.5</v>
      </c>
      <c r="K122" s="6" t="s">
        <v>17</v>
      </c>
    </row>
    <row r="123" spans="1:11">
      <c r="A123" s="149" t="s">
        <v>709</v>
      </c>
      <c r="B123" s="6" t="s">
        <v>710</v>
      </c>
      <c r="C123" s="7">
        <v>37015</v>
      </c>
      <c r="D123" s="7" t="s">
        <v>13</v>
      </c>
      <c r="E123" s="6" t="s">
        <v>322</v>
      </c>
      <c r="F123" s="7">
        <v>46162</v>
      </c>
      <c r="G123" s="22" t="s">
        <v>35</v>
      </c>
      <c r="H123" s="12" t="s">
        <v>36</v>
      </c>
      <c r="I123" s="177">
        <v>2500</v>
      </c>
      <c r="J123" s="28">
        <v>16.5</v>
      </c>
      <c r="K123" s="6" t="s">
        <v>315</v>
      </c>
    </row>
    <row r="124" spans="1:11">
      <c r="A124" s="149" t="s">
        <v>708</v>
      </c>
      <c r="B124" s="6" t="s">
        <v>323</v>
      </c>
      <c r="C124" s="7">
        <v>38387</v>
      </c>
      <c r="D124" s="7" t="s">
        <v>13</v>
      </c>
      <c r="E124" s="6" t="s">
        <v>324</v>
      </c>
      <c r="F124" s="7">
        <v>46162</v>
      </c>
      <c r="G124" s="22" t="s">
        <v>35</v>
      </c>
      <c r="H124" s="12" t="s">
        <v>36</v>
      </c>
      <c r="I124" s="177">
        <v>2080</v>
      </c>
      <c r="J124" s="28">
        <v>16.5</v>
      </c>
      <c r="K124" s="6" t="s">
        <v>315</v>
      </c>
    </row>
    <row r="125" spans="1:11">
      <c r="A125" s="11" t="s">
        <v>718</v>
      </c>
      <c r="B125" s="6" t="s">
        <v>722</v>
      </c>
      <c r="C125" s="7">
        <v>45692</v>
      </c>
      <c r="D125" s="7" t="s">
        <v>13</v>
      </c>
      <c r="E125" s="6" t="s">
        <v>186</v>
      </c>
      <c r="F125" s="7">
        <v>46169</v>
      </c>
      <c r="G125" s="22" t="s">
        <v>35</v>
      </c>
      <c r="H125" s="12" t="s">
        <v>36</v>
      </c>
      <c r="I125" s="177">
        <v>2080</v>
      </c>
      <c r="J125" s="28">
        <v>16.5</v>
      </c>
      <c r="K125" s="6" t="s">
        <v>17</v>
      </c>
    </row>
    <row r="126" spans="1:11">
      <c r="A126" s="152" t="s">
        <v>717</v>
      </c>
      <c r="B126" s="6" t="s">
        <v>723</v>
      </c>
      <c r="C126" s="7">
        <v>37004</v>
      </c>
      <c r="D126" s="7" t="s">
        <v>13</v>
      </c>
      <c r="E126" s="6" t="s">
        <v>324</v>
      </c>
      <c r="F126" s="7">
        <v>46176</v>
      </c>
      <c r="G126" s="22" t="s">
        <v>35</v>
      </c>
      <c r="H126" s="12" t="s">
        <v>36</v>
      </c>
      <c r="I126" s="177">
        <v>2080</v>
      </c>
      <c r="J126" s="28">
        <v>16.5</v>
      </c>
      <c r="K126" s="6" t="s">
        <v>17</v>
      </c>
    </row>
    <row r="127" spans="1:11">
      <c r="A127" s="10" t="s">
        <v>731</v>
      </c>
      <c r="B127" s="6" t="s">
        <v>737</v>
      </c>
      <c r="C127" s="7">
        <v>33281</v>
      </c>
      <c r="D127" s="7" t="s">
        <v>37</v>
      </c>
      <c r="E127" s="160" t="s">
        <v>742</v>
      </c>
      <c r="F127" s="7">
        <v>46185</v>
      </c>
      <c r="G127" s="22" t="s">
        <v>35</v>
      </c>
      <c r="H127" s="12" t="s">
        <v>36</v>
      </c>
      <c r="I127" s="177">
        <v>5000</v>
      </c>
      <c r="J127" s="28">
        <v>16.5</v>
      </c>
      <c r="K127" s="6" t="s">
        <v>17</v>
      </c>
    </row>
    <row r="128" spans="1:11">
      <c r="A128" s="10" t="s">
        <v>725</v>
      </c>
      <c r="B128" s="6" t="s">
        <v>732</v>
      </c>
      <c r="C128" s="7">
        <v>32097</v>
      </c>
      <c r="D128" s="7" t="s">
        <v>13</v>
      </c>
      <c r="E128" s="6" t="s">
        <v>760</v>
      </c>
      <c r="F128" s="7">
        <v>46188</v>
      </c>
      <c r="G128" s="22" t="s">
        <v>35</v>
      </c>
      <c r="H128" s="12" t="s">
        <v>36</v>
      </c>
      <c r="I128" s="177">
        <v>2080</v>
      </c>
      <c r="J128" s="28">
        <v>16.5</v>
      </c>
      <c r="K128" s="6" t="s">
        <v>315</v>
      </c>
    </row>
    <row r="129" spans="1:11">
      <c r="A129" s="11" t="s">
        <v>726</v>
      </c>
      <c r="B129" s="6" t="s">
        <v>733</v>
      </c>
      <c r="C129" s="7">
        <v>38837</v>
      </c>
      <c r="D129" s="7" t="s">
        <v>13</v>
      </c>
      <c r="E129" s="6" t="s">
        <v>761</v>
      </c>
      <c r="F129" s="7">
        <v>46188</v>
      </c>
      <c r="G129" s="22" t="s">
        <v>35</v>
      </c>
      <c r="H129" s="12" t="s">
        <v>36</v>
      </c>
      <c r="I129" s="177">
        <v>2200</v>
      </c>
      <c r="J129" s="28">
        <v>16.5</v>
      </c>
      <c r="K129" s="6" t="s">
        <v>17</v>
      </c>
    </row>
    <row r="130" spans="1:11">
      <c r="A130" s="23" t="s">
        <v>728</v>
      </c>
      <c r="B130" s="23" t="s">
        <v>734</v>
      </c>
      <c r="C130" s="7">
        <v>31226</v>
      </c>
      <c r="D130" s="7" t="s">
        <v>13</v>
      </c>
      <c r="E130" s="6" t="s">
        <v>762</v>
      </c>
      <c r="F130" s="7">
        <v>46189</v>
      </c>
      <c r="G130" s="169" t="s">
        <v>35</v>
      </c>
      <c r="H130" s="12" t="s">
        <v>36</v>
      </c>
      <c r="I130" s="177">
        <v>5000</v>
      </c>
      <c r="J130" s="170">
        <v>16.5</v>
      </c>
      <c r="K130" s="6" t="s">
        <v>17</v>
      </c>
    </row>
    <row r="131" spans="1:11">
      <c r="A131" s="23" t="s">
        <v>729</v>
      </c>
      <c r="B131" s="23" t="s">
        <v>736</v>
      </c>
      <c r="C131" s="7">
        <v>38164</v>
      </c>
      <c r="D131" s="7" t="s">
        <v>13</v>
      </c>
      <c r="E131" s="6" t="s">
        <v>763</v>
      </c>
      <c r="F131" s="7">
        <v>46189</v>
      </c>
      <c r="G131" s="169" t="s">
        <v>35</v>
      </c>
      <c r="H131" s="12" t="s">
        <v>36</v>
      </c>
      <c r="I131" s="177">
        <v>2080</v>
      </c>
      <c r="J131" s="201">
        <v>16.5</v>
      </c>
      <c r="K131" s="6" t="s">
        <v>315</v>
      </c>
    </row>
    <row r="132" spans="1:11">
      <c r="A132" s="208" t="s">
        <v>730</v>
      </c>
      <c r="B132" s="23" t="s">
        <v>735</v>
      </c>
      <c r="C132" s="7">
        <v>31871</v>
      </c>
      <c r="D132" s="7" t="s">
        <v>13</v>
      </c>
      <c r="E132" s="6" t="s">
        <v>763</v>
      </c>
      <c r="F132" s="7">
        <v>46189</v>
      </c>
      <c r="G132" s="169" t="s">
        <v>35</v>
      </c>
      <c r="H132" s="12" t="s">
        <v>36</v>
      </c>
      <c r="I132" s="177">
        <v>2080</v>
      </c>
      <c r="J132" s="201">
        <v>16.5</v>
      </c>
      <c r="K132" s="6" t="s">
        <v>17</v>
      </c>
    </row>
    <row r="133" spans="1:11" ht="13.9" customHeight="1">
      <c r="A133" s="23" t="s">
        <v>744</v>
      </c>
      <c r="B133" s="23" t="s">
        <v>745</v>
      </c>
      <c r="C133" s="7">
        <v>35087</v>
      </c>
      <c r="D133" s="7" t="s">
        <v>13</v>
      </c>
      <c r="E133" s="6" t="s">
        <v>64</v>
      </c>
      <c r="F133" s="7">
        <v>46203</v>
      </c>
      <c r="G133" s="169" t="s">
        <v>35</v>
      </c>
      <c r="H133" s="12" t="s">
        <v>36</v>
      </c>
      <c r="I133" s="177">
        <v>2500</v>
      </c>
      <c r="J133" s="201">
        <v>16.5</v>
      </c>
      <c r="K133" s="6" t="s">
        <v>315</v>
      </c>
    </row>
    <row r="134" spans="1:11" s="2" customFormat="1" ht="12.75">
      <c r="A134" s="175" t="s">
        <v>746</v>
      </c>
      <c r="B134" s="175" t="s">
        <v>759</v>
      </c>
      <c r="C134" s="96">
        <v>31722</v>
      </c>
      <c r="D134" s="96" t="s">
        <v>13</v>
      </c>
      <c r="E134" s="95" t="s">
        <v>747</v>
      </c>
      <c r="F134" s="96">
        <v>46204</v>
      </c>
      <c r="G134" s="341" t="s">
        <v>35</v>
      </c>
      <c r="H134" s="14" t="s">
        <v>36</v>
      </c>
      <c r="I134" s="342">
        <v>3000</v>
      </c>
      <c r="J134" s="343">
        <v>16.5</v>
      </c>
      <c r="K134" s="95" t="s">
        <v>748</v>
      </c>
    </row>
    <row r="135" spans="1:11">
      <c r="A135" s="23" t="s">
        <v>749</v>
      </c>
      <c r="B135" s="23" t="s">
        <v>750</v>
      </c>
      <c r="C135" s="7">
        <v>34603</v>
      </c>
      <c r="D135" s="6" t="s">
        <v>13</v>
      </c>
      <c r="E135" s="6" t="s">
        <v>249</v>
      </c>
      <c r="F135" s="7">
        <v>46210</v>
      </c>
      <c r="G135" s="169" t="s">
        <v>35</v>
      </c>
      <c r="H135" s="12" t="s">
        <v>36</v>
      </c>
      <c r="I135" s="165">
        <v>5000</v>
      </c>
      <c r="J135" s="202">
        <v>16.5</v>
      </c>
      <c r="K135" s="6" t="s">
        <v>748</v>
      </c>
    </row>
    <row r="136" spans="1:11">
      <c r="A136" s="23" t="s">
        <v>752</v>
      </c>
      <c r="B136" s="23" t="s">
        <v>753</v>
      </c>
      <c r="C136" s="7">
        <v>36653</v>
      </c>
      <c r="D136" s="6" t="s">
        <v>13</v>
      </c>
      <c r="E136" s="6" t="s">
        <v>259</v>
      </c>
      <c r="F136" s="7">
        <v>46210</v>
      </c>
      <c r="G136" s="23" t="s">
        <v>35</v>
      </c>
      <c r="H136" s="12" t="s">
        <v>36</v>
      </c>
      <c r="I136" s="165">
        <v>2080</v>
      </c>
      <c r="J136" s="202">
        <v>16.5</v>
      </c>
      <c r="K136" s="6" t="s">
        <v>748</v>
      </c>
    </row>
    <row r="137" spans="1:11">
      <c r="A137" s="178" t="s">
        <v>754</v>
      </c>
      <c r="B137" s="23" t="s">
        <v>755</v>
      </c>
      <c r="C137" s="7">
        <v>37133</v>
      </c>
      <c r="D137" s="6" t="s">
        <v>13</v>
      </c>
      <c r="E137" s="6" t="s">
        <v>756</v>
      </c>
      <c r="F137" s="7">
        <v>46210</v>
      </c>
      <c r="G137" s="23" t="s">
        <v>35</v>
      </c>
      <c r="H137" s="12" t="s">
        <v>36</v>
      </c>
      <c r="I137" s="165">
        <v>2080</v>
      </c>
      <c r="J137" s="202">
        <v>16.5</v>
      </c>
      <c r="K137" s="6" t="s">
        <v>748</v>
      </c>
    </row>
    <row r="138" spans="1:11">
      <c r="A138" s="23" t="s">
        <v>757</v>
      </c>
      <c r="B138" s="23" t="s">
        <v>750</v>
      </c>
      <c r="C138" s="7">
        <v>30828</v>
      </c>
      <c r="D138" s="6" t="s">
        <v>13</v>
      </c>
      <c r="E138" s="6" t="s">
        <v>758</v>
      </c>
      <c r="F138" s="7">
        <v>46210</v>
      </c>
      <c r="G138" s="23" t="s">
        <v>35</v>
      </c>
      <c r="H138" s="12" t="s">
        <v>36</v>
      </c>
      <c r="I138" s="165">
        <v>3500</v>
      </c>
      <c r="J138" s="202">
        <v>16.5</v>
      </c>
      <c r="K138" s="6" t="s">
        <v>748</v>
      </c>
    </row>
    <row r="139" spans="1:11">
      <c r="A139" s="208" t="s">
        <v>770</v>
      </c>
      <c r="B139" s="208" t="s">
        <v>771</v>
      </c>
      <c r="C139" s="209">
        <v>34071</v>
      </c>
      <c r="D139" s="211" t="s">
        <v>13</v>
      </c>
      <c r="E139" s="211" t="s">
        <v>86</v>
      </c>
      <c r="F139" s="209">
        <v>46218</v>
      </c>
      <c r="G139" s="208" t="s">
        <v>35</v>
      </c>
      <c r="H139" s="12" t="s">
        <v>36</v>
      </c>
      <c r="I139" s="212">
        <v>2080</v>
      </c>
      <c r="J139" s="213">
        <v>16.5</v>
      </c>
      <c r="K139" s="211" t="s">
        <v>748</v>
      </c>
    </row>
    <row r="140" spans="1:11">
      <c r="A140" s="207" t="s">
        <v>772</v>
      </c>
      <c r="B140" s="211" t="s">
        <v>773</v>
      </c>
      <c r="C140" s="209">
        <v>37597</v>
      </c>
      <c r="D140" s="211" t="s">
        <v>258</v>
      </c>
      <c r="E140" s="211" t="s">
        <v>774</v>
      </c>
      <c r="F140" s="209">
        <v>46218</v>
      </c>
      <c r="G140" s="208" t="s">
        <v>35</v>
      </c>
      <c r="H140" s="12" t="s">
        <v>36</v>
      </c>
      <c r="I140" s="212">
        <v>2080</v>
      </c>
      <c r="J140" s="214">
        <v>16.5</v>
      </c>
      <c r="K140" s="211" t="s">
        <v>748</v>
      </c>
    </row>
    <row r="141" spans="1:11" ht="15" customHeight="1">
      <c r="A141" s="207" t="s">
        <v>890</v>
      </c>
      <c r="B141" s="211" t="s">
        <v>891</v>
      </c>
      <c r="C141" s="209">
        <v>37789</v>
      </c>
      <c r="D141" s="211" t="s">
        <v>13</v>
      </c>
      <c r="E141" s="211" t="s">
        <v>892</v>
      </c>
      <c r="F141" s="209">
        <v>46230</v>
      </c>
      <c r="G141" s="208" t="s">
        <v>35</v>
      </c>
      <c r="H141" s="12" t="s">
        <v>36</v>
      </c>
      <c r="I141" s="212">
        <v>2080</v>
      </c>
      <c r="J141" s="214">
        <v>16.5</v>
      </c>
      <c r="K141" s="211" t="s">
        <v>748</v>
      </c>
    </row>
    <row r="142" spans="1:11">
      <c r="A142" s="207" t="s">
        <v>893</v>
      </c>
      <c r="B142" s="211" t="s">
        <v>894</v>
      </c>
      <c r="C142" s="209">
        <v>34724</v>
      </c>
      <c r="D142" s="211" t="s">
        <v>13</v>
      </c>
      <c r="E142" s="211" t="s">
        <v>14</v>
      </c>
      <c r="F142" s="209">
        <v>46230</v>
      </c>
      <c r="G142" s="208" t="s">
        <v>35</v>
      </c>
      <c r="H142" s="12" t="s">
        <v>36</v>
      </c>
      <c r="I142" s="212">
        <v>2080</v>
      </c>
      <c r="J142" s="214">
        <v>16.5</v>
      </c>
      <c r="K142" s="211" t="s">
        <v>748</v>
      </c>
    </row>
    <row r="143" spans="1:11">
      <c r="A143" s="210" t="s">
        <v>912</v>
      </c>
      <c r="B143" s="211" t="s">
        <v>913</v>
      </c>
      <c r="C143" s="209">
        <v>37411</v>
      </c>
      <c r="D143" s="211" t="s">
        <v>13</v>
      </c>
      <c r="E143" s="211" t="s">
        <v>914</v>
      </c>
      <c r="F143" s="209">
        <v>46237</v>
      </c>
      <c r="G143" s="208" t="s">
        <v>35</v>
      </c>
      <c r="H143" s="12" t="s">
        <v>918</v>
      </c>
      <c r="I143" s="212">
        <v>2300</v>
      </c>
      <c r="J143" s="214">
        <v>16.5</v>
      </c>
      <c r="K143" s="211" t="s">
        <v>20</v>
      </c>
    </row>
    <row r="144" spans="1:11">
      <c r="A144" s="215" t="s">
        <v>915</v>
      </c>
      <c r="B144" s="211" t="s">
        <v>916</v>
      </c>
      <c r="C144" s="209">
        <v>35360</v>
      </c>
      <c r="D144" s="211" t="s">
        <v>13</v>
      </c>
      <c r="E144" s="211" t="s">
        <v>14</v>
      </c>
      <c r="F144" s="209">
        <v>46237</v>
      </c>
      <c r="G144" s="208" t="s">
        <v>35</v>
      </c>
      <c r="H144" s="12" t="s">
        <v>919</v>
      </c>
      <c r="I144" s="212">
        <v>2080</v>
      </c>
      <c r="J144" s="214">
        <v>16.5</v>
      </c>
      <c r="K144" s="211" t="s">
        <v>748</v>
      </c>
    </row>
    <row r="145" spans="1:11">
      <c r="A145" s="207" t="s">
        <v>917</v>
      </c>
      <c r="B145" s="211" t="s">
        <v>927</v>
      </c>
      <c r="C145" s="209">
        <v>36071</v>
      </c>
      <c r="D145" s="211" t="s">
        <v>13</v>
      </c>
      <c r="E145" s="211" t="s">
        <v>309</v>
      </c>
      <c r="F145" s="209">
        <v>46237</v>
      </c>
      <c r="G145" s="208" t="s">
        <v>35</v>
      </c>
      <c r="H145" s="12" t="s">
        <v>920</v>
      </c>
      <c r="I145" s="212">
        <v>2080</v>
      </c>
      <c r="J145" s="214">
        <v>16.5</v>
      </c>
      <c r="K145" s="211" t="s">
        <v>748</v>
      </c>
    </row>
    <row r="146" spans="1:11" ht="15" customHeight="1">
      <c r="A146" s="207" t="s">
        <v>931</v>
      </c>
      <c r="B146" s="211" t="s">
        <v>932</v>
      </c>
      <c r="C146" s="209">
        <v>36441</v>
      </c>
      <c r="D146" s="211" t="s">
        <v>13</v>
      </c>
      <c r="E146" s="211" t="s">
        <v>914</v>
      </c>
      <c r="F146" s="209">
        <v>46240</v>
      </c>
      <c r="G146" s="208" t="s">
        <v>35</v>
      </c>
      <c r="H146" s="12" t="s">
        <v>920</v>
      </c>
      <c r="I146" s="212">
        <v>2300</v>
      </c>
      <c r="J146" s="214">
        <v>16.5</v>
      </c>
      <c r="K146" s="211" t="s">
        <v>17</v>
      </c>
    </row>
    <row r="147" spans="1:11">
      <c r="A147" s="210" t="s">
        <v>933</v>
      </c>
      <c r="B147" s="211" t="s">
        <v>934</v>
      </c>
      <c r="C147" s="209">
        <v>28536</v>
      </c>
      <c r="D147" s="211" t="s">
        <v>13</v>
      </c>
      <c r="E147" s="211" t="s">
        <v>935</v>
      </c>
      <c r="F147" s="209">
        <v>46240</v>
      </c>
      <c r="G147" s="208" t="s">
        <v>35</v>
      </c>
      <c r="H147" s="12" t="s">
        <v>920</v>
      </c>
      <c r="I147" s="212">
        <v>3120</v>
      </c>
      <c r="J147" s="214">
        <v>16.5</v>
      </c>
      <c r="K147" s="211" t="s">
        <v>17</v>
      </c>
    </row>
    <row r="148" spans="1:11">
      <c r="A148" s="207" t="s">
        <v>950</v>
      </c>
      <c r="B148" s="211" t="s">
        <v>937</v>
      </c>
      <c r="C148" s="209">
        <v>31493</v>
      </c>
      <c r="D148" s="211" t="s">
        <v>13</v>
      </c>
      <c r="E148" s="211" t="s">
        <v>938</v>
      </c>
      <c r="F148" s="209">
        <v>46240</v>
      </c>
      <c r="G148" s="208" t="s">
        <v>35</v>
      </c>
      <c r="H148" s="12" t="s">
        <v>939</v>
      </c>
      <c r="I148" s="212">
        <v>2080</v>
      </c>
      <c r="J148" s="214">
        <v>16.5</v>
      </c>
      <c r="K148" s="211" t="s">
        <v>20</v>
      </c>
    </row>
    <row r="149" spans="1:11">
      <c r="A149" s="207" t="s">
        <v>928</v>
      </c>
      <c r="B149" s="12" t="s">
        <v>929</v>
      </c>
      <c r="C149" s="344">
        <v>33611</v>
      </c>
      <c r="D149" s="211" t="s">
        <v>13</v>
      </c>
      <c r="E149" s="230" t="s">
        <v>930</v>
      </c>
      <c r="F149" s="209">
        <v>46245</v>
      </c>
      <c r="G149" s="208" t="s">
        <v>35</v>
      </c>
      <c r="H149" s="12" t="s">
        <v>36</v>
      </c>
      <c r="I149" s="212">
        <v>2080</v>
      </c>
      <c r="J149" s="214">
        <v>16.5</v>
      </c>
      <c r="K149" s="211" t="s">
        <v>748</v>
      </c>
    </row>
    <row r="150" spans="1:11">
      <c r="A150" s="11" t="s">
        <v>956</v>
      </c>
      <c r="B150" s="6" t="s">
        <v>957</v>
      </c>
      <c r="C150" s="7">
        <v>32814</v>
      </c>
      <c r="D150" s="6" t="s">
        <v>13</v>
      </c>
      <c r="E150" s="6" t="s">
        <v>958</v>
      </c>
      <c r="F150" s="7">
        <v>46245</v>
      </c>
      <c r="G150" s="208" t="s">
        <v>35</v>
      </c>
      <c r="H150" s="12" t="s">
        <v>36</v>
      </c>
      <c r="I150" s="212">
        <v>2080</v>
      </c>
      <c r="J150" s="214">
        <v>16.5</v>
      </c>
      <c r="K150" s="211" t="s">
        <v>748</v>
      </c>
    </row>
    <row r="151" spans="1:11">
      <c r="A151" s="11" t="s">
        <v>959</v>
      </c>
      <c r="B151" s="6" t="s">
        <v>960</v>
      </c>
      <c r="C151" s="7">
        <v>37030</v>
      </c>
      <c r="D151" s="6" t="s">
        <v>13</v>
      </c>
      <c r="E151" s="6" t="s">
        <v>961</v>
      </c>
      <c r="F151" s="7">
        <v>46247</v>
      </c>
      <c r="G151" s="208" t="s">
        <v>35</v>
      </c>
      <c r="H151" s="12" t="s">
        <v>36</v>
      </c>
      <c r="I151" s="212">
        <v>2200</v>
      </c>
      <c r="J151" s="214">
        <v>16.5</v>
      </c>
      <c r="K151" s="211" t="s">
        <v>748</v>
      </c>
    </row>
    <row r="152" spans="1:11">
      <c r="A152" s="11" t="s">
        <v>962</v>
      </c>
      <c r="B152" s="6" t="s">
        <v>963</v>
      </c>
      <c r="C152" s="7">
        <v>27146</v>
      </c>
      <c r="D152" s="6" t="s">
        <v>13</v>
      </c>
      <c r="E152" s="6" t="s">
        <v>935</v>
      </c>
      <c r="F152" s="7">
        <v>46252</v>
      </c>
      <c r="G152" s="208" t="s">
        <v>35</v>
      </c>
      <c r="H152" s="12" t="s">
        <v>36</v>
      </c>
      <c r="I152" s="212">
        <v>3120</v>
      </c>
      <c r="J152" s="214">
        <v>16.5</v>
      </c>
      <c r="K152" s="211" t="s">
        <v>748</v>
      </c>
    </row>
    <row r="153" spans="1:11">
      <c r="A153" s="11" t="s">
        <v>964</v>
      </c>
      <c r="B153" s="6" t="s">
        <v>965</v>
      </c>
      <c r="C153" s="7">
        <v>30864</v>
      </c>
      <c r="D153" s="6" t="s">
        <v>13</v>
      </c>
      <c r="E153" s="6" t="s">
        <v>966</v>
      </c>
      <c r="F153" s="7">
        <v>46252</v>
      </c>
      <c r="G153" s="208" t="s">
        <v>35</v>
      </c>
      <c r="H153" s="12" t="s">
        <v>36</v>
      </c>
      <c r="I153" s="212">
        <v>3120</v>
      </c>
      <c r="J153" s="214">
        <v>16.5</v>
      </c>
      <c r="K153" s="211" t="s">
        <v>748</v>
      </c>
    </row>
    <row r="154" spans="1:11" ht="12" customHeight="1">
      <c r="A154" s="11" t="s">
        <v>967</v>
      </c>
      <c r="B154" s="6" t="s">
        <v>968</v>
      </c>
      <c r="C154" s="7">
        <v>32137</v>
      </c>
      <c r="D154" s="6" t="s">
        <v>13</v>
      </c>
      <c r="E154" s="6" t="s">
        <v>969</v>
      </c>
      <c r="F154" s="7">
        <v>46252</v>
      </c>
      <c r="G154" s="208" t="s">
        <v>35</v>
      </c>
      <c r="H154" s="12" t="s">
        <v>36</v>
      </c>
      <c r="I154" s="212">
        <v>3500</v>
      </c>
      <c r="J154" s="214">
        <v>16.5</v>
      </c>
      <c r="K154" s="211" t="s">
        <v>748</v>
      </c>
    </row>
    <row r="155" spans="1:11">
      <c r="A155" s="143" t="s">
        <v>304</v>
      </c>
      <c r="B155" s="6" t="s">
        <v>305</v>
      </c>
      <c r="C155" s="7">
        <v>38324</v>
      </c>
      <c r="D155" s="6" t="s">
        <v>13</v>
      </c>
      <c r="E155" s="6" t="s">
        <v>914</v>
      </c>
      <c r="F155" s="7">
        <v>46254</v>
      </c>
      <c r="G155" s="208" t="s">
        <v>35</v>
      </c>
      <c r="H155" s="12" t="s">
        <v>36</v>
      </c>
      <c r="I155" s="212">
        <v>2080</v>
      </c>
      <c r="J155" s="214">
        <v>16.5</v>
      </c>
      <c r="K155" s="211" t="s">
        <v>748</v>
      </c>
    </row>
    <row r="156" spans="1:11">
      <c r="A156" s="11" t="s">
        <v>970</v>
      </c>
      <c r="B156" s="6" t="s">
        <v>971</v>
      </c>
      <c r="C156" s="7">
        <v>35774</v>
      </c>
      <c r="D156" s="6" t="s">
        <v>13</v>
      </c>
      <c r="E156" s="6" t="s">
        <v>958</v>
      </c>
      <c r="F156" s="7">
        <v>46258</v>
      </c>
      <c r="G156" s="208" t="s">
        <v>35</v>
      </c>
      <c r="H156" s="12" t="s">
        <v>36</v>
      </c>
      <c r="I156" s="212">
        <v>2080</v>
      </c>
      <c r="J156" s="214">
        <v>16.5</v>
      </c>
      <c r="K156" s="211" t="s">
        <v>748</v>
      </c>
    </row>
    <row r="157" spans="1:11">
      <c r="A157" s="11" t="s">
        <v>972</v>
      </c>
      <c r="B157" s="26" t="s">
        <v>973</v>
      </c>
      <c r="C157" s="7">
        <v>36815</v>
      </c>
      <c r="D157" s="6" t="s">
        <v>13</v>
      </c>
      <c r="E157" s="6" t="s">
        <v>958</v>
      </c>
      <c r="F157" s="7">
        <v>46258</v>
      </c>
      <c r="G157" s="208" t="s">
        <v>35</v>
      </c>
      <c r="H157" s="12" t="s">
        <v>36</v>
      </c>
      <c r="I157" s="212">
        <v>2080</v>
      </c>
      <c r="J157" s="214">
        <v>16.5</v>
      </c>
      <c r="K157" s="211" t="s">
        <v>748</v>
      </c>
    </row>
    <row r="158" spans="1:11">
      <c r="A158" s="11" t="s">
        <v>975</v>
      </c>
      <c r="B158" s="238" t="s">
        <v>977</v>
      </c>
      <c r="C158" s="298">
        <v>35370</v>
      </c>
      <c r="D158" s="6" t="s">
        <v>13</v>
      </c>
      <c r="E158" s="6" t="s">
        <v>981</v>
      </c>
      <c r="F158" s="7">
        <v>46258</v>
      </c>
      <c r="G158" s="208" t="s">
        <v>35</v>
      </c>
      <c r="H158" s="12" t="s">
        <v>36</v>
      </c>
      <c r="I158" s="212">
        <v>2080</v>
      </c>
      <c r="J158" s="214">
        <v>16.5</v>
      </c>
      <c r="K158" s="211" t="s">
        <v>748</v>
      </c>
    </row>
    <row r="159" spans="1:11">
      <c r="A159" s="11" t="s">
        <v>976</v>
      </c>
      <c r="B159" s="11" t="s">
        <v>978</v>
      </c>
      <c r="C159" s="298">
        <v>33167</v>
      </c>
      <c r="D159" s="6" t="s">
        <v>13</v>
      </c>
      <c r="E159" s="6" t="s">
        <v>958</v>
      </c>
      <c r="F159" s="7">
        <v>46258</v>
      </c>
      <c r="G159" s="208" t="s">
        <v>35</v>
      </c>
      <c r="H159" s="12" t="s">
        <v>36</v>
      </c>
      <c r="I159" s="212">
        <v>2080</v>
      </c>
      <c r="J159" s="214">
        <v>16.5</v>
      </c>
      <c r="K159" s="211" t="s">
        <v>748</v>
      </c>
    </row>
    <row r="160" spans="1:11">
      <c r="A160" s="11" t="s">
        <v>980</v>
      </c>
      <c r="B160" s="238" t="s">
        <v>979</v>
      </c>
      <c r="C160" s="298">
        <v>32323</v>
      </c>
      <c r="D160" s="6" t="s">
        <v>13</v>
      </c>
      <c r="E160" s="6" t="s">
        <v>958</v>
      </c>
      <c r="F160" s="7">
        <v>46258</v>
      </c>
      <c r="G160" s="208" t="s">
        <v>35</v>
      </c>
      <c r="H160" s="12" t="s">
        <v>36</v>
      </c>
      <c r="I160" s="212">
        <v>2080</v>
      </c>
      <c r="J160" s="214">
        <v>16.5</v>
      </c>
      <c r="K160" s="211" t="s">
        <v>748</v>
      </c>
    </row>
    <row r="161" spans="1:11">
      <c r="A161" s="23" t="s">
        <v>749</v>
      </c>
      <c r="B161" s="23" t="s">
        <v>750</v>
      </c>
      <c r="C161" s="298">
        <v>34603</v>
      </c>
      <c r="D161" s="6" t="s">
        <v>37</v>
      </c>
      <c r="E161" s="301" t="s">
        <v>249</v>
      </c>
      <c r="F161" s="7">
        <v>46266</v>
      </c>
      <c r="G161" s="301" t="s">
        <v>131</v>
      </c>
      <c r="H161" s="301" t="s">
        <v>131</v>
      </c>
      <c r="I161" s="165">
        <v>10000</v>
      </c>
      <c r="J161" s="301" t="s">
        <v>131</v>
      </c>
      <c r="K161" s="6"/>
    </row>
    <row r="162" spans="1:11">
      <c r="A162" s="23" t="s">
        <v>1058</v>
      </c>
      <c r="B162" s="23" t="s">
        <v>734</v>
      </c>
      <c r="C162" s="298">
        <v>31226</v>
      </c>
      <c r="D162" s="7" t="s">
        <v>37</v>
      </c>
      <c r="E162" s="345" t="s">
        <v>1112</v>
      </c>
      <c r="F162" s="7">
        <v>46266</v>
      </c>
      <c r="G162" s="301" t="s">
        <v>131</v>
      </c>
      <c r="H162" s="301" t="s">
        <v>131</v>
      </c>
      <c r="I162" s="177">
        <v>15000</v>
      </c>
      <c r="J162" s="301" t="s">
        <v>131</v>
      </c>
      <c r="K162" s="6"/>
    </row>
    <row r="163" spans="1:11">
      <c r="A163" s="336" t="s">
        <v>1143</v>
      </c>
      <c r="B163" s="300" t="s">
        <v>1109</v>
      </c>
      <c r="C163" s="299">
        <v>37047</v>
      </c>
      <c r="D163" s="7" t="s">
        <v>37</v>
      </c>
      <c r="E163" s="301" t="s">
        <v>1113</v>
      </c>
      <c r="F163" s="303" t="s">
        <v>1117</v>
      </c>
      <c r="G163" s="301" t="s">
        <v>131</v>
      </c>
      <c r="H163" s="301" t="s">
        <v>131</v>
      </c>
      <c r="I163" s="212"/>
      <c r="J163" s="301" t="s">
        <v>131</v>
      </c>
      <c r="K163" s="211"/>
    </row>
    <row r="164" spans="1:11">
      <c r="A164" s="276" t="s">
        <v>1063</v>
      </c>
      <c r="B164" s="300" t="s">
        <v>1110</v>
      </c>
      <c r="C164" s="299">
        <v>35989</v>
      </c>
      <c r="D164" s="7" t="s">
        <v>37</v>
      </c>
      <c r="E164" s="301" t="s">
        <v>442</v>
      </c>
      <c r="F164" s="7">
        <v>46266</v>
      </c>
      <c r="G164" s="301" t="s">
        <v>131</v>
      </c>
      <c r="H164" s="301" t="s">
        <v>131</v>
      </c>
      <c r="I164" s="212">
        <v>10000</v>
      </c>
      <c r="J164" s="301" t="s">
        <v>131</v>
      </c>
      <c r="K164" s="211"/>
    </row>
    <row r="165" spans="1:11">
      <c r="A165" s="276" t="s">
        <v>1061</v>
      </c>
      <c r="B165" s="300" t="s">
        <v>1111</v>
      </c>
      <c r="C165" s="298">
        <v>35223</v>
      </c>
      <c r="D165" s="7" t="s">
        <v>37</v>
      </c>
      <c r="E165" s="276" t="s">
        <v>1062</v>
      </c>
      <c r="F165" s="7">
        <v>46267</v>
      </c>
      <c r="G165" s="301" t="s">
        <v>131</v>
      </c>
      <c r="H165" s="301" t="s">
        <v>131</v>
      </c>
      <c r="I165" s="212">
        <v>15000</v>
      </c>
      <c r="J165" s="301" t="s">
        <v>131</v>
      </c>
      <c r="K165" s="211"/>
    </row>
    <row r="166" spans="1:11">
      <c r="A166" s="11" t="s">
        <v>295</v>
      </c>
      <c r="B166" s="6" t="s">
        <v>296</v>
      </c>
      <c r="C166" s="7">
        <v>37977</v>
      </c>
      <c r="D166" s="6" t="s">
        <v>13</v>
      </c>
      <c r="E166" s="6" t="s">
        <v>1121</v>
      </c>
      <c r="F166" s="7">
        <v>46267</v>
      </c>
      <c r="G166" s="22" t="s">
        <v>35</v>
      </c>
      <c r="H166" s="12" t="s">
        <v>36</v>
      </c>
      <c r="I166" s="177">
        <v>2500</v>
      </c>
      <c r="J166" s="28">
        <v>16.5</v>
      </c>
      <c r="K166" s="6" t="s">
        <v>17</v>
      </c>
    </row>
    <row r="167" spans="1:11">
      <c r="A167" s="11" t="s">
        <v>991</v>
      </c>
      <c r="B167" s="258" t="s">
        <v>993</v>
      </c>
      <c r="C167" s="298">
        <v>36412</v>
      </c>
      <c r="D167" s="258" t="s">
        <v>37</v>
      </c>
      <c r="E167" s="258" t="s">
        <v>992</v>
      </c>
      <c r="F167" s="7">
        <v>46260</v>
      </c>
      <c r="G167" s="301" t="s">
        <v>131</v>
      </c>
      <c r="H167" s="301" t="s">
        <v>131</v>
      </c>
      <c r="I167" s="165">
        <v>5000</v>
      </c>
      <c r="J167" s="301" t="s">
        <v>131</v>
      </c>
      <c r="K167" s="259" t="s">
        <v>131</v>
      </c>
    </row>
    <row r="168" spans="1:11">
      <c r="A168" s="11" t="s">
        <v>994</v>
      </c>
      <c r="B168" s="6" t="s">
        <v>995</v>
      </c>
      <c r="C168" s="298">
        <v>36790</v>
      </c>
      <c r="D168" s="259" t="s">
        <v>37</v>
      </c>
      <c r="E168" s="258" t="s">
        <v>992</v>
      </c>
      <c r="F168" s="7">
        <v>46273</v>
      </c>
      <c r="G168" s="301" t="s">
        <v>131</v>
      </c>
      <c r="H168" s="301" t="s">
        <v>131</v>
      </c>
      <c r="I168" s="165">
        <v>5000</v>
      </c>
      <c r="J168" s="301" t="s">
        <v>131</v>
      </c>
      <c r="K168" s="259" t="s">
        <v>131</v>
      </c>
    </row>
    <row r="169" spans="1:11">
      <c r="A169" s="11" t="s">
        <v>1056</v>
      </c>
      <c r="B169" s="6" t="s">
        <v>1055</v>
      </c>
      <c r="C169" s="298">
        <v>35876</v>
      </c>
      <c r="D169" s="6" t="s">
        <v>13</v>
      </c>
      <c r="E169" s="6" t="s">
        <v>1053</v>
      </c>
      <c r="F169" s="7">
        <v>46280</v>
      </c>
      <c r="G169" s="208" t="s">
        <v>35</v>
      </c>
      <c r="H169" s="12" t="s">
        <v>36</v>
      </c>
      <c r="I169" s="165">
        <v>2800</v>
      </c>
      <c r="J169" s="214">
        <v>16.5</v>
      </c>
      <c r="K169" s="211" t="s">
        <v>748</v>
      </c>
    </row>
    <row r="170" spans="1:11">
      <c r="A170" s="11" t="s">
        <v>1058</v>
      </c>
      <c r="B170" s="6" t="s">
        <v>1057</v>
      </c>
      <c r="C170" s="298">
        <v>36942</v>
      </c>
      <c r="D170" s="6" t="s">
        <v>13</v>
      </c>
      <c r="E170" s="6" t="s">
        <v>259</v>
      </c>
      <c r="F170" s="7">
        <v>46280</v>
      </c>
      <c r="G170" s="208" t="s">
        <v>35</v>
      </c>
      <c r="H170" s="12" t="s">
        <v>36</v>
      </c>
      <c r="I170" s="165">
        <v>2080</v>
      </c>
      <c r="J170" s="214">
        <v>16.5</v>
      </c>
      <c r="K170" s="211" t="s">
        <v>748</v>
      </c>
    </row>
    <row r="171" spans="1:11">
      <c r="A171" s="11" t="s">
        <v>1059</v>
      </c>
      <c r="B171" s="6" t="s">
        <v>1060</v>
      </c>
      <c r="C171" s="298">
        <v>30646</v>
      </c>
      <c r="D171" s="6" t="s">
        <v>13</v>
      </c>
      <c r="E171" s="6" t="s">
        <v>1054</v>
      </c>
      <c r="F171" s="7">
        <v>46280</v>
      </c>
      <c r="G171" s="208" t="s">
        <v>35</v>
      </c>
      <c r="H171" s="12" t="s">
        <v>36</v>
      </c>
      <c r="I171" s="165">
        <v>2080</v>
      </c>
      <c r="J171" s="214">
        <v>16.5</v>
      </c>
      <c r="K171" s="211" t="s">
        <v>748</v>
      </c>
    </row>
    <row r="172" spans="1:11">
      <c r="A172" s="278" t="s">
        <v>1066</v>
      </c>
      <c r="B172" s="297" t="s">
        <v>1108</v>
      </c>
      <c r="C172" s="7">
        <v>39302</v>
      </c>
      <c r="D172" s="6" t="s">
        <v>13</v>
      </c>
      <c r="E172" s="279" t="s">
        <v>1067</v>
      </c>
      <c r="F172" s="7">
        <v>46280</v>
      </c>
      <c r="G172" s="208" t="s">
        <v>35</v>
      </c>
      <c r="H172" s="12" t="s">
        <v>36</v>
      </c>
      <c r="I172" s="165">
        <v>1000</v>
      </c>
      <c r="J172" s="214">
        <v>16.5</v>
      </c>
      <c r="K172" s="211" t="s">
        <v>748</v>
      </c>
    </row>
    <row r="173" spans="1:11" ht="16.5">
      <c r="A173" s="346" t="s">
        <v>1144</v>
      </c>
      <c r="B173" s="297" t="s">
        <v>1145</v>
      </c>
      <c r="C173" s="7">
        <v>32004</v>
      </c>
      <c r="D173" s="6" t="s">
        <v>37</v>
      </c>
      <c r="E173" s="334" t="s">
        <v>1142</v>
      </c>
      <c r="F173" s="7">
        <v>46286</v>
      </c>
      <c r="G173" s="208" t="s">
        <v>35</v>
      </c>
      <c r="H173" s="12" t="s">
        <v>36</v>
      </c>
      <c r="I173" s="165">
        <v>5000</v>
      </c>
      <c r="J173" s="214"/>
      <c r="K173" s="211"/>
    </row>
    <row r="174" spans="1:11">
      <c r="A174" s="321" t="s">
        <v>1124</v>
      </c>
      <c r="B174" s="320" t="s">
        <v>1125</v>
      </c>
      <c r="C174" s="337">
        <v>37069</v>
      </c>
      <c r="D174" s="320" t="s">
        <v>13</v>
      </c>
      <c r="E174" s="320" t="s">
        <v>108</v>
      </c>
      <c r="F174" s="337">
        <v>46289</v>
      </c>
      <c r="G174" s="150" t="s">
        <v>35</v>
      </c>
      <c r="H174" s="320" t="s">
        <v>36</v>
      </c>
      <c r="I174" s="338">
        <v>2080</v>
      </c>
      <c r="J174" s="339">
        <v>16.5</v>
      </c>
      <c r="K174" s="320" t="s">
        <v>748</v>
      </c>
    </row>
    <row r="175" spans="1:11">
      <c r="A175" s="321" t="s">
        <v>1126</v>
      </c>
      <c r="B175" s="320" t="s">
        <v>1127</v>
      </c>
      <c r="C175" s="337">
        <v>42284</v>
      </c>
      <c r="D175" s="320" t="s">
        <v>13</v>
      </c>
      <c r="E175" s="320" t="s">
        <v>1128</v>
      </c>
      <c r="F175" s="337">
        <v>46289</v>
      </c>
      <c r="G175" s="150" t="s">
        <v>35</v>
      </c>
      <c r="H175" s="320" t="s">
        <v>36</v>
      </c>
      <c r="I175" s="338">
        <v>2080</v>
      </c>
      <c r="J175" s="339">
        <v>16.5</v>
      </c>
      <c r="K175" s="320" t="s">
        <v>748</v>
      </c>
    </row>
    <row r="176" spans="1:11">
      <c r="A176" s="321" t="s">
        <v>1129</v>
      </c>
      <c r="B176" s="320" t="s">
        <v>1130</v>
      </c>
      <c r="C176" s="337">
        <v>33125</v>
      </c>
      <c r="D176" s="320" t="s">
        <v>13</v>
      </c>
      <c r="E176" s="320" t="s">
        <v>259</v>
      </c>
      <c r="F176" s="337">
        <v>46289</v>
      </c>
      <c r="G176" s="150" t="s">
        <v>35</v>
      </c>
      <c r="H176" s="320" t="s">
        <v>36</v>
      </c>
      <c r="I176" s="338">
        <v>2080</v>
      </c>
      <c r="J176" s="339">
        <v>16.5</v>
      </c>
      <c r="K176" s="320" t="s">
        <v>748</v>
      </c>
    </row>
    <row r="177" spans="1:11">
      <c r="A177" s="321" t="s">
        <v>1131</v>
      </c>
      <c r="B177" s="320" t="s">
        <v>1132</v>
      </c>
      <c r="C177" s="337">
        <v>38647</v>
      </c>
      <c r="D177" s="320" t="s">
        <v>13</v>
      </c>
      <c r="E177" s="320" t="s">
        <v>1133</v>
      </c>
      <c r="F177" s="337">
        <v>46289</v>
      </c>
      <c r="G177" s="150" t="s">
        <v>35</v>
      </c>
      <c r="H177" s="320" t="s">
        <v>1134</v>
      </c>
      <c r="I177" s="338">
        <v>1000</v>
      </c>
      <c r="J177" s="339">
        <v>16.5</v>
      </c>
      <c r="K177" s="320" t="s">
        <v>748</v>
      </c>
    </row>
    <row r="178" spans="1:11">
      <c r="A178" s="347" t="s">
        <v>1146</v>
      </c>
      <c r="B178" s="321" t="s">
        <v>1147</v>
      </c>
      <c r="C178" s="337">
        <v>36276</v>
      </c>
      <c r="D178" s="320" t="s">
        <v>13</v>
      </c>
      <c r="E178" s="320" t="s">
        <v>1165</v>
      </c>
      <c r="F178" s="337">
        <v>46300</v>
      </c>
      <c r="G178" s="150" t="s">
        <v>35</v>
      </c>
      <c r="H178" s="320" t="s">
        <v>36</v>
      </c>
      <c r="I178" s="338">
        <v>2080</v>
      </c>
      <c r="J178" s="339">
        <v>16.5</v>
      </c>
      <c r="K178" s="320" t="s">
        <v>748</v>
      </c>
    </row>
    <row r="179" spans="1:11">
      <c r="A179" s="347" t="s">
        <v>1148</v>
      </c>
      <c r="B179" s="320" t="s">
        <v>1149</v>
      </c>
      <c r="C179" s="337">
        <v>34208</v>
      </c>
      <c r="D179" s="320" t="s">
        <v>13</v>
      </c>
      <c r="E179" s="320" t="s">
        <v>1166</v>
      </c>
      <c r="F179" s="337">
        <v>46300</v>
      </c>
      <c r="G179" s="150" t="s">
        <v>35</v>
      </c>
      <c r="H179" s="320" t="s">
        <v>36</v>
      </c>
      <c r="I179" s="338">
        <v>2080</v>
      </c>
      <c r="J179" s="339">
        <v>16.5</v>
      </c>
      <c r="K179" s="320" t="s">
        <v>1152</v>
      </c>
    </row>
    <row r="180" spans="1:11">
      <c r="A180" s="321" t="s">
        <v>1150</v>
      </c>
      <c r="B180" s="320" t="s">
        <v>1151</v>
      </c>
      <c r="C180" s="337">
        <v>38605</v>
      </c>
      <c r="D180" s="320" t="s">
        <v>13</v>
      </c>
      <c r="E180" s="320" t="s">
        <v>1167</v>
      </c>
      <c r="F180" s="337">
        <v>46300</v>
      </c>
      <c r="G180" s="150" t="s">
        <v>35</v>
      </c>
      <c r="H180" s="320" t="s">
        <v>36</v>
      </c>
      <c r="I180" s="338">
        <v>1000</v>
      </c>
      <c r="J180" s="339">
        <v>16.5</v>
      </c>
      <c r="K180" s="320" t="s">
        <v>748</v>
      </c>
    </row>
  </sheetData>
  <autoFilter ref="A2:K172" xr:uid="{00000000-0009-0000-0000-000000000000}">
    <sortState xmlns:xlrd2="http://schemas.microsoft.com/office/spreadsheetml/2017/richdata2" ref="A3:K128">
      <sortCondition ref="F2:F128"/>
    </sortState>
  </autoFilter>
  <mergeCells count="1">
    <mergeCell ref="A1:K1"/>
  </mergeCells>
  <phoneticPr fontId="56" type="noConversion"/>
  <pageMargins left="0.7" right="0.7" top="0.75" bottom="0.75" header="0.3" footer="0.3"/>
  <pageSetup paperSize="9" scale="26" orientation="landscape" horizont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9"/>
  <sheetViews>
    <sheetView topLeftCell="A160" zoomScale="115" zoomScaleNormal="115" workbookViewId="0">
      <selection activeCell="B174" sqref="B174:C174"/>
    </sheetView>
  </sheetViews>
  <sheetFormatPr defaultRowHeight="15"/>
  <cols>
    <col min="1" max="1" width="44.5703125" bestFit="1" customWidth="1"/>
    <col min="2" max="2" width="17.140625" style="1" customWidth="1"/>
    <col min="3" max="3" width="15.85546875" style="1" bestFit="1" customWidth="1"/>
    <col min="4" max="4" width="10.5703125" bestFit="1" customWidth="1"/>
    <col min="5" max="5" width="8.85546875" customWidth="1"/>
    <col min="10" max="10" width="10.5703125" bestFit="1" customWidth="1"/>
    <col min="12" max="12" width="10.5703125" bestFit="1" customWidth="1"/>
  </cols>
  <sheetData>
    <row r="1" spans="1:12" ht="29.45" customHeight="1">
      <c r="A1" s="370" t="s">
        <v>325</v>
      </c>
      <c r="B1" s="371"/>
      <c r="C1" s="372"/>
    </row>
    <row r="2" spans="1:12" ht="13.15" customHeight="1">
      <c r="A2" s="3" t="s">
        <v>0</v>
      </c>
      <c r="B2" s="4" t="s">
        <v>326</v>
      </c>
      <c r="C2" s="4" t="s">
        <v>327</v>
      </c>
    </row>
    <row r="3" spans="1:12">
      <c r="A3" s="29" t="s">
        <v>26</v>
      </c>
      <c r="B3" s="30">
        <v>45671</v>
      </c>
      <c r="C3" s="30">
        <f t="shared" ref="C3:C15" si="0">B3+44</f>
        <v>45715</v>
      </c>
    </row>
    <row r="4" spans="1:12">
      <c r="A4" s="29" t="s">
        <v>28</v>
      </c>
      <c r="B4" s="31" t="s">
        <v>328</v>
      </c>
      <c r="C4" s="30">
        <f t="shared" si="0"/>
        <v>45715</v>
      </c>
    </row>
    <row r="5" spans="1:12">
      <c r="A5" s="32" t="s">
        <v>21</v>
      </c>
      <c r="B5" s="30">
        <v>45671</v>
      </c>
      <c r="C5" s="30">
        <f t="shared" si="0"/>
        <v>45715</v>
      </c>
      <c r="E5" s="33"/>
      <c r="J5" s="34"/>
      <c r="L5" s="35"/>
    </row>
    <row r="6" spans="1:12">
      <c r="A6" s="36" t="s">
        <v>24</v>
      </c>
      <c r="B6" s="37">
        <v>45671</v>
      </c>
      <c r="C6" s="37">
        <f t="shared" si="0"/>
        <v>45715</v>
      </c>
      <c r="E6" s="33"/>
      <c r="J6" s="34"/>
      <c r="L6" s="35"/>
    </row>
    <row r="7" spans="1:12">
      <c r="A7" s="32" t="s">
        <v>18</v>
      </c>
      <c r="B7" s="30">
        <v>45671</v>
      </c>
      <c r="C7" s="30">
        <f t="shared" si="0"/>
        <v>45715</v>
      </c>
      <c r="D7" s="38"/>
      <c r="E7" s="33"/>
      <c r="J7" s="34"/>
      <c r="L7" s="35"/>
    </row>
    <row r="8" spans="1:12">
      <c r="A8" s="32" t="s">
        <v>11</v>
      </c>
      <c r="B8" s="30">
        <v>45671</v>
      </c>
      <c r="C8" s="30">
        <f t="shared" si="0"/>
        <v>45715</v>
      </c>
      <c r="E8" s="33"/>
      <c r="J8" s="34"/>
      <c r="L8" s="35"/>
    </row>
    <row r="9" spans="1:12">
      <c r="A9" s="39" t="s">
        <v>32</v>
      </c>
      <c r="B9" s="30">
        <v>45684</v>
      </c>
      <c r="C9" s="30">
        <f t="shared" si="0"/>
        <v>45728</v>
      </c>
      <c r="E9" s="33"/>
      <c r="J9" s="34"/>
      <c r="L9" s="35"/>
    </row>
    <row r="10" spans="1:12">
      <c r="A10" s="29" t="s">
        <v>38</v>
      </c>
      <c r="B10" s="30">
        <v>45694</v>
      </c>
      <c r="C10" s="30">
        <f t="shared" si="0"/>
        <v>45738</v>
      </c>
      <c r="E10" s="33"/>
      <c r="J10" s="34"/>
      <c r="L10" s="35"/>
    </row>
    <row r="11" spans="1:12">
      <c r="A11" s="29" t="s">
        <v>43</v>
      </c>
      <c r="B11" s="30">
        <v>45694</v>
      </c>
      <c r="C11" s="30">
        <f t="shared" si="0"/>
        <v>45738</v>
      </c>
      <c r="E11" s="33"/>
      <c r="J11" s="34"/>
      <c r="L11" s="35"/>
    </row>
    <row r="12" spans="1:12">
      <c r="A12" s="40" t="s">
        <v>45</v>
      </c>
      <c r="B12" s="41">
        <v>45705</v>
      </c>
      <c r="C12" s="41">
        <f>B12+44</f>
        <v>45749</v>
      </c>
      <c r="E12" s="33"/>
      <c r="J12" s="34"/>
      <c r="L12" s="35"/>
    </row>
    <row r="13" spans="1:12">
      <c r="A13" s="39" t="s">
        <v>47</v>
      </c>
      <c r="B13" s="42">
        <v>45705</v>
      </c>
      <c r="C13" s="42">
        <f t="shared" si="0"/>
        <v>45749</v>
      </c>
      <c r="E13" s="33"/>
      <c r="J13" s="34"/>
      <c r="L13" s="35"/>
    </row>
    <row r="14" spans="1:12">
      <c r="A14" s="39" t="s">
        <v>49</v>
      </c>
      <c r="B14" s="42">
        <v>45708</v>
      </c>
      <c r="C14" s="42">
        <f t="shared" si="0"/>
        <v>45752</v>
      </c>
      <c r="E14" s="33"/>
      <c r="J14" s="34"/>
      <c r="L14" s="35"/>
    </row>
    <row r="15" spans="1:12">
      <c r="A15" s="39" t="s">
        <v>53</v>
      </c>
      <c r="B15" s="42">
        <v>45712</v>
      </c>
      <c r="C15" s="42">
        <f t="shared" si="0"/>
        <v>45756</v>
      </c>
      <c r="E15" s="33"/>
      <c r="J15" s="34"/>
      <c r="L15" s="35"/>
    </row>
    <row r="16" spans="1:12">
      <c r="A16" s="29" t="s">
        <v>56</v>
      </c>
      <c r="B16" s="30">
        <v>45729</v>
      </c>
      <c r="C16" s="30">
        <f>B16+44</f>
        <v>45773</v>
      </c>
      <c r="E16" s="33"/>
      <c r="J16" s="34"/>
      <c r="L16" s="35"/>
    </row>
    <row r="17" spans="1:12">
      <c r="A17" s="29" t="s">
        <v>102</v>
      </c>
      <c r="B17" s="30">
        <v>45762</v>
      </c>
      <c r="C17" s="30">
        <f>B17+14</f>
        <v>45776</v>
      </c>
    </row>
    <row r="18" spans="1:12">
      <c r="A18" s="29" t="s">
        <v>59</v>
      </c>
      <c r="B18" s="30">
        <v>45734</v>
      </c>
      <c r="C18" s="30">
        <f t="shared" ref="C18:C28" si="1">B18+44</f>
        <v>45778</v>
      </c>
      <c r="E18" s="33"/>
      <c r="J18" s="34"/>
      <c r="L18" s="35"/>
    </row>
    <row r="19" spans="1:12">
      <c r="A19" s="29" t="s">
        <v>62</v>
      </c>
      <c r="B19" s="30">
        <v>45734</v>
      </c>
      <c r="C19" s="30">
        <f t="shared" si="1"/>
        <v>45778</v>
      </c>
      <c r="E19" s="33"/>
      <c r="J19" s="34"/>
      <c r="L19" s="35"/>
    </row>
    <row r="20" spans="1:12">
      <c r="A20" s="29" t="s">
        <v>65</v>
      </c>
      <c r="B20" s="30">
        <v>45742</v>
      </c>
      <c r="C20" s="30">
        <f t="shared" si="1"/>
        <v>45786</v>
      </c>
      <c r="E20" s="33"/>
      <c r="J20" s="34"/>
      <c r="L20" s="35"/>
    </row>
    <row r="21" spans="1:12">
      <c r="A21" s="29" t="s">
        <v>68</v>
      </c>
      <c r="B21" s="30">
        <v>45743</v>
      </c>
      <c r="C21" s="30">
        <f t="shared" si="1"/>
        <v>45787</v>
      </c>
      <c r="E21" s="33"/>
      <c r="J21" s="34"/>
      <c r="L21" s="35"/>
    </row>
    <row r="22" spans="1:12">
      <c r="A22" s="29" t="s">
        <v>70</v>
      </c>
      <c r="B22" s="30">
        <v>45743</v>
      </c>
      <c r="C22" s="30">
        <f t="shared" si="1"/>
        <v>45787</v>
      </c>
    </row>
    <row r="23" spans="1:12">
      <c r="A23" s="43" t="s">
        <v>72</v>
      </c>
      <c r="B23" s="30">
        <v>45743</v>
      </c>
      <c r="C23" s="30">
        <f t="shared" si="1"/>
        <v>45787</v>
      </c>
    </row>
    <row r="24" spans="1:12">
      <c r="A24" s="36" t="s">
        <v>75</v>
      </c>
      <c r="B24" s="37">
        <v>45750</v>
      </c>
      <c r="C24" s="37">
        <f>B24+14</f>
        <v>45764</v>
      </c>
    </row>
    <row r="25" spans="1:12">
      <c r="A25" s="44" t="s">
        <v>79</v>
      </c>
      <c r="B25" s="30">
        <v>45751</v>
      </c>
      <c r="C25" s="30">
        <f t="shared" si="1"/>
        <v>45795</v>
      </c>
    </row>
    <row r="26" spans="1:12">
      <c r="A26" s="29" t="s">
        <v>82</v>
      </c>
      <c r="B26" s="30">
        <v>45751</v>
      </c>
      <c r="C26" s="30">
        <f t="shared" si="1"/>
        <v>45795</v>
      </c>
    </row>
    <row r="27" spans="1:12">
      <c r="A27" s="29" t="s">
        <v>84</v>
      </c>
      <c r="B27" s="30">
        <v>45754</v>
      </c>
      <c r="C27" s="30">
        <f t="shared" si="1"/>
        <v>45798</v>
      </c>
    </row>
    <row r="28" spans="1:12" ht="15" customHeight="1">
      <c r="A28" s="29" t="s">
        <v>87</v>
      </c>
      <c r="B28" s="30">
        <v>45754</v>
      </c>
      <c r="C28" s="30">
        <f t="shared" si="1"/>
        <v>45798</v>
      </c>
    </row>
    <row r="29" spans="1:12" ht="15" customHeight="1">
      <c r="A29" s="39" t="s">
        <v>109</v>
      </c>
      <c r="B29" s="30">
        <v>45784</v>
      </c>
      <c r="C29" s="30">
        <f>B29+14</f>
        <v>45798</v>
      </c>
    </row>
    <row r="30" spans="1:12">
      <c r="A30" s="29" t="s">
        <v>90</v>
      </c>
      <c r="B30" s="30">
        <v>45756</v>
      </c>
      <c r="C30" s="30">
        <f t="shared" ref="C30:C31" si="2">B30+44</f>
        <v>45800</v>
      </c>
    </row>
    <row r="31" spans="1:12">
      <c r="A31" s="29" t="s">
        <v>93</v>
      </c>
      <c r="B31" s="30">
        <v>45757</v>
      </c>
      <c r="C31" s="30">
        <f t="shared" si="2"/>
        <v>45801</v>
      </c>
    </row>
    <row r="32" spans="1:12">
      <c r="A32" s="36" t="s">
        <v>111</v>
      </c>
      <c r="B32" s="37">
        <v>45790</v>
      </c>
      <c r="C32" s="37">
        <f t="shared" ref="C32:C34" si="3">B32+14</f>
        <v>45804</v>
      </c>
    </row>
    <row r="33" spans="1:3">
      <c r="A33" s="39" t="s">
        <v>114</v>
      </c>
      <c r="B33" s="30">
        <v>45790</v>
      </c>
      <c r="C33" s="30">
        <f t="shared" si="3"/>
        <v>45804</v>
      </c>
    </row>
    <row r="34" spans="1:3">
      <c r="A34" s="45" t="s">
        <v>116</v>
      </c>
      <c r="B34" s="30">
        <v>45790</v>
      </c>
      <c r="C34" s="30">
        <f t="shared" si="3"/>
        <v>45804</v>
      </c>
    </row>
    <row r="35" spans="1:3">
      <c r="A35" s="29" t="s">
        <v>96</v>
      </c>
      <c r="B35" s="30">
        <v>45761</v>
      </c>
      <c r="C35" s="30">
        <f t="shared" ref="C35:C36" si="4">B35+44</f>
        <v>45805</v>
      </c>
    </row>
    <row r="36" spans="1:3">
      <c r="A36" s="29" t="s">
        <v>106</v>
      </c>
      <c r="B36" s="30">
        <v>45762</v>
      </c>
      <c r="C36" s="30">
        <f t="shared" si="4"/>
        <v>45806</v>
      </c>
    </row>
    <row r="37" spans="1:3" ht="4.9000000000000004" customHeight="1">
      <c r="A37" s="46"/>
      <c r="B37" s="47"/>
      <c r="C37" s="47"/>
    </row>
    <row r="38" spans="1:3">
      <c r="A38" s="36" t="s">
        <v>99</v>
      </c>
      <c r="B38" s="37">
        <v>45762</v>
      </c>
      <c r="C38" s="37">
        <f t="shared" ref="C38:C101" si="5">B38+14</f>
        <v>45776</v>
      </c>
    </row>
    <row r="39" spans="1:3">
      <c r="A39" s="48" t="s">
        <v>104</v>
      </c>
      <c r="B39" s="37">
        <v>45762</v>
      </c>
      <c r="C39" s="37">
        <f t="shared" si="5"/>
        <v>45776</v>
      </c>
    </row>
    <row r="40" spans="1:3">
      <c r="A40" s="45" t="s">
        <v>118</v>
      </c>
      <c r="B40" s="30">
        <v>45803</v>
      </c>
      <c r="C40" s="30">
        <f t="shared" si="5"/>
        <v>45817</v>
      </c>
    </row>
    <row r="41" spans="1:3">
      <c r="A41" s="49" t="s">
        <v>120</v>
      </c>
      <c r="B41" s="37">
        <v>45803</v>
      </c>
      <c r="C41" s="37">
        <f t="shared" si="5"/>
        <v>45817</v>
      </c>
    </row>
    <row r="42" spans="1:3">
      <c r="A42" s="50" t="s">
        <v>123</v>
      </c>
      <c r="B42" s="30">
        <v>45813</v>
      </c>
      <c r="C42" s="30">
        <f t="shared" si="5"/>
        <v>45827</v>
      </c>
    </row>
    <row r="43" spans="1:3">
      <c r="A43" s="39" t="s">
        <v>125</v>
      </c>
      <c r="B43" s="30">
        <v>45817</v>
      </c>
      <c r="C43" s="30">
        <f t="shared" si="5"/>
        <v>45831</v>
      </c>
    </row>
    <row r="44" spans="1:3">
      <c r="A44" s="51" t="s">
        <v>128</v>
      </c>
      <c r="B44" s="30">
        <v>45817</v>
      </c>
      <c r="C44" s="30">
        <f t="shared" si="5"/>
        <v>45831</v>
      </c>
    </row>
    <row r="45" spans="1:3">
      <c r="A45" s="29" t="s">
        <v>132</v>
      </c>
      <c r="B45" s="30">
        <v>45817</v>
      </c>
      <c r="C45" s="30">
        <f t="shared" si="5"/>
        <v>45831</v>
      </c>
    </row>
    <row r="46" spans="1:3">
      <c r="A46" s="36" t="s">
        <v>135</v>
      </c>
      <c r="B46" s="37">
        <v>45824</v>
      </c>
      <c r="C46" s="37">
        <f t="shared" si="5"/>
        <v>45838</v>
      </c>
    </row>
    <row r="47" spans="1:3">
      <c r="A47" s="36" t="s">
        <v>137</v>
      </c>
      <c r="B47" s="37">
        <v>45824</v>
      </c>
      <c r="C47" s="37">
        <f t="shared" si="5"/>
        <v>45838</v>
      </c>
    </row>
    <row r="48" spans="1:3">
      <c r="A48" s="29" t="s">
        <v>139</v>
      </c>
      <c r="B48" s="30">
        <v>45824</v>
      </c>
      <c r="C48" s="30">
        <f t="shared" si="5"/>
        <v>45838</v>
      </c>
    </row>
    <row r="49" spans="1:9">
      <c r="A49" s="29" t="s">
        <v>49</v>
      </c>
      <c r="B49" s="30">
        <v>45839</v>
      </c>
      <c r="C49" s="30">
        <f t="shared" si="5"/>
        <v>45853</v>
      </c>
    </row>
    <row r="50" spans="1:9">
      <c r="A50" s="36" t="s">
        <v>142</v>
      </c>
      <c r="B50" s="37">
        <v>45841</v>
      </c>
      <c r="C50" s="37">
        <f t="shared" si="5"/>
        <v>45855</v>
      </c>
    </row>
    <row r="51" spans="1:9">
      <c r="A51" s="29" t="s">
        <v>145</v>
      </c>
      <c r="B51" s="30">
        <v>45841</v>
      </c>
      <c r="C51" s="30">
        <f t="shared" si="5"/>
        <v>45855</v>
      </c>
    </row>
    <row r="52" spans="1:9">
      <c r="A52" s="29" t="s">
        <v>147</v>
      </c>
      <c r="B52" s="30">
        <v>45841</v>
      </c>
      <c r="C52" s="30">
        <f t="shared" si="5"/>
        <v>45855</v>
      </c>
    </row>
    <row r="53" spans="1:9">
      <c r="A53" s="29" t="s">
        <v>149</v>
      </c>
      <c r="B53" s="30">
        <v>45841</v>
      </c>
      <c r="C53" s="30">
        <f t="shared" si="5"/>
        <v>45855</v>
      </c>
    </row>
    <row r="54" spans="1:9">
      <c r="A54" s="29" t="s">
        <v>151</v>
      </c>
      <c r="B54" s="30">
        <v>45845</v>
      </c>
      <c r="C54" s="30">
        <f t="shared" si="5"/>
        <v>45859</v>
      </c>
    </row>
    <row r="55" spans="1:9">
      <c r="A55" s="29" t="s">
        <v>153</v>
      </c>
      <c r="B55" s="30">
        <v>45845</v>
      </c>
      <c r="C55" s="30">
        <f t="shared" si="5"/>
        <v>45859</v>
      </c>
    </row>
    <row r="56" spans="1:9">
      <c r="A56" s="36" t="s">
        <v>156</v>
      </c>
      <c r="B56" s="37">
        <v>45855</v>
      </c>
      <c r="C56" s="37">
        <f t="shared" si="5"/>
        <v>45869</v>
      </c>
      <c r="I56" t="s">
        <v>329</v>
      </c>
    </row>
    <row r="57" spans="1:9">
      <c r="A57" s="29" t="s">
        <v>158</v>
      </c>
      <c r="B57" s="30">
        <v>45855</v>
      </c>
      <c r="C57" s="30">
        <f t="shared" si="5"/>
        <v>45869</v>
      </c>
    </row>
    <row r="58" spans="1:9">
      <c r="A58" s="29" t="s">
        <v>161</v>
      </c>
      <c r="B58" s="30">
        <v>45855</v>
      </c>
      <c r="C58" s="30">
        <f t="shared" si="5"/>
        <v>45869</v>
      </c>
    </row>
    <row r="59" spans="1:9">
      <c r="A59" s="52" t="s">
        <v>163</v>
      </c>
      <c r="B59" s="30">
        <v>45866</v>
      </c>
      <c r="C59" s="30">
        <f t="shared" si="5"/>
        <v>45880</v>
      </c>
    </row>
    <row r="60" spans="1:9">
      <c r="A60" s="53" t="s">
        <v>165</v>
      </c>
      <c r="B60" s="37">
        <v>45866</v>
      </c>
      <c r="C60" s="37">
        <f t="shared" si="5"/>
        <v>45880</v>
      </c>
    </row>
    <row r="61" spans="1:9">
      <c r="A61" s="54" t="s">
        <v>167</v>
      </c>
      <c r="B61" s="30">
        <v>45866</v>
      </c>
      <c r="C61" s="30">
        <f t="shared" si="5"/>
        <v>45880</v>
      </c>
    </row>
    <row r="62" spans="1:9">
      <c r="A62" s="55" t="s">
        <v>169</v>
      </c>
      <c r="B62" s="30">
        <v>45877</v>
      </c>
      <c r="C62" s="30">
        <f t="shared" si="5"/>
        <v>45891</v>
      </c>
    </row>
    <row r="63" spans="1:9">
      <c r="A63" s="29" t="s">
        <v>172</v>
      </c>
      <c r="B63" s="30">
        <v>45877</v>
      </c>
      <c r="C63" s="30">
        <f t="shared" si="5"/>
        <v>45891</v>
      </c>
    </row>
    <row r="64" spans="1:9">
      <c r="A64" s="29" t="s">
        <v>174</v>
      </c>
      <c r="B64" s="30">
        <v>45884</v>
      </c>
      <c r="C64" s="30">
        <f t="shared" si="5"/>
        <v>45898</v>
      </c>
    </row>
    <row r="65" spans="1:3">
      <c r="A65" s="36" t="s">
        <v>176</v>
      </c>
      <c r="B65" s="37">
        <v>45884</v>
      </c>
      <c r="C65" s="37">
        <f t="shared" si="5"/>
        <v>45898</v>
      </c>
    </row>
    <row r="66" spans="1:3">
      <c r="A66" s="29" t="s">
        <v>178</v>
      </c>
      <c r="B66" s="30">
        <v>45901</v>
      </c>
      <c r="C66" s="30">
        <f t="shared" si="5"/>
        <v>45915</v>
      </c>
    </row>
    <row r="67" spans="1:3">
      <c r="A67" s="32" t="s">
        <v>180</v>
      </c>
      <c r="B67" s="30">
        <v>45901</v>
      </c>
      <c r="C67" s="30">
        <f t="shared" si="5"/>
        <v>45915</v>
      </c>
    </row>
    <row r="68" spans="1:3">
      <c r="A68" s="29" t="s">
        <v>182</v>
      </c>
      <c r="B68" s="30">
        <v>45910</v>
      </c>
      <c r="C68" s="30">
        <f t="shared" si="5"/>
        <v>45924</v>
      </c>
    </row>
    <row r="69" spans="1:3">
      <c r="A69" s="29" t="s">
        <v>184</v>
      </c>
      <c r="B69" s="30">
        <v>45923</v>
      </c>
      <c r="C69" s="30">
        <f t="shared" si="5"/>
        <v>45937</v>
      </c>
    </row>
    <row r="70" spans="1:3">
      <c r="A70" s="36" t="s">
        <v>187</v>
      </c>
      <c r="B70" s="37">
        <v>45923</v>
      </c>
      <c r="C70" s="37">
        <f t="shared" si="5"/>
        <v>45937</v>
      </c>
    </row>
    <row r="71" spans="1:3">
      <c r="A71" s="56" t="s">
        <v>189</v>
      </c>
      <c r="B71" s="57">
        <v>45944</v>
      </c>
      <c r="C71" s="57">
        <f t="shared" si="5"/>
        <v>45958</v>
      </c>
    </row>
    <row r="72" spans="1:3">
      <c r="A72" s="29" t="s">
        <v>191</v>
      </c>
      <c r="B72" s="30">
        <v>45944</v>
      </c>
      <c r="C72" s="30">
        <f t="shared" si="5"/>
        <v>45958</v>
      </c>
    </row>
    <row r="73" spans="1:3">
      <c r="A73" s="29" t="s">
        <v>193</v>
      </c>
      <c r="B73" s="30">
        <v>45944</v>
      </c>
      <c r="C73" s="30">
        <f t="shared" si="5"/>
        <v>45958</v>
      </c>
    </row>
    <row r="74" spans="1:3">
      <c r="A74" s="29" t="s">
        <v>195</v>
      </c>
      <c r="B74" s="30">
        <v>45944</v>
      </c>
      <c r="C74" s="30">
        <f t="shared" si="5"/>
        <v>45958</v>
      </c>
    </row>
    <row r="75" spans="1:3">
      <c r="A75" s="29" t="s">
        <v>197</v>
      </c>
      <c r="B75" s="30">
        <v>45951</v>
      </c>
      <c r="C75" s="30">
        <f t="shared" si="5"/>
        <v>45965</v>
      </c>
    </row>
    <row r="76" spans="1:3">
      <c r="A76" s="39" t="s">
        <v>199</v>
      </c>
      <c r="B76" s="30">
        <v>45951</v>
      </c>
      <c r="C76" s="30">
        <f t="shared" si="5"/>
        <v>45965</v>
      </c>
    </row>
    <row r="77" spans="1:3">
      <c r="A77" s="39" t="s">
        <v>201</v>
      </c>
      <c r="B77" s="30">
        <v>45953</v>
      </c>
      <c r="C77" s="30">
        <f t="shared" si="5"/>
        <v>45967</v>
      </c>
    </row>
    <row r="78" spans="1:3">
      <c r="A78" s="29" t="s">
        <v>204</v>
      </c>
      <c r="B78" s="30">
        <v>45958</v>
      </c>
      <c r="C78" s="30">
        <f t="shared" si="5"/>
        <v>45972</v>
      </c>
    </row>
    <row r="79" spans="1:3">
      <c r="A79" s="39" t="s">
        <v>206</v>
      </c>
      <c r="B79" s="30">
        <v>45958</v>
      </c>
      <c r="C79" s="30">
        <f t="shared" si="5"/>
        <v>45972</v>
      </c>
    </row>
    <row r="80" spans="1:3">
      <c r="A80" s="29" t="s">
        <v>208</v>
      </c>
      <c r="B80" s="30">
        <v>45965</v>
      </c>
      <c r="C80" s="30">
        <f t="shared" si="5"/>
        <v>45979</v>
      </c>
    </row>
    <row r="81" spans="1:3">
      <c r="A81" s="32" t="s">
        <v>210</v>
      </c>
      <c r="B81" s="30">
        <v>45965</v>
      </c>
      <c r="C81" s="30">
        <f t="shared" si="5"/>
        <v>45979</v>
      </c>
    </row>
    <row r="82" spans="1:3">
      <c r="A82" s="29" t="s">
        <v>212</v>
      </c>
      <c r="B82" s="30">
        <v>45973</v>
      </c>
      <c r="C82" s="30">
        <f t="shared" si="5"/>
        <v>45987</v>
      </c>
    </row>
    <row r="83" spans="1:3">
      <c r="A83" s="29" t="s">
        <v>214</v>
      </c>
      <c r="B83" s="30">
        <v>45973</v>
      </c>
      <c r="C83" s="30">
        <f t="shared" si="5"/>
        <v>45987</v>
      </c>
    </row>
    <row r="84" spans="1:3">
      <c r="A84" s="29" t="s">
        <v>216</v>
      </c>
      <c r="B84" s="30">
        <v>45979</v>
      </c>
      <c r="C84" s="30">
        <f t="shared" si="5"/>
        <v>45993</v>
      </c>
    </row>
    <row r="85" spans="1:3">
      <c r="A85" s="39" t="s">
        <v>218</v>
      </c>
      <c r="B85" s="30">
        <v>46034</v>
      </c>
      <c r="C85" s="30">
        <f t="shared" si="5"/>
        <v>46048</v>
      </c>
    </row>
    <row r="86" spans="1:3">
      <c r="A86" s="39" t="s">
        <v>222</v>
      </c>
      <c r="B86" s="42">
        <v>46042</v>
      </c>
      <c r="C86" s="30">
        <f t="shared" si="5"/>
        <v>46056</v>
      </c>
    </row>
    <row r="87" spans="1:3">
      <c r="A87" s="29" t="s">
        <v>224</v>
      </c>
      <c r="B87" s="30">
        <v>45679</v>
      </c>
      <c r="C87" s="30">
        <f t="shared" si="5"/>
        <v>45693</v>
      </c>
    </row>
    <row r="88" spans="1:3">
      <c r="A88" s="32" t="s">
        <v>227</v>
      </c>
      <c r="B88" s="30">
        <v>45683</v>
      </c>
      <c r="C88" s="30">
        <f t="shared" si="5"/>
        <v>45697</v>
      </c>
    </row>
    <row r="89" spans="1:3">
      <c r="A89" s="29" t="s">
        <v>229</v>
      </c>
      <c r="B89" s="30">
        <v>46065</v>
      </c>
      <c r="C89" s="30">
        <f t="shared" si="5"/>
        <v>46079</v>
      </c>
    </row>
    <row r="90" spans="1:3">
      <c r="A90" s="58" t="s">
        <v>231</v>
      </c>
      <c r="B90" s="30">
        <v>46065</v>
      </c>
      <c r="C90" s="30">
        <f t="shared" si="5"/>
        <v>46079</v>
      </c>
    </row>
    <row r="91" spans="1:3">
      <c r="A91" s="29" t="s">
        <v>234</v>
      </c>
      <c r="B91" s="30">
        <v>46065</v>
      </c>
      <c r="C91" s="30">
        <f t="shared" si="5"/>
        <v>46079</v>
      </c>
    </row>
    <row r="92" spans="1:3">
      <c r="A92" s="36" t="s">
        <v>240</v>
      </c>
      <c r="B92" s="37">
        <v>46084</v>
      </c>
      <c r="C92" s="37">
        <f t="shared" si="5"/>
        <v>46098</v>
      </c>
    </row>
    <row r="93" spans="1:3">
      <c r="A93" s="36" t="s">
        <v>243</v>
      </c>
      <c r="B93" s="37">
        <v>46084</v>
      </c>
      <c r="C93" s="37">
        <f t="shared" si="5"/>
        <v>46098</v>
      </c>
    </row>
    <row r="94" spans="1:3">
      <c r="A94" s="51" t="s">
        <v>245</v>
      </c>
      <c r="B94" s="30">
        <v>46090</v>
      </c>
      <c r="C94" s="30">
        <f t="shared" si="5"/>
        <v>46104</v>
      </c>
    </row>
    <row r="95" spans="1:3">
      <c r="A95" s="59" t="s">
        <v>247</v>
      </c>
      <c r="B95" s="60">
        <v>46090</v>
      </c>
      <c r="C95" s="60">
        <f t="shared" si="5"/>
        <v>46104</v>
      </c>
    </row>
    <row r="96" spans="1:3">
      <c r="A96" s="61" t="s">
        <v>250</v>
      </c>
      <c r="B96" s="30">
        <v>46093</v>
      </c>
      <c r="C96" s="30">
        <f t="shared" si="5"/>
        <v>46107</v>
      </c>
    </row>
    <row r="97" spans="1:3">
      <c r="A97" s="62" t="s">
        <v>252</v>
      </c>
      <c r="B97" s="60">
        <v>46093</v>
      </c>
      <c r="C97" s="60">
        <f t="shared" si="5"/>
        <v>46107</v>
      </c>
    </row>
    <row r="98" spans="1:3">
      <c r="A98" s="63" t="s">
        <v>254</v>
      </c>
      <c r="B98" s="60">
        <v>46097</v>
      </c>
      <c r="C98" s="60">
        <f t="shared" si="5"/>
        <v>46111</v>
      </c>
    </row>
    <row r="99" spans="1:3">
      <c r="A99" s="39" t="s">
        <v>256</v>
      </c>
      <c r="B99" s="30">
        <v>46097</v>
      </c>
      <c r="C99" s="30">
        <f t="shared" si="5"/>
        <v>46111</v>
      </c>
    </row>
    <row r="100" spans="1:3">
      <c r="A100" s="39" t="s">
        <v>260</v>
      </c>
      <c r="B100" s="30">
        <v>46097</v>
      </c>
      <c r="C100" s="30">
        <f t="shared" si="5"/>
        <v>46111</v>
      </c>
    </row>
    <row r="101" spans="1:3">
      <c r="A101" s="39" t="s">
        <v>262</v>
      </c>
      <c r="B101" s="30">
        <v>46097</v>
      </c>
      <c r="C101" s="30">
        <f t="shared" si="5"/>
        <v>46111</v>
      </c>
    </row>
    <row r="102" spans="1:3">
      <c r="A102" s="39" t="s">
        <v>263</v>
      </c>
      <c r="B102" s="30">
        <v>46097</v>
      </c>
      <c r="C102" s="30">
        <f t="shared" ref="C102:C105" si="6">B102+14</f>
        <v>46111</v>
      </c>
    </row>
    <row r="103" spans="1:3">
      <c r="A103" s="39" t="s">
        <v>265</v>
      </c>
      <c r="B103" s="30">
        <v>46097</v>
      </c>
      <c r="C103" s="30">
        <f t="shared" si="6"/>
        <v>46111</v>
      </c>
    </row>
    <row r="104" spans="1:3">
      <c r="A104" s="39" t="s">
        <v>267</v>
      </c>
      <c r="B104" s="30">
        <v>46098</v>
      </c>
      <c r="C104" s="30">
        <f t="shared" si="6"/>
        <v>46112</v>
      </c>
    </row>
    <row r="105" spans="1:3">
      <c r="A105" s="39" t="s">
        <v>270</v>
      </c>
      <c r="B105" s="30">
        <v>46099</v>
      </c>
      <c r="C105" s="30">
        <f t="shared" si="6"/>
        <v>46113</v>
      </c>
    </row>
    <row r="106" spans="1:3">
      <c r="A106" s="39" t="s">
        <v>272</v>
      </c>
      <c r="B106" s="30">
        <v>46120</v>
      </c>
      <c r="C106" s="30">
        <v>46134</v>
      </c>
    </row>
    <row r="107" spans="1:3">
      <c r="A107" s="39" t="s">
        <v>275</v>
      </c>
      <c r="B107" s="30">
        <v>46120</v>
      </c>
      <c r="C107" s="30">
        <v>46134</v>
      </c>
    </row>
    <row r="108" spans="1:3">
      <c r="A108" s="63" t="s">
        <v>278</v>
      </c>
      <c r="B108" s="60">
        <v>46120</v>
      </c>
      <c r="C108" s="60">
        <v>46134</v>
      </c>
    </row>
    <row r="109" spans="1:3">
      <c r="A109" s="29" t="s">
        <v>281</v>
      </c>
      <c r="B109" s="30">
        <v>46120</v>
      </c>
      <c r="C109" s="30">
        <v>46134</v>
      </c>
    </row>
    <row r="110" spans="1:3">
      <c r="A110" s="39" t="s">
        <v>284</v>
      </c>
      <c r="B110" s="30">
        <v>46127</v>
      </c>
      <c r="C110" s="30">
        <v>46141</v>
      </c>
    </row>
    <row r="111" spans="1:3">
      <c r="A111" s="29" t="s">
        <v>287</v>
      </c>
      <c r="B111" s="30">
        <v>46129</v>
      </c>
      <c r="C111" s="30">
        <v>46143</v>
      </c>
    </row>
    <row r="112" spans="1:3">
      <c r="A112" s="136" t="s">
        <v>290</v>
      </c>
      <c r="B112" s="138">
        <v>46129</v>
      </c>
      <c r="C112" s="138">
        <v>46143</v>
      </c>
    </row>
    <row r="113" spans="1:5">
      <c r="A113" s="64" t="s">
        <v>293</v>
      </c>
      <c r="B113" s="60">
        <v>46129</v>
      </c>
      <c r="C113" s="60">
        <v>46143</v>
      </c>
    </row>
    <row r="114" spans="1:5">
      <c r="A114" s="158" t="s">
        <v>301</v>
      </c>
      <c r="B114" s="138">
        <v>46135</v>
      </c>
      <c r="C114" s="138">
        <v>46149</v>
      </c>
    </row>
    <row r="115" spans="1:5">
      <c r="A115" s="136" t="s">
        <v>307</v>
      </c>
      <c r="B115" s="138">
        <v>46141</v>
      </c>
      <c r="C115" s="138">
        <v>46155</v>
      </c>
    </row>
    <row r="116" spans="1:5">
      <c r="A116" s="136" t="s">
        <v>311</v>
      </c>
      <c r="B116" s="138">
        <v>46141</v>
      </c>
      <c r="C116" s="138">
        <v>46155</v>
      </c>
    </row>
    <row r="117" spans="1:5">
      <c r="A117" s="136" t="s">
        <v>313</v>
      </c>
      <c r="B117" s="138">
        <v>46141</v>
      </c>
      <c r="C117" s="138">
        <v>46155</v>
      </c>
    </row>
    <row r="118" spans="1:5">
      <c r="A118" s="136" t="s">
        <v>316</v>
      </c>
      <c r="B118" s="138">
        <v>46148</v>
      </c>
      <c r="C118" s="138">
        <v>46161</v>
      </c>
    </row>
    <row r="119" spans="1:5">
      <c r="A119" s="136" t="s">
        <v>318</v>
      </c>
      <c r="B119" s="138">
        <v>46155</v>
      </c>
      <c r="C119" s="138">
        <v>46169</v>
      </c>
    </row>
    <row r="120" spans="1:5">
      <c r="A120" s="136" t="s">
        <v>320</v>
      </c>
      <c r="B120" s="138">
        <v>46162</v>
      </c>
      <c r="C120" s="138">
        <v>46176</v>
      </c>
    </row>
    <row r="121" spans="1:5">
      <c r="A121" s="136" t="s">
        <v>709</v>
      </c>
      <c r="B121" s="138">
        <v>46162</v>
      </c>
      <c r="C121" s="138">
        <v>46176</v>
      </c>
    </row>
    <row r="122" spans="1:5">
      <c r="A122" s="136" t="s">
        <v>708</v>
      </c>
      <c r="B122" s="138">
        <v>46162</v>
      </c>
      <c r="C122" s="138">
        <v>46176</v>
      </c>
    </row>
    <row r="123" spans="1:5">
      <c r="A123" s="136" t="s">
        <v>718</v>
      </c>
      <c r="B123" s="138">
        <v>46169</v>
      </c>
      <c r="C123" s="138">
        <v>46183</v>
      </c>
      <c r="D123" s="1"/>
      <c r="E123" s="1"/>
    </row>
    <row r="124" spans="1:5">
      <c r="A124" s="172" t="s">
        <v>717</v>
      </c>
      <c r="B124" s="173">
        <v>46176</v>
      </c>
      <c r="C124" s="173">
        <v>46190</v>
      </c>
      <c r="D124" s="1"/>
      <c r="E124" s="1"/>
    </row>
    <row r="125" spans="1:5">
      <c r="A125" s="174" t="s">
        <v>731</v>
      </c>
      <c r="B125" s="173">
        <v>46185</v>
      </c>
      <c r="C125" s="173">
        <v>46199</v>
      </c>
    </row>
    <row r="126" spans="1:5">
      <c r="A126" s="153" t="s">
        <v>725</v>
      </c>
      <c r="B126" s="138">
        <v>46188</v>
      </c>
      <c r="C126" s="138">
        <v>46202</v>
      </c>
    </row>
    <row r="127" spans="1:5">
      <c r="A127" s="136" t="s">
        <v>726</v>
      </c>
      <c r="B127" s="138">
        <v>46188</v>
      </c>
      <c r="C127" s="138">
        <v>46202</v>
      </c>
    </row>
    <row r="128" spans="1:5">
      <c r="A128" s="172" t="s">
        <v>727</v>
      </c>
      <c r="B128" s="173">
        <v>46188</v>
      </c>
      <c r="C128" s="173">
        <v>46202</v>
      </c>
    </row>
    <row r="129" spans="1:3">
      <c r="A129" s="172" t="s">
        <v>728</v>
      </c>
      <c r="B129" s="173">
        <v>46189</v>
      </c>
      <c r="C129" s="173">
        <v>46203</v>
      </c>
    </row>
    <row r="130" spans="1:3">
      <c r="A130" s="172" t="s">
        <v>729</v>
      </c>
      <c r="B130" s="173">
        <v>46189</v>
      </c>
      <c r="C130" s="173">
        <v>46203</v>
      </c>
    </row>
    <row r="131" spans="1:3">
      <c r="A131" s="172" t="s">
        <v>730</v>
      </c>
      <c r="B131" s="173">
        <v>46189</v>
      </c>
      <c r="C131" s="173">
        <f>B131+14</f>
        <v>46203</v>
      </c>
    </row>
    <row r="132" spans="1:3">
      <c r="A132" s="240" t="s">
        <v>744</v>
      </c>
      <c r="B132" s="241">
        <v>46203</v>
      </c>
      <c r="C132" s="241">
        <f>B132+14</f>
        <v>46217</v>
      </c>
    </row>
    <row r="133" spans="1:3">
      <c r="A133" s="242" t="s">
        <v>746</v>
      </c>
      <c r="B133" s="241">
        <v>46204</v>
      </c>
      <c r="C133" s="241">
        <f t="shared" ref="C133:C169" si="7">B133+14</f>
        <v>46218</v>
      </c>
    </row>
    <row r="134" spans="1:3">
      <c r="A134" s="240" t="s">
        <v>749</v>
      </c>
      <c r="B134" s="241">
        <v>46210</v>
      </c>
      <c r="C134" s="241">
        <f t="shared" si="7"/>
        <v>46224</v>
      </c>
    </row>
    <row r="135" spans="1:3">
      <c r="A135" s="243" t="s">
        <v>751</v>
      </c>
      <c r="B135" s="244">
        <v>46210</v>
      </c>
      <c r="C135" s="244">
        <f t="shared" si="7"/>
        <v>46224</v>
      </c>
    </row>
    <row r="136" spans="1:3">
      <c r="A136" s="240" t="s">
        <v>752</v>
      </c>
      <c r="B136" s="241">
        <v>46210</v>
      </c>
      <c r="C136" s="241">
        <f t="shared" si="7"/>
        <v>46224</v>
      </c>
    </row>
    <row r="137" spans="1:3">
      <c r="A137" s="240" t="s">
        <v>754</v>
      </c>
      <c r="B137" s="241">
        <v>46210</v>
      </c>
      <c r="C137" s="241">
        <f t="shared" si="7"/>
        <v>46224</v>
      </c>
    </row>
    <row r="138" spans="1:3">
      <c r="A138" s="240" t="s">
        <v>757</v>
      </c>
      <c r="B138" s="241">
        <v>46210</v>
      </c>
      <c r="C138" s="241">
        <f t="shared" si="7"/>
        <v>46224</v>
      </c>
    </row>
    <row r="139" spans="1:3">
      <c r="A139" s="240" t="s">
        <v>770</v>
      </c>
      <c r="B139" s="241">
        <v>46218</v>
      </c>
      <c r="C139" s="241">
        <f t="shared" si="7"/>
        <v>46232</v>
      </c>
    </row>
    <row r="140" spans="1:3">
      <c r="A140" s="245" t="s">
        <v>772</v>
      </c>
      <c r="B140" s="241">
        <v>46218</v>
      </c>
      <c r="C140" s="241">
        <f t="shared" si="7"/>
        <v>46232</v>
      </c>
    </row>
    <row r="141" spans="1:3">
      <c r="A141" s="245" t="s">
        <v>890</v>
      </c>
      <c r="B141" s="241">
        <v>46230</v>
      </c>
      <c r="C141" s="241">
        <f t="shared" si="7"/>
        <v>46244</v>
      </c>
    </row>
    <row r="142" spans="1:3">
      <c r="A142" s="245" t="s">
        <v>893</v>
      </c>
      <c r="B142" s="241">
        <v>46230</v>
      </c>
      <c r="C142" s="241">
        <f t="shared" si="7"/>
        <v>46244</v>
      </c>
    </row>
    <row r="143" spans="1:3">
      <c r="A143" s="246" t="s">
        <v>912</v>
      </c>
      <c r="B143" s="241">
        <v>46237</v>
      </c>
      <c r="C143" s="241">
        <f t="shared" si="7"/>
        <v>46251</v>
      </c>
    </row>
    <row r="144" spans="1:3">
      <c r="A144" s="245" t="s">
        <v>915</v>
      </c>
      <c r="B144" s="241">
        <v>46237</v>
      </c>
      <c r="C144" s="241">
        <f t="shared" si="7"/>
        <v>46251</v>
      </c>
    </row>
    <row r="145" spans="1:3">
      <c r="A145" s="245" t="s">
        <v>917</v>
      </c>
      <c r="B145" s="241">
        <v>46237</v>
      </c>
      <c r="C145" s="241">
        <f t="shared" si="7"/>
        <v>46251</v>
      </c>
    </row>
    <row r="146" spans="1:3">
      <c r="A146" s="247" t="s">
        <v>931</v>
      </c>
      <c r="B146" s="244">
        <v>46240</v>
      </c>
      <c r="C146" s="244">
        <f t="shared" si="7"/>
        <v>46254</v>
      </c>
    </row>
    <row r="147" spans="1:3">
      <c r="A147" s="246" t="s">
        <v>933</v>
      </c>
      <c r="B147" s="241">
        <v>46240</v>
      </c>
      <c r="C147" s="241">
        <f t="shared" si="7"/>
        <v>46254</v>
      </c>
    </row>
    <row r="148" spans="1:3">
      <c r="A148" s="245" t="s">
        <v>936</v>
      </c>
      <c r="B148" s="241">
        <v>46240</v>
      </c>
      <c r="C148" s="241">
        <f t="shared" si="7"/>
        <v>46254</v>
      </c>
    </row>
    <row r="149" spans="1:3">
      <c r="A149" s="247" t="s">
        <v>928</v>
      </c>
      <c r="B149" s="244">
        <v>46245</v>
      </c>
      <c r="C149" s="244">
        <f t="shared" si="7"/>
        <v>46259</v>
      </c>
    </row>
    <row r="150" spans="1:3">
      <c r="A150" s="156" t="s">
        <v>956</v>
      </c>
      <c r="B150" s="157">
        <v>46245</v>
      </c>
      <c r="C150" s="244">
        <f t="shared" si="7"/>
        <v>46259</v>
      </c>
    </row>
    <row r="151" spans="1:3">
      <c r="A151" s="156" t="s">
        <v>959</v>
      </c>
      <c r="B151" s="157">
        <v>46247</v>
      </c>
      <c r="C151" s="244">
        <f t="shared" si="7"/>
        <v>46261</v>
      </c>
    </row>
    <row r="152" spans="1:3">
      <c r="A152" s="253" t="s">
        <v>962</v>
      </c>
      <c r="B152" s="254">
        <v>46252</v>
      </c>
      <c r="C152" s="255">
        <f t="shared" si="7"/>
        <v>46266</v>
      </c>
    </row>
    <row r="153" spans="1:3">
      <c r="A153" s="253" t="s">
        <v>964</v>
      </c>
      <c r="B153" s="256">
        <v>46252</v>
      </c>
      <c r="C153" s="255">
        <f t="shared" si="7"/>
        <v>46266</v>
      </c>
    </row>
    <row r="154" spans="1:3">
      <c r="A154" s="257" t="s">
        <v>304</v>
      </c>
      <c r="B154" s="256">
        <v>46254</v>
      </c>
      <c r="C154" s="255">
        <f>B154+14</f>
        <v>46268</v>
      </c>
    </row>
    <row r="155" spans="1:3">
      <c r="A155" s="253" t="s">
        <v>970</v>
      </c>
      <c r="B155" s="256">
        <v>46258</v>
      </c>
      <c r="C155" s="255">
        <f>B155+14</f>
        <v>46272</v>
      </c>
    </row>
    <row r="156" spans="1:3">
      <c r="A156" s="253" t="s">
        <v>972</v>
      </c>
      <c r="B156" s="256">
        <v>46258</v>
      </c>
      <c r="C156" s="255">
        <f t="shared" si="7"/>
        <v>46272</v>
      </c>
    </row>
    <row r="157" spans="1:3">
      <c r="A157" s="253" t="s">
        <v>975</v>
      </c>
      <c r="B157" s="256">
        <v>46258</v>
      </c>
      <c r="C157" s="255">
        <f t="shared" si="7"/>
        <v>46272</v>
      </c>
    </row>
    <row r="158" spans="1:3">
      <c r="A158" s="253" t="s">
        <v>976</v>
      </c>
      <c r="B158" s="256">
        <v>46258</v>
      </c>
      <c r="C158" s="255">
        <f t="shared" si="7"/>
        <v>46272</v>
      </c>
    </row>
    <row r="159" spans="1:3">
      <c r="A159" s="253" t="s">
        <v>980</v>
      </c>
      <c r="B159" s="256">
        <v>46258</v>
      </c>
      <c r="C159" s="255">
        <f t="shared" si="7"/>
        <v>46272</v>
      </c>
    </row>
    <row r="160" spans="1:3">
      <c r="A160" s="253" t="s">
        <v>295</v>
      </c>
      <c r="B160" s="256">
        <v>46267</v>
      </c>
      <c r="C160" s="255">
        <f t="shared" si="7"/>
        <v>46281</v>
      </c>
    </row>
    <row r="161" spans="1:3">
      <c r="A161" s="253" t="s">
        <v>1056</v>
      </c>
      <c r="B161" s="335">
        <v>46280</v>
      </c>
      <c r="C161" s="335">
        <f t="shared" si="7"/>
        <v>46294</v>
      </c>
    </row>
    <row r="162" spans="1:3">
      <c r="A162" s="253" t="s">
        <v>1059</v>
      </c>
      <c r="B162" s="335">
        <v>46280</v>
      </c>
      <c r="C162" s="335">
        <f t="shared" si="7"/>
        <v>46294</v>
      </c>
    </row>
    <row r="163" spans="1:3">
      <c r="A163" s="11" t="s">
        <v>1124</v>
      </c>
      <c r="B163" s="7">
        <v>46289</v>
      </c>
      <c r="C163" s="296">
        <f t="shared" si="7"/>
        <v>46303</v>
      </c>
    </row>
    <row r="164" spans="1:3">
      <c r="A164" s="317" t="s">
        <v>1126</v>
      </c>
      <c r="B164" s="318">
        <v>46289</v>
      </c>
      <c r="C164" s="296">
        <f t="shared" si="7"/>
        <v>46303</v>
      </c>
    </row>
    <row r="165" spans="1:3">
      <c r="A165" s="321" t="s">
        <v>1129</v>
      </c>
      <c r="B165" s="318">
        <v>46289</v>
      </c>
      <c r="C165" s="296">
        <f t="shared" si="7"/>
        <v>46303</v>
      </c>
    </row>
    <row r="166" spans="1:3">
      <c r="A166" s="143" t="s">
        <v>1131</v>
      </c>
      <c r="B166" s="318">
        <v>46289</v>
      </c>
      <c r="C166" s="296">
        <f t="shared" si="7"/>
        <v>46303</v>
      </c>
    </row>
    <row r="167" spans="1:3">
      <c r="A167" s="347" t="s">
        <v>1146</v>
      </c>
      <c r="B167" s="337">
        <v>46300</v>
      </c>
      <c r="C167" s="296">
        <f t="shared" si="7"/>
        <v>46314</v>
      </c>
    </row>
    <row r="168" spans="1:3">
      <c r="A168" s="347" t="s">
        <v>1148</v>
      </c>
      <c r="B168" s="337">
        <v>46300</v>
      </c>
      <c r="C168" s="296">
        <f t="shared" si="7"/>
        <v>46314</v>
      </c>
    </row>
    <row r="169" spans="1:3">
      <c r="A169" s="321" t="s">
        <v>1150</v>
      </c>
      <c r="B169" s="337">
        <v>46300</v>
      </c>
      <c r="C169" s="296">
        <f t="shared" si="7"/>
        <v>46314</v>
      </c>
    </row>
  </sheetData>
  <autoFilter ref="A2:C2" xr:uid="{00000000-0009-0000-0000-000001000000}">
    <sortState xmlns:xlrd2="http://schemas.microsoft.com/office/spreadsheetml/2017/richdata2" ref="A2:C3">
      <sortCondition ref="B2"/>
    </sortState>
  </autoFilter>
  <mergeCells count="1">
    <mergeCell ref="A1:C1"/>
  </mergeCells>
  <pageMargins left="0.25" right="0.25" top="0.75" bottom="0.75" header="0.3" footer="0.3"/>
  <pageSetup paperSize="9" orientation="portrait" horizontalDpi="4294967293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3"/>
  <sheetViews>
    <sheetView topLeftCell="A132" workbookViewId="0">
      <selection activeCell="G141" sqref="G141"/>
    </sheetView>
  </sheetViews>
  <sheetFormatPr defaultRowHeight="15"/>
  <cols>
    <col min="1" max="1" width="40.5703125" bestFit="1" customWidth="1"/>
    <col min="2" max="2" width="19.5703125" style="1" customWidth="1"/>
    <col min="3" max="3" width="15.5703125" style="1" customWidth="1"/>
    <col min="4" max="4" width="14.28515625" style="1" customWidth="1"/>
  </cols>
  <sheetData>
    <row r="1" spans="1:4" ht="29.45" customHeight="1">
      <c r="A1" s="373" t="s">
        <v>330</v>
      </c>
      <c r="B1" s="373"/>
      <c r="C1" s="373"/>
      <c r="D1" s="373"/>
    </row>
    <row r="2" spans="1:4" ht="13.15" customHeight="1">
      <c r="A2" s="3" t="s">
        <v>0</v>
      </c>
      <c r="B2" s="4" t="s">
        <v>326</v>
      </c>
      <c r="C2" s="4" t="s">
        <v>327</v>
      </c>
      <c r="D2" s="4" t="s">
        <v>331</v>
      </c>
    </row>
    <row r="3" spans="1:4">
      <c r="A3" s="29" t="s">
        <v>332</v>
      </c>
      <c r="B3" s="66" t="s">
        <v>333</v>
      </c>
      <c r="C3" s="66"/>
      <c r="D3" s="30">
        <f t="shared" ref="D3:D10" si="0">B3+89</f>
        <v>45691</v>
      </c>
    </row>
    <row r="4" spans="1:4">
      <c r="A4" s="29" t="s">
        <v>334</v>
      </c>
      <c r="B4" s="66" t="s">
        <v>333</v>
      </c>
      <c r="C4" s="66"/>
      <c r="D4" s="30">
        <f t="shared" si="0"/>
        <v>45691</v>
      </c>
    </row>
    <row r="5" spans="1:4">
      <c r="A5" s="29" t="s">
        <v>335</v>
      </c>
      <c r="B5" s="66" t="s">
        <v>336</v>
      </c>
      <c r="C5" s="66"/>
      <c r="D5" s="30">
        <f t="shared" si="0"/>
        <v>45696</v>
      </c>
    </row>
    <row r="6" spans="1:4">
      <c r="A6" s="29" t="s">
        <v>337</v>
      </c>
      <c r="B6" s="66" t="s">
        <v>338</v>
      </c>
      <c r="C6" s="66"/>
      <c r="D6" s="30">
        <f t="shared" si="0"/>
        <v>45698</v>
      </c>
    </row>
    <row r="7" spans="1:4">
      <c r="A7" s="29" t="s">
        <v>339</v>
      </c>
      <c r="B7" s="66" t="s">
        <v>340</v>
      </c>
      <c r="C7" s="66"/>
      <c r="D7" s="30">
        <f t="shared" si="0"/>
        <v>45703</v>
      </c>
    </row>
    <row r="8" spans="1:4">
      <c r="A8" s="29" t="s">
        <v>341</v>
      </c>
      <c r="B8" s="66" t="s">
        <v>342</v>
      </c>
      <c r="C8" s="66"/>
      <c r="D8" s="30">
        <f t="shared" si="0"/>
        <v>45704</v>
      </c>
    </row>
    <row r="9" spans="1:4">
      <c r="A9" s="29" t="s">
        <v>343</v>
      </c>
      <c r="B9" s="66" t="s">
        <v>344</v>
      </c>
      <c r="C9" s="66"/>
      <c r="D9" s="30">
        <f t="shared" si="0"/>
        <v>45706</v>
      </c>
    </row>
    <row r="10" spans="1:4">
      <c r="A10" s="29" t="s">
        <v>345</v>
      </c>
      <c r="B10" s="66" t="s">
        <v>344</v>
      </c>
      <c r="C10" s="66"/>
      <c r="D10" s="30">
        <f t="shared" si="0"/>
        <v>45706</v>
      </c>
    </row>
    <row r="11" spans="1:4">
      <c r="A11" s="29" t="s">
        <v>346</v>
      </c>
      <c r="B11" s="66" t="s">
        <v>347</v>
      </c>
      <c r="C11" s="67">
        <f t="shared" ref="C11:C23" si="1">B11+44</f>
        <v>45672</v>
      </c>
      <c r="D11" s="30">
        <f t="shared" ref="D11:D42" si="2">C11+44</f>
        <v>45716</v>
      </c>
    </row>
    <row r="12" spans="1:4">
      <c r="A12" s="29" t="s">
        <v>26</v>
      </c>
      <c r="B12" s="30">
        <v>45671</v>
      </c>
      <c r="C12" s="30">
        <f t="shared" si="1"/>
        <v>45715</v>
      </c>
      <c r="D12" s="30">
        <f t="shared" si="2"/>
        <v>45759</v>
      </c>
    </row>
    <row r="13" spans="1:4">
      <c r="A13" s="29" t="s">
        <v>28</v>
      </c>
      <c r="B13" s="31" t="s">
        <v>328</v>
      </c>
      <c r="C13" s="30">
        <f t="shared" si="1"/>
        <v>45715</v>
      </c>
      <c r="D13" s="30">
        <f t="shared" si="2"/>
        <v>45759</v>
      </c>
    </row>
    <row r="14" spans="1:4">
      <c r="A14" s="32" t="s">
        <v>21</v>
      </c>
      <c r="B14" s="30">
        <v>45671</v>
      </c>
      <c r="C14" s="30">
        <f t="shared" si="1"/>
        <v>45715</v>
      </c>
      <c r="D14" s="30">
        <f t="shared" si="2"/>
        <v>45759</v>
      </c>
    </row>
    <row r="15" spans="1:4">
      <c r="A15" s="32" t="s">
        <v>18</v>
      </c>
      <c r="B15" s="30">
        <v>45671</v>
      </c>
      <c r="C15" s="30">
        <f t="shared" si="1"/>
        <v>45715</v>
      </c>
      <c r="D15" s="30">
        <f t="shared" si="2"/>
        <v>45759</v>
      </c>
    </row>
    <row r="16" spans="1:4" ht="15" customHeight="1">
      <c r="A16" s="32" t="s">
        <v>11</v>
      </c>
      <c r="B16" s="30">
        <v>45671</v>
      </c>
      <c r="C16" s="30">
        <f t="shared" si="1"/>
        <v>45715</v>
      </c>
      <c r="D16" s="30">
        <f t="shared" si="2"/>
        <v>45759</v>
      </c>
    </row>
    <row r="17" spans="1:4">
      <c r="A17" s="39" t="s">
        <v>32</v>
      </c>
      <c r="B17" s="30">
        <v>45684</v>
      </c>
      <c r="C17" s="30">
        <f t="shared" si="1"/>
        <v>45728</v>
      </c>
      <c r="D17" s="30">
        <f t="shared" si="2"/>
        <v>45772</v>
      </c>
    </row>
    <row r="18" spans="1:4">
      <c r="A18" s="29" t="s">
        <v>38</v>
      </c>
      <c r="B18" s="30">
        <v>45694</v>
      </c>
      <c r="C18" s="30">
        <f t="shared" si="1"/>
        <v>45738</v>
      </c>
      <c r="D18" s="30">
        <f t="shared" si="2"/>
        <v>45782</v>
      </c>
    </row>
    <row r="19" spans="1:4">
      <c r="A19" s="29" t="s">
        <v>43</v>
      </c>
      <c r="B19" s="30">
        <v>45694</v>
      </c>
      <c r="C19" s="30">
        <f t="shared" si="1"/>
        <v>45738</v>
      </c>
      <c r="D19" s="30">
        <f t="shared" si="2"/>
        <v>45782</v>
      </c>
    </row>
    <row r="20" spans="1:4">
      <c r="A20" s="29" t="s">
        <v>47</v>
      </c>
      <c r="B20" s="30">
        <v>45705</v>
      </c>
      <c r="C20" s="30">
        <f t="shared" si="1"/>
        <v>45749</v>
      </c>
      <c r="D20" s="30">
        <f t="shared" si="2"/>
        <v>45793</v>
      </c>
    </row>
    <row r="21" spans="1:4" ht="13.9" customHeight="1">
      <c r="A21" s="29" t="s">
        <v>49</v>
      </c>
      <c r="B21" s="30">
        <v>45708</v>
      </c>
      <c r="C21" s="30">
        <f t="shared" si="1"/>
        <v>45752</v>
      </c>
      <c r="D21" s="30">
        <f t="shared" si="2"/>
        <v>45796</v>
      </c>
    </row>
    <row r="22" spans="1:4">
      <c r="A22" s="29" t="s">
        <v>53</v>
      </c>
      <c r="B22" s="30">
        <v>45712</v>
      </c>
      <c r="C22" s="30">
        <f t="shared" si="1"/>
        <v>45756</v>
      </c>
      <c r="D22" s="30">
        <f t="shared" si="2"/>
        <v>45800</v>
      </c>
    </row>
    <row r="23" spans="1:4">
      <c r="A23" s="29" t="s">
        <v>56</v>
      </c>
      <c r="B23" s="30">
        <v>45729</v>
      </c>
      <c r="C23" s="30">
        <f t="shared" si="1"/>
        <v>45773</v>
      </c>
      <c r="D23" s="30">
        <f t="shared" si="2"/>
        <v>45817</v>
      </c>
    </row>
    <row r="24" spans="1:4">
      <c r="A24" s="29" t="s">
        <v>102</v>
      </c>
      <c r="B24" s="30">
        <v>45762</v>
      </c>
      <c r="C24" s="30">
        <f>B24+14</f>
        <v>45776</v>
      </c>
      <c r="D24" s="42">
        <f t="shared" si="2"/>
        <v>45820</v>
      </c>
    </row>
    <row r="25" spans="1:4">
      <c r="A25" s="29" t="s">
        <v>59</v>
      </c>
      <c r="B25" s="30">
        <v>45734</v>
      </c>
      <c r="C25" s="30">
        <f t="shared" ref="C25:C41" si="3">B25+44</f>
        <v>45778</v>
      </c>
      <c r="D25" s="30">
        <f t="shared" si="2"/>
        <v>45822</v>
      </c>
    </row>
    <row r="26" spans="1:4" ht="16.149999999999999" customHeight="1">
      <c r="A26" s="29" t="s">
        <v>62</v>
      </c>
      <c r="B26" s="30">
        <v>45734</v>
      </c>
      <c r="C26" s="30">
        <f t="shared" si="3"/>
        <v>45778</v>
      </c>
      <c r="D26" s="30">
        <f t="shared" si="2"/>
        <v>45822</v>
      </c>
    </row>
    <row r="27" spans="1:4">
      <c r="A27" s="29" t="s">
        <v>65</v>
      </c>
      <c r="B27" s="30">
        <v>45742</v>
      </c>
      <c r="C27" s="30">
        <f t="shared" si="3"/>
        <v>45786</v>
      </c>
      <c r="D27" s="30">
        <f t="shared" si="2"/>
        <v>45830</v>
      </c>
    </row>
    <row r="28" spans="1:4">
      <c r="A28" s="29" t="s">
        <v>68</v>
      </c>
      <c r="B28" s="30">
        <v>45743</v>
      </c>
      <c r="C28" s="30">
        <f t="shared" si="3"/>
        <v>45787</v>
      </c>
      <c r="D28" s="30">
        <f t="shared" si="2"/>
        <v>45831</v>
      </c>
    </row>
    <row r="29" spans="1:4">
      <c r="A29" s="29" t="s">
        <v>70</v>
      </c>
      <c r="B29" s="30">
        <v>45743</v>
      </c>
      <c r="C29" s="30">
        <f t="shared" si="3"/>
        <v>45787</v>
      </c>
      <c r="D29" s="30">
        <f t="shared" si="2"/>
        <v>45831</v>
      </c>
    </row>
    <row r="30" spans="1:4">
      <c r="A30" s="43" t="s">
        <v>72</v>
      </c>
      <c r="B30" s="30">
        <v>45743</v>
      </c>
      <c r="C30" s="30">
        <f t="shared" si="3"/>
        <v>45787</v>
      </c>
      <c r="D30" s="30">
        <f t="shared" si="2"/>
        <v>45831</v>
      </c>
    </row>
    <row r="31" spans="1:4">
      <c r="A31" s="39" t="s">
        <v>114</v>
      </c>
      <c r="B31" s="30">
        <v>45790</v>
      </c>
      <c r="C31" s="30">
        <f t="shared" ref="C31:C32" si="4">B31+14</f>
        <v>45804</v>
      </c>
      <c r="D31" s="30">
        <f t="shared" si="2"/>
        <v>45848</v>
      </c>
    </row>
    <row r="32" spans="1:4">
      <c r="A32" s="29" t="s">
        <v>116</v>
      </c>
      <c r="B32" s="30">
        <v>45790</v>
      </c>
      <c r="C32" s="30">
        <f t="shared" si="4"/>
        <v>45804</v>
      </c>
      <c r="D32" s="30">
        <f t="shared" si="2"/>
        <v>45848</v>
      </c>
    </row>
    <row r="33" spans="1:4">
      <c r="A33" s="44" t="s">
        <v>79</v>
      </c>
      <c r="B33" s="30">
        <v>45751</v>
      </c>
      <c r="C33" s="30">
        <f t="shared" si="3"/>
        <v>45795</v>
      </c>
      <c r="D33" s="30">
        <f t="shared" si="2"/>
        <v>45839</v>
      </c>
    </row>
    <row r="34" spans="1:4">
      <c r="A34" s="29" t="s">
        <v>82</v>
      </c>
      <c r="B34" s="30">
        <v>45751</v>
      </c>
      <c r="C34" s="30">
        <f t="shared" si="3"/>
        <v>45795</v>
      </c>
      <c r="D34" s="30">
        <f t="shared" si="2"/>
        <v>45839</v>
      </c>
    </row>
    <row r="35" spans="1:4">
      <c r="A35" s="29" t="s">
        <v>84</v>
      </c>
      <c r="B35" s="30">
        <v>45754</v>
      </c>
      <c r="C35" s="30">
        <f t="shared" si="3"/>
        <v>45798</v>
      </c>
      <c r="D35" s="30">
        <f t="shared" si="2"/>
        <v>45842</v>
      </c>
    </row>
    <row r="36" spans="1:4">
      <c r="A36" s="29" t="s">
        <v>87</v>
      </c>
      <c r="B36" s="30">
        <v>45754</v>
      </c>
      <c r="C36" s="30">
        <f t="shared" si="3"/>
        <v>45798</v>
      </c>
      <c r="D36" s="30">
        <f t="shared" si="2"/>
        <v>45842</v>
      </c>
    </row>
    <row r="37" spans="1:4" ht="15" customHeight="1">
      <c r="A37" s="39" t="s">
        <v>109</v>
      </c>
      <c r="B37" s="30">
        <v>45784</v>
      </c>
      <c r="C37" s="30">
        <f>B37+14</f>
        <v>45798</v>
      </c>
      <c r="D37" s="30">
        <f t="shared" si="2"/>
        <v>45842</v>
      </c>
    </row>
    <row r="38" spans="1:4">
      <c r="A38" s="29" t="s">
        <v>90</v>
      </c>
      <c r="B38" s="30">
        <v>45756</v>
      </c>
      <c r="C38" s="30">
        <f t="shared" si="3"/>
        <v>45800</v>
      </c>
      <c r="D38" s="30">
        <f t="shared" si="2"/>
        <v>45844</v>
      </c>
    </row>
    <row r="39" spans="1:4">
      <c r="A39" s="29" t="s">
        <v>93</v>
      </c>
      <c r="B39" s="30">
        <v>45757</v>
      </c>
      <c r="C39" s="30">
        <f t="shared" si="3"/>
        <v>45801</v>
      </c>
      <c r="D39" s="30">
        <f t="shared" si="2"/>
        <v>45845</v>
      </c>
    </row>
    <row r="40" spans="1:4">
      <c r="A40" s="29" t="s">
        <v>96</v>
      </c>
      <c r="B40" s="30">
        <v>45761</v>
      </c>
      <c r="C40" s="30">
        <f t="shared" si="3"/>
        <v>45805</v>
      </c>
      <c r="D40" s="30">
        <f t="shared" si="2"/>
        <v>45849</v>
      </c>
    </row>
    <row r="41" spans="1:4" ht="13.9" customHeight="1">
      <c r="A41" s="29" t="s">
        <v>106</v>
      </c>
      <c r="B41" s="30">
        <v>45762</v>
      </c>
      <c r="C41" s="30">
        <f t="shared" si="3"/>
        <v>45806</v>
      </c>
      <c r="D41" s="30">
        <f t="shared" si="2"/>
        <v>45850</v>
      </c>
    </row>
    <row r="42" spans="1:4">
      <c r="A42" s="29" t="s">
        <v>118</v>
      </c>
      <c r="B42" s="30">
        <v>45803</v>
      </c>
      <c r="C42" s="30">
        <f t="shared" ref="C42:C103" si="5">B42+14</f>
        <v>45817</v>
      </c>
      <c r="D42" s="30">
        <f t="shared" si="2"/>
        <v>45861</v>
      </c>
    </row>
    <row r="43" spans="1:4">
      <c r="A43" s="50" t="s">
        <v>123</v>
      </c>
      <c r="B43" s="30">
        <v>45813</v>
      </c>
      <c r="C43" s="30">
        <f t="shared" si="5"/>
        <v>45827</v>
      </c>
      <c r="D43" s="30">
        <f t="shared" ref="D43:D74" si="6">C43+44</f>
        <v>45871</v>
      </c>
    </row>
    <row r="44" spans="1:4">
      <c r="A44" s="39" t="s">
        <v>125</v>
      </c>
      <c r="B44" s="30">
        <v>45817</v>
      </c>
      <c r="C44" s="30">
        <f t="shared" si="5"/>
        <v>45831</v>
      </c>
      <c r="D44" s="30">
        <f t="shared" si="6"/>
        <v>45875</v>
      </c>
    </row>
    <row r="45" spans="1:4">
      <c r="A45" s="39" t="s">
        <v>128</v>
      </c>
      <c r="B45" s="30">
        <v>45817</v>
      </c>
      <c r="C45" s="30">
        <f t="shared" si="5"/>
        <v>45831</v>
      </c>
      <c r="D45" s="30">
        <f t="shared" si="6"/>
        <v>45875</v>
      </c>
    </row>
    <row r="46" spans="1:4">
      <c r="A46" s="29" t="s">
        <v>132</v>
      </c>
      <c r="B46" s="30">
        <v>45817</v>
      </c>
      <c r="C46" s="30">
        <f t="shared" si="5"/>
        <v>45831</v>
      </c>
      <c r="D46" s="30">
        <f t="shared" si="6"/>
        <v>45875</v>
      </c>
    </row>
    <row r="47" spans="1:4">
      <c r="A47" s="29" t="s">
        <v>139</v>
      </c>
      <c r="B47" s="30">
        <v>45824</v>
      </c>
      <c r="C47" s="30">
        <f t="shared" si="5"/>
        <v>45838</v>
      </c>
      <c r="D47" s="30">
        <f t="shared" si="6"/>
        <v>45882</v>
      </c>
    </row>
    <row r="48" spans="1:4">
      <c r="A48" s="29" t="s">
        <v>49</v>
      </c>
      <c r="B48" s="30">
        <v>45839</v>
      </c>
      <c r="C48" s="30">
        <f t="shared" si="5"/>
        <v>45853</v>
      </c>
      <c r="D48" s="30">
        <f t="shared" si="6"/>
        <v>45897</v>
      </c>
    </row>
    <row r="49" spans="1:4">
      <c r="A49" s="29" t="s">
        <v>145</v>
      </c>
      <c r="B49" s="30">
        <v>45841</v>
      </c>
      <c r="C49" s="30">
        <f t="shared" si="5"/>
        <v>45855</v>
      </c>
      <c r="D49" s="30">
        <f t="shared" si="6"/>
        <v>45899</v>
      </c>
    </row>
    <row r="50" spans="1:4">
      <c r="A50" s="36" t="s">
        <v>147</v>
      </c>
      <c r="B50" s="37">
        <v>45841</v>
      </c>
      <c r="C50" s="37">
        <f t="shared" si="5"/>
        <v>45855</v>
      </c>
      <c r="D50" s="37">
        <f t="shared" si="6"/>
        <v>45899</v>
      </c>
    </row>
    <row r="51" spans="1:4">
      <c r="A51" s="29" t="s">
        <v>149</v>
      </c>
      <c r="B51" s="30">
        <v>45841</v>
      </c>
      <c r="C51" s="30">
        <f t="shared" si="5"/>
        <v>45855</v>
      </c>
      <c r="D51" s="30">
        <f t="shared" si="6"/>
        <v>45899</v>
      </c>
    </row>
    <row r="52" spans="1:4">
      <c r="A52" s="29" t="s">
        <v>151</v>
      </c>
      <c r="B52" s="30">
        <v>45845</v>
      </c>
      <c r="C52" s="30">
        <f t="shared" si="5"/>
        <v>45859</v>
      </c>
      <c r="D52" s="30">
        <f t="shared" si="6"/>
        <v>45903</v>
      </c>
    </row>
    <row r="53" spans="1:4">
      <c r="A53" s="29" t="s">
        <v>153</v>
      </c>
      <c r="B53" s="30">
        <v>45845</v>
      </c>
      <c r="C53" s="30">
        <f t="shared" si="5"/>
        <v>45859</v>
      </c>
      <c r="D53" s="30">
        <f t="shared" si="6"/>
        <v>45903</v>
      </c>
    </row>
    <row r="54" spans="1:4">
      <c r="A54" s="29" t="s">
        <v>158</v>
      </c>
      <c r="B54" s="30">
        <v>45855</v>
      </c>
      <c r="C54" s="30">
        <f t="shared" si="5"/>
        <v>45869</v>
      </c>
      <c r="D54" s="30">
        <f t="shared" si="6"/>
        <v>45913</v>
      </c>
    </row>
    <row r="55" spans="1:4">
      <c r="A55" s="29" t="s">
        <v>161</v>
      </c>
      <c r="B55" s="30">
        <v>45855</v>
      </c>
      <c r="C55" s="30">
        <f t="shared" si="5"/>
        <v>45869</v>
      </c>
      <c r="D55" s="30">
        <f t="shared" si="6"/>
        <v>45913</v>
      </c>
    </row>
    <row r="56" spans="1:4">
      <c r="A56" s="52" t="s">
        <v>163</v>
      </c>
      <c r="B56" s="30">
        <v>45866</v>
      </c>
      <c r="C56" s="30">
        <f t="shared" si="5"/>
        <v>45880</v>
      </c>
      <c r="D56" s="30">
        <f t="shared" si="6"/>
        <v>45924</v>
      </c>
    </row>
    <row r="57" spans="1:4">
      <c r="A57" s="54" t="s">
        <v>167</v>
      </c>
      <c r="B57" s="30">
        <v>45866</v>
      </c>
      <c r="C57" s="30">
        <f t="shared" si="5"/>
        <v>45880</v>
      </c>
      <c r="D57" s="30">
        <f t="shared" si="6"/>
        <v>45924</v>
      </c>
    </row>
    <row r="58" spans="1:4">
      <c r="A58" s="55" t="s">
        <v>169</v>
      </c>
      <c r="B58" s="30">
        <v>45877</v>
      </c>
      <c r="C58" s="30">
        <f t="shared" si="5"/>
        <v>45891</v>
      </c>
      <c r="D58" s="30">
        <f t="shared" si="6"/>
        <v>45935</v>
      </c>
    </row>
    <row r="59" spans="1:4">
      <c r="A59" s="29" t="s">
        <v>172</v>
      </c>
      <c r="B59" s="30">
        <v>45877</v>
      </c>
      <c r="C59" s="30">
        <f t="shared" si="5"/>
        <v>45891</v>
      </c>
      <c r="D59" s="30">
        <f t="shared" si="6"/>
        <v>45935</v>
      </c>
    </row>
    <row r="60" spans="1:4">
      <c r="A60" s="29" t="s">
        <v>174</v>
      </c>
      <c r="B60" s="30">
        <v>45884</v>
      </c>
      <c r="C60" s="30">
        <f t="shared" si="5"/>
        <v>45898</v>
      </c>
      <c r="D60" s="30">
        <f t="shared" si="6"/>
        <v>45942</v>
      </c>
    </row>
    <row r="61" spans="1:4">
      <c r="A61" s="45" t="s">
        <v>178</v>
      </c>
      <c r="B61" s="30">
        <v>45901</v>
      </c>
      <c r="C61" s="30">
        <f t="shared" si="5"/>
        <v>45915</v>
      </c>
      <c r="D61" s="30">
        <f t="shared" si="6"/>
        <v>45959</v>
      </c>
    </row>
    <row r="62" spans="1:4">
      <c r="A62" s="32" t="s">
        <v>180</v>
      </c>
      <c r="B62" s="30">
        <v>45901</v>
      </c>
      <c r="C62" s="30">
        <f t="shared" si="5"/>
        <v>45915</v>
      </c>
      <c r="D62" s="30">
        <f t="shared" si="6"/>
        <v>45959</v>
      </c>
    </row>
    <row r="63" spans="1:4">
      <c r="A63" s="29" t="s">
        <v>182</v>
      </c>
      <c r="B63" s="30">
        <v>45910</v>
      </c>
      <c r="C63" s="30">
        <f t="shared" si="5"/>
        <v>45924</v>
      </c>
      <c r="D63" s="30">
        <f t="shared" si="6"/>
        <v>45968</v>
      </c>
    </row>
    <row r="64" spans="1:4">
      <c r="A64" s="29" t="s">
        <v>184</v>
      </c>
      <c r="B64" s="30">
        <v>45923</v>
      </c>
      <c r="C64" s="30">
        <f t="shared" si="5"/>
        <v>45937</v>
      </c>
      <c r="D64" s="30">
        <f t="shared" si="6"/>
        <v>45981</v>
      </c>
    </row>
    <row r="65" spans="1:4">
      <c r="A65" s="29" t="s">
        <v>189</v>
      </c>
      <c r="B65" s="30">
        <v>45944</v>
      </c>
      <c r="C65" s="30">
        <f t="shared" si="5"/>
        <v>45958</v>
      </c>
      <c r="D65" s="30">
        <f t="shared" si="6"/>
        <v>46002</v>
      </c>
    </row>
    <row r="66" spans="1:4">
      <c r="A66" s="29" t="s">
        <v>191</v>
      </c>
      <c r="B66" s="30">
        <v>45944</v>
      </c>
      <c r="C66" s="30">
        <f t="shared" si="5"/>
        <v>45958</v>
      </c>
      <c r="D66" s="30">
        <f t="shared" si="6"/>
        <v>46002</v>
      </c>
    </row>
    <row r="67" spans="1:4">
      <c r="A67" s="29" t="s">
        <v>193</v>
      </c>
      <c r="B67" s="30">
        <v>45944</v>
      </c>
      <c r="C67" s="30">
        <f t="shared" si="5"/>
        <v>45958</v>
      </c>
      <c r="D67" s="30">
        <f t="shared" si="6"/>
        <v>46002</v>
      </c>
    </row>
    <row r="68" spans="1:4">
      <c r="A68" s="29" t="s">
        <v>195</v>
      </c>
      <c r="B68" s="30">
        <v>45944</v>
      </c>
      <c r="C68" s="30">
        <f t="shared" si="5"/>
        <v>45958</v>
      </c>
      <c r="D68" s="30">
        <f t="shared" si="6"/>
        <v>46002</v>
      </c>
    </row>
    <row r="69" spans="1:4">
      <c r="A69" s="29" t="s">
        <v>197</v>
      </c>
      <c r="B69" s="30">
        <v>45951</v>
      </c>
      <c r="C69" s="30">
        <f t="shared" si="5"/>
        <v>45965</v>
      </c>
      <c r="D69" s="30">
        <f t="shared" si="6"/>
        <v>46009</v>
      </c>
    </row>
    <row r="70" spans="1:4">
      <c r="A70" s="39" t="s">
        <v>199</v>
      </c>
      <c r="B70" s="30">
        <v>45951</v>
      </c>
      <c r="C70" s="30">
        <f t="shared" si="5"/>
        <v>45965</v>
      </c>
      <c r="D70" s="30">
        <f t="shared" si="6"/>
        <v>46009</v>
      </c>
    </row>
    <row r="71" spans="1:4">
      <c r="A71" s="39" t="s">
        <v>201</v>
      </c>
      <c r="B71" s="30">
        <v>45953</v>
      </c>
      <c r="C71" s="30">
        <f t="shared" si="5"/>
        <v>45967</v>
      </c>
      <c r="D71" s="30">
        <f t="shared" si="6"/>
        <v>46011</v>
      </c>
    </row>
    <row r="72" spans="1:4">
      <c r="A72" s="29" t="s">
        <v>204</v>
      </c>
      <c r="B72" s="30">
        <v>45958</v>
      </c>
      <c r="C72" s="30">
        <f t="shared" si="5"/>
        <v>45972</v>
      </c>
      <c r="D72" s="42">
        <f t="shared" si="6"/>
        <v>46016</v>
      </c>
    </row>
    <row r="73" spans="1:4">
      <c r="A73" s="39" t="s">
        <v>206</v>
      </c>
      <c r="B73" s="30">
        <v>45958</v>
      </c>
      <c r="C73" s="30">
        <f t="shared" si="5"/>
        <v>45972</v>
      </c>
      <c r="D73" s="42">
        <f t="shared" si="6"/>
        <v>46016</v>
      </c>
    </row>
    <row r="74" spans="1:4">
      <c r="A74" s="29" t="s">
        <v>208</v>
      </c>
      <c r="B74" s="30">
        <v>45965</v>
      </c>
      <c r="C74" s="30">
        <f t="shared" si="5"/>
        <v>45979</v>
      </c>
      <c r="D74" s="30">
        <f t="shared" si="6"/>
        <v>46023</v>
      </c>
    </row>
    <row r="75" spans="1:4">
      <c r="A75" s="32" t="s">
        <v>210</v>
      </c>
      <c r="B75" s="30">
        <v>45965</v>
      </c>
      <c r="C75" s="30">
        <f t="shared" si="5"/>
        <v>45979</v>
      </c>
      <c r="D75" s="30">
        <f t="shared" ref="D75:D103" si="7">C75+44</f>
        <v>46023</v>
      </c>
    </row>
    <row r="76" spans="1:4">
      <c r="A76" s="29" t="s">
        <v>212</v>
      </c>
      <c r="B76" s="30">
        <v>45973</v>
      </c>
      <c r="C76" s="30">
        <f t="shared" si="5"/>
        <v>45987</v>
      </c>
      <c r="D76" s="30">
        <f t="shared" si="7"/>
        <v>46031</v>
      </c>
    </row>
    <row r="77" spans="1:4">
      <c r="A77" s="29" t="s">
        <v>214</v>
      </c>
      <c r="B77" s="30">
        <v>45973</v>
      </c>
      <c r="C77" s="30">
        <f t="shared" si="5"/>
        <v>45987</v>
      </c>
      <c r="D77" s="30">
        <f t="shared" si="7"/>
        <v>46031</v>
      </c>
    </row>
    <row r="78" spans="1:4">
      <c r="A78" s="29" t="s">
        <v>216</v>
      </c>
      <c r="B78" s="30">
        <v>45979</v>
      </c>
      <c r="C78" s="30">
        <f t="shared" si="5"/>
        <v>45993</v>
      </c>
      <c r="D78" s="30">
        <f t="shared" si="7"/>
        <v>46037</v>
      </c>
    </row>
    <row r="79" spans="1:4">
      <c r="A79" s="39" t="s">
        <v>218</v>
      </c>
      <c r="B79" s="30">
        <v>46034</v>
      </c>
      <c r="C79" s="30">
        <f t="shared" si="5"/>
        <v>46048</v>
      </c>
      <c r="D79" s="30">
        <f t="shared" si="7"/>
        <v>46092</v>
      </c>
    </row>
    <row r="80" spans="1:4">
      <c r="A80" s="39" t="s">
        <v>222</v>
      </c>
      <c r="B80" s="42">
        <v>46042</v>
      </c>
      <c r="C80" s="30">
        <f t="shared" si="5"/>
        <v>46056</v>
      </c>
      <c r="D80" s="30">
        <f t="shared" si="7"/>
        <v>46100</v>
      </c>
    </row>
    <row r="81" spans="1:4">
      <c r="A81" s="29" t="s">
        <v>224</v>
      </c>
      <c r="B81" s="30">
        <v>45679</v>
      </c>
      <c r="C81" s="30">
        <f t="shared" si="5"/>
        <v>45693</v>
      </c>
      <c r="D81" s="30">
        <f t="shared" si="7"/>
        <v>45737</v>
      </c>
    </row>
    <row r="82" spans="1:4">
      <c r="A82" s="48" t="s">
        <v>227</v>
      </c>
      <c r="B82" s="37">
        <v>45683</v>
      </c>
      <c r="C82" s="37">
        <f t="shared" si="5"/>
        <v>45697</v>
      </c>
      <c r="D82" s="37">
        <f t="shared" si="7"/>
        <v>45741</v>
      </c>
    </row>
    <row r="83" spans="1:4">
      <c r="A83" s="29" t="s">
        <v>229</v>
      </c>
      <c r="B83" s="30">
        <v>46065</v>
      </c>
      <c r="C83" s="30">
        <f t="shared" si="5"/>
        <v>46079</v>
      </c>
      <c r="D83" s="30">
        <f t="shared" si="7"/>
        <v>46123</v>
      </c>
    </row>
    <row r="84" spans="1:4">
      <c r="A84" s="58" t="s">
        <v>231</v>
      </c>
      <c r="B84" s="30">
        <v>46065</v>
      </c>
      <c r="C84" s="30">
        <f t="shared" si="5"/>
        <v>46079</v>
      </c>
      <c r="D84" s="30">
        <f t="shared" si="7"/>
        <v>46123</v>
      </c>
    </row>
    <row r="85" spans="1:4">
      <c r="A85" s="29" t="s">
        <v>234</v>
      </c>
      <c r="B85" s="30">
        <v>46065</v>
      </c>
      <c r="C85" s="30">
        <f t="shared" si="5"/>
        <v>46079</v>
      </c>
      <c r="D85" s="30">
        <f t="shared" si="7"/>
        <v>46123</v>
      </c>
    </row>
    <row r="86" spans="1:4">
      <c r="A86" s="36" t="s">
        <v>240</v>
      </c>
      <c r="B86" s="37">
        <v>46084</v>
      </c>
      <c r="C86" s="37">
        <f t="shared" si="5"/>
        <v>46098</v>
      </c>
      <c r="D86" s="37">
        <f t="shared" si="7"/>
        <v>46142</v>
      </c>
    </row>
    <row r="87" spans="1:4">
      <c r="A87" s="36" t="s">
        <v>243</v>
      </c>
      <c r="B87" s="37">
        <v>46084</v>
      </c>
      <c r="C87" s="37">
        <f t="shared" si="5"/>
        <v>46098</v>
      </c>
      <c r="D87" s="37">
        <f t="shared" si="7"/>
        <v>46142</v>
      </c>
    </row>
    <row r="88" spans="1:4">
      <c r="A88" s="154" t="s">
        <v>245</v>
      </c>
      <c r="B88" s="138">
        <v>46090</v>
      </c>
      <c r="C88" s="138">
        <f t="shared" si="5"/>
        <v>46104</v>
      </c>
      <c r="D88" s="138">
        <f t="shared" si="7"/>
        <v>46148</v>
      </c>
    </row>
    <row r="89" spans="1:4">
      <c r="A89" s="68" t="s">
        <v>247</v>
      </c>
      <c r="B89" s="37">
        <v>46090</v>
      </c>
      <c r="C89" s="37">
        <f t="shared" si="5"/>
        <v>46104</v>
      </c>
      <c r="D89" s="37">
        <f t="shared" si="7"/>
        <v>46148</v>
      </c>
    </row>
    <row r="90" spans="1:4">
      <c r="A90" s="155" t="s">
        <v>250</v>
      </c>
      <c r="B90" s="138">
        <v>46093</v>
      </c>
      <c r="C90" s="138">
        <f t="shared" si="5"/>
        <v>46107</v>
      </c>
      <c r="D90" s="138">
        <f t="shared" si="7"/>
        <v>46151</v>
      </c>
    </row>
    <row r="91" spans="1:4">
      <c r="A91" s="69" t="s">
        <v>252</v>
      </c>
      <c r="B91" s="37">
        <v>46093</v>
      </c>
      <c r="C91" s="37">
        <f t="shared" si="5"/>
        <v>46107</v>
      </c>
      <c r="D91" s="37">
        <f t="shared" si="7"/>
        <v>46151</v>
      </c>
    </row>
    <row r="92" spans="1:4">
      <c r="A92" s="40" t="s">
        <v>254</v>
      </c>
      <c r="B92" s="37">
        <v>46097</v>
      </c>
      <c r="C92" s="37">
        <f t="shared" si="5"/>
        <v>46111</v>
      </c>
      <c r="D92" s="37">
        <f t="shared" si="7"/>
        <v>46155</v>
      </c>
    </row>
    <row r="93" spans="1:4">
      <c r="A93" s="153" t="s">
        <v>256</v>
      </c>
      <c r="B93" s="138">
        <v>46097</v>
      </c>
      <c r="C93" s="138">
        <f t="shared" si="5"/>
        <v>46111</v>
      </c>
      <c r="D93" s="138">
        <f t="shared" si="7"/>
        <v>46155</v>
      </c>
    </row>
    <row r="94" spans="1:4">
      <c r="A94" s="153" t="s">
        <v>260</v>
      </c>
      <c r="B94" s="138">
        <v>46097</v>
      </c>
      <c r="C94" s="138">
        <f t="shared" si="5"/>
        <v>46111</v>
      </c>
      <c r="D94" s="138">
        <f t="shared" si="7"/>
        <v>46155</v>
      </c>
    </row>
    <row r="95" spans="1:4">
      <c r="A95" s="153" t="s">
        <v>262</v>
      </c>
      <c r="B95" s="138">
        <v>46097</v>
      </c>
      <c r="C95" s="138">
        <f t="shared" si="5"/>
        <v>46111</v>
      </c>
      <c r="D95" s="138">
        <f t="shared" si="7"/>
        <v>46155</v>
      </c>
    </row>
    <row r="96" spans="1:4">
      <c r="A96" s="153" t="s">
        <v>263</v>
      </c>
      <c r="B96" s="138">
        <v>46097</v>
      </c>
      <c r="C96" s="138">
        <f t="shared" si="5"/>
        <v>46111</v>
      </c>
      <c r="D96" s="138">
        <f t="shared" si="7"/>
        <v>46155</v>
      </c>
    </row>
    <row r="97" spans="1:4">
      <c r="A97" s="153" t="s">
        <v>348</v>
      </c>
      <c r="B97" s="138">
        <v>46097</v>
      </c>
      <c r="C97" s="138">
        <f t="shared" si="5"/>
        <v>46111</v>
      </c>
      <c r="D97" s="138">
        <f t="shared" si="7"/>
        <v>46155</v>
      </c>
    </row>
    <row r="98" spans="1:4">
      <c r="A98" s="153" t="s">
        <v>267</v>
      </c>
      <c r="B98" s="138">
        <v>46098</v>
      </c>
      <c r="C98" s="138">
        <f t="shared" si="5"/>
        <v>46112</v>
      </c>
      <c r="D98" s="138">
        <f t="shared" si="7"/>
        <v>46156</v>
      </c>
    </row>
    <row r="99" spans="1:4">
      <c r="A99" s="153" t="s">
        <v>349</v>
      </c>
      <c r="B99" s="138">
        <v>46099</v>
      </c>
      <c r="C99" s="138">
        <f t="shared" si="5"/>
        <v>46113</v>
      </c>
      <c r="D99" s="138">
        <f t="shared" si="7"/>
        <v>46157</v>
      </c>
    </row>
    <row r="100" spans="1:4">
      <c r="A100" s="153" t="s">
        <v>272</v>
      </c>
      <c r="B100" s="138">
        <v>46120</v>
      </c>
      <c r="C100" s="138">
        <f t="shared" si="5"/>
        <v>46134</v>
      </c>
      <c r="D100" s="138">
        <f t="shared" si="7"/>
        <v>46178</v>
      </c>
    </row>
    <row r="101" spans="1:4">
      <c r="A101" s="153" t="s">
        <v>275</v>
      </c>
      <c r="B101" s="138">
        <v>46120</v>
      </c>
      <c r="C101" s="138">
        <f t="shared" si="5"/>
        <v>46134</v>
      </c>
      <c r="D101" s="138">
        <f t="shared" si="7"/>
        <v>46178</v>
      </c>
    </row>
    <row r="102" spans="1:4">
      <c r="A102" s="63" t="s">
        <v>278</v>
      </c>
      <c r="B102" s="60">
        <v>46120</v>
      </c>
      <c r="C102" s="60">
        <f t="shared" si="5"/>
        <v>46134</v>
      </c>
      <c r="D102" s="60">
        <f t="shared" si="7"/>
        <v>46178</v>
      </c>
    </row>
    <row r="103" spans="1:4">
      <c r="A103" s="156" t="s">
        <v>281</v>
      </c>
      <c r="B103" s="157">
        <v>46120</v>
      </c>
      <c r="C103" s="157">
        <f t="shared" si="5"/>
        <v>46134</v>
      </c>
      <c r="D103" s="157">
        <f t="shared" si="7"/>
        <v>46178</v>
      </c>
    </row>
    <row r="104" spans="1:4">
      <c r="A104" s="153" t="s">
        <v>284</v>
      </c>
      <c r="B104" s="138">
        <v>46127</v>
      </c>
      <c r="C104" s="138">
        <v>46141</v>
      </c>
      <c r="D104" s="138">
        <v>46186</v>
      </c>
    </row>
    <row r="105" spans="1:4">
      <c r="A105" s="136" t="s">
        <v>287</v>
      </c>
      <c r="B105" s="138">
        <v>46129</v>
      </c>
      <c r="C105" s="138">
        <v>46143</v>
      </c>
      <c r="D105" s="138">
        <v>46188</v>
      </c>
    </row>
    <row r="106" spans="1:4">
      <c r="A106" s="136" t="s">
        <v>290</v>
      </c>
      <c r="B106" s="138">
        <v>46129</v>
      </c>
      <c r="C106" s="138">
        <v>46143</v>
      </c>
      <c r="D106" s="138">
        <v>46188</v>
      </c>
    </row>
    <row r="107" spans="1:4">
      <c r="A107" s="64" t="s">
        <v>293</v>
      </c>
      <c r="B107" s="60">
        <v>46129</v>
      </c>
      <c r="C107" s="60">
        <v>46143</v>
      </c>
      <c r="D107" s="60">
        <v>46188</v>
      </c>
    </row>
    <row r="108" spans="1:4">
      <c r="A108" s="65" t="s">
        <v>301</v>
      </c>
      <c r="B108" s="57">
        <v>46135</v>
      </c>
      <c r="C108" s="57">
        <v>46149</v>
      </c>
      <c r="D108" s="57">
        <v>46194</v>
      </c>
    </row>
    <row r="109" spans="1:4">
      <c r="A109" s="56" t="s">
        <v>307</v>
      </c>
      <c r="B109" s="57">
        <v>46141</v>
      </c>
      <c r="C109" s="57">
        <v>46155</v>
      </c>
      <c r="D109" s="57">
        <v>46200</v>
      </c>
    </row>
    <row r="110" spans="1:4">
      <c r="A110" s="56" t="s">
        <v>311</v>
      </c>
      <c r="B110" s="57">
        <v>46141</v>
      </c>
      <c r="C110" s="57">
        <v>46155</v>
      </c>
      <c r="D110" s="57">
        <v>46200</v>
      </c>
    </row>
    <row r="111" spans="1:4">
      <c r="A111" s="56" t="s">
        <v>313</v>
      </c>
      <c r="B111" s="57">
        <v>46141</v>
      </c>
      <c r="C111" s="57">
        <v>46155</v>
      </c>
      <c r="D111" s="57">
        <v>46200</v>
      </c>
    </row>
    <row r="112" spans="1:4">
      <c r="A112" s="56" t="s">
        <v>316</v>
      </c>
      <c r="B112" s="57">
        <v>46148</v>
      </c>
      <c r="C112" s="57">
        <v>46161</v>
      </c>
      <c r="D112" s="57">
        <v>46206</v>
      </c>
    </row>
    <row r="113" spans="1:4">
      <c r="A113" s="136" t="s">
        <v>318</v>
      </c>
      <c r="B113" s="138">
        <v>46155</v>
      </c>
      <c r="C113" s="138">
        <f>B113+14</f>
        <v>46169</v>
      </c>
      <c r="D113" s="138">
        <f t="shared" ref="D113:D124" si="8">C113+44</f>
        <v>46213</v>
      </c>
    </row>
    <row r="114" spans="1:4">
      <c r="A114" s="136" t="s">
        <v>320</v>
      </c>
      <c r="B114" s="138">
        <v>46162</v>
      </c>
      <c r="C114" s="138">
        <f t="shared" ref="C114:C163" si="9">B114+14</f>
        <v>46176</v>
      </c>
      <c r="D114" s="138">
        <f t="shared" si="8"/>
        <v>46220</v>
      </c>
    </row>
    <row r="115" spans="1:4">
      <c r="A115" s="136" t="s">
        <v>709</v>
      </c>
      <c r="B115" s="138">
        <v>46162</v>
      </c>
      <c r="C115" s="138">
        <f t="shared" si="9"/>
        <v>46176</v>
      </c>
      <c r="D115" s="138">
        <f t="shared" si="8"/>
        <v>46220</v>
      </c>
    </row>
    <row r="116" spans="1:4">
      <c r="A116" s="136" t="s">
        <v>708</v>
      </c>
      <c r="B116" s="138">
        <v>46162</v>
      </c>
      <c r="C116" s="138">
        <f t="shared" si="9"/>
        <v>46176</v>
      </c>
      <c r="D116" s="138">
        <f t="shared" si="8"/>
        <v>46220</v>
      </c>
    </row>
    <row r="117" spans="1:4">
      <c r="A117" s="136" t="s">
        <v>718</v>
      </c>
      <c r="B117" s="138">
        <v>46169</v>
      </c>
      <c r="C117" s="138">
        <f t="shared" si="9"/>
        <v>46183</v>
      </c>
      <c r="D117" s="138">
        <f t="shared" si="8"/>
        <v>46227</v>
      </c>
    </row>
    <row r="118" spans="1:4">
      <c r="A118" s="136" t="s">
        <v>717</v>
      </c>
      <c r="B118" s="138">
        <v>46176</v>
      </c>
      <c r="C118" s="138">
        <f t="shared" si="9"/>
        <v>46190</v>
      </c>
      <c r="D118" s="138">
        <f t="shared" si="8"/>
        <v>46234</v>
      </c>
    </row>
    <row r="119" spans="1:4">
      <c r="A119" s="153" t="s">
        <v>731</v>
      </c>
      <c r="B119" s="138">
        <v>46185</v>
      </c>
      <c r="C119" s="138">
        <f t="shared" si="9"/>
        <v>46199</v>
      </c>
      <c r="D119" s="138">
        <f t="shared" si="8"/>
        <v>46243</v>
      </c>
    </row>
    <row r="120" spans="1:4">
      <c r="A120" s="153" t="s">
        <v>725</v>
      </c>
      <c r="B120" s="138">
        <v>46188</v>
      </c>
      <c r="C120" s="138">
        <f t="shared" si="9"/>
        <v>46202</v>
      </c>
      <c r="D120" s="138">
        <f t="shared" si="8"/>
        <v>46246</v>
      </c>
    </row>
    <row r="121" spans="1:4">
      <c r="A121" s="136" t="s">
        <v>726</v>
      </c>
      <c r="B121" s="138">
        <v>46188</v>
      </c>
      <c r="C121" s="138">
        <f t="shared" si="9"/>
        <v>46202</v>
      </c>
      <c r="D121" s="138">
        <f t="shared" si="8"/>
        <v>46246</v>
      </c>
    </row>
    <row r="122" spans="1:4">
      <c r="A122" s="136" t="s">
        <v>727</v>
      </c>
      <c r="B122" s="138">
        <v>46188</v>
      </c>
      <c r="C122" s="138">
        <f t="shared" si="9"/>
        <v>46202</v>
      </c>
      <c r="D122" s="138">
        <f t="shared" si="8"/>
        <v>46246</v>
      </c>
    </row>
    <row r="123" spans="1:4">
      <c r="A123" s="136" t="s">
        <v>728</v>
      </c>
      <c r="B123" s="138">
        <v>46189</v>
      </c>
      <c r="C123" s="138">
        <f t="shared" si="9"/>
        <v>46203</v>
      </c>
      <c r="D123" s="138">
        <f t="shared" si="8"/>
        <v>46247</v>
      </c>
    </row>
    <row r="124" spans="1:4">
      <c r="A124" s="136" t="s">
        <v>729</v>
      </c>
      <c r="B124" s="138">
        <v>46189</v>
      </c>
      <c r="C124" s="138">
        <f t="shared" si="9"/>
        <v>46203</v>
      </c>
      <c r="D124" s="138">
        <f t="shared" si="8"/>
        <v>46247</v>
      </c>
    </row>
    <row r="125" spans="1:4">
      <c r="A125" s="136" t="s">
        <v>730</v>
      </c>
      <c r="B125" s="138">
        <v>46189</v>
      </c>
      <c r="C125" s="138">
        <f t="shared" si="9"/>
        <v>46203</v>
      </c>
      <c r="D125" s="138">
        <f>B125+59</f>
        <v>46248</v>
      </c>
    </row>
    <row r="126" spans="1:4">
      <c r="A126" s="251" t="s">
        <v>744</v>
      </c>
      <c r="B126" s="138">
        <v>46203</v>
      </c>
      <c r="C126" s="138">
        <f t="shared" si="9"/>
        <v>46217</v>
      </c>
      <c r="D126" s="138">
        <f t="shared" ref="D126:D163" si="10">B126+59</f>
        <v>46262</v>
      </c>
    </row>
    <row r="127" spans="1:4" ht="15.75">
      <c r="A127" s="252" t="s">
        <v>746</v>
      </c>
      <c r="B127" s="138">
        <v>46204</v>
      </c>
      <c r="C127" s="138">
        <f t="shared" si="9"/>
        <v>46218</v>
      </c>
      <c r="D127" s="138">
        <f t="shared" si="10"/>
        <v>46263</v>
      </c>
    </row>
    <row r="128" spans="1:4">
      <c r="A128" s="251" t="s">
        <v>749</v>
      </c>
      <c r="B128" s="138">
        <v>46210</v>
      </c>
      <c r="C128" s="138">
        <f t="shared" si="9"/>
        <v>46224</v>
      </c>
      <c r="D128" s="138">
        <f t="shared" si="10"/>
        <v>46269</v>
      </c>
    </row>
    <row r="129" spans="1:4">
      <c r="A129" s="251" t="s">
        <v>751</v>
      </c>
      <c r="B129" s="138">
        <v>46210</v>
      </c>
      <c r="C129" s="138">
        <f t="shared" si="9"/>
        <v>46224</v>
      </c>
      <c r="D129" s="138">
        <f t="shared" si="10"/>
        <v>46269</v>
      </c>
    </row>
    <row r="130" spans="1:4">
      <c r="A130" s="251" t="s">
        <v>752</v>
      </c>
      <c r="B130" s="138">
        <v>46210</v>
      </c>
      <c r="C130" s="138">
        <f t="shared" si="9"/>
        <v>46224</v>
      </c>
      <c r="D130" s="138">
        <f t="shared" si="10"/>
        <v>46269</v>
      </c>
    </row>
    <row r="131" spans="1:4">
      <c r="A131" s="251" t="s">
        <v>754</v>
      </c>
      <c r="B131" s="138">
        <v>46210</v>
      </c>
      <c r="C131" s="138">
        <f t="shared" si="9"/>
        <v>46224</v>
      </c>
      <c r="D131" s="138">
        <f t="shared" si="10"/>
        <v>46269</v>
      </c>
    </row>
    <row r="132" spans="1:4">
      <c r="A132" s="251" t="s">
        <v>757</v>
      </c>
      <c r="B132" s="138">
        <v>46210</v>
      </c>
      <c r="C132" s="138">
        <f t="shared" si="9"/>
        <v>46224</v>
      </c>
      <c r="D132" s="138">
        <f t="shared" si="10"/>
        <v>46269</v>
      </c>
    </row>
    <row r="133" spans="1:4">
      <c r="A133" s="251" t="s">
        <v>770</v>
      </c>
      <c r="B133" s="138">
        <v>46218</v>
      </c>
      <c r="C133" s="138">
        <f t="shared" si="9"/>
        <v>46232</v>
      </c>
      <c r="D133" s="138">
        <f t="shared" si="10"/>
        <v>46277</v>
      </c>
    </row>
    <row r="134" spans="1:4">
      <c r="A134" s="136" t="s">
        <v>772</v>
      </c>
      <c r="B134" s="138">
        <v>46218</v>
      </c>
      <c r="C134" s="138">
        <f t="shared" si="9"/>
        <v>46232</v>
      </c>
      <c r="D134" s="138">
        <f t="shared" si="10"/>
        <v>46277</v>
      </c>
    </row>
    <row r="135" spans="1:4">
      <c r="A135" s="136" t="s">
        <v>890</v>
      </c>
      <c r="B135" s="138">
        <v>46230</v>
      </c>
      <c r="C135" s="138">
        <f t="shared" si="9"/>
        <v>46244</v>
      </c>
      <c r="D135" s="138">
        <f t="shared" si="10"/>
        <v>46289</v>
      </c>
    </row>
    <row r="136" spans="1:4">
      <c r="A136" s="136" t="s">
        <v>893</v>
      </c>
      <c r="B136" s="138">
        <v>46230</v>
      </c>
      <c r="C136" s="138">
        <f t="shared" si="9"/>
        <v>46244</v>
      </c>
      <c r="D136" s="138">
        <f>B136+59</f>
        <v>46289</v>
      </c>
    </row>
    <row r="137" spans="1:4">
      <c r="A137" s="359" t="s">
        <v>912</v>
      </c>
      <c r="B137" s="138">
        <v>46237</v>
      </c>
      <c r="C137" s="138">
        <f t="shared" si="9"/>
        <v>46251</v>
      </c>
      <c r="D137" s="138">
        <f t="shared" si="10"/>
        <v>46296</v>
      </c>
    </row>
    <row r="138" spans="1:4">
      <c r="A138" s="136" t="s">
        <v>915</v>
      </c>
      <c r="B138" s="138">
        <v>46237</v>
      </c>
      <c r="C138" s="138">
        <f t="shared" si="9"/>
        <v>46251</v>
      </c>
      <c r="D138" s="138">
        <f t="shared" si="10"/>
        <v>46296</v>
      </c>
    </row>
    <row r="139" spans="1:4">
      <c r="A139" s="360" t="s">
        <v>917</v>
      </c>
      <c r="B139" s="138">
        <v>46237</v>
      </c>
      <c r="C139" s="138">
        <f t="shared" si="9"/>
        <v>46251</v>
      </c>
      <c r="D139" s="138">
        <f t="shared" si="10"/>
        <v>46296</v>
      </c>
    </row>
    <row r="140" spans="1:4">
      <c r="A140" s="361" t="s">
        <v>983</v>
      </c>
      <c r="B140" s="138">
        <v>46240</v>
      </c>
      <c r="C140" s="138">
        <f t="shared" si="9"/>
        <v>46254</v>
      </c>
      <c r="D140" s="138">
        <f t="shared" si="10"/>
        <v>46299</v>
      </c>
    </row>
    <row r="141" spans="1:4">
      <c r="A141" s="362" t="s">
        <v>933</v>
      </c>
      <c r="B141" s="138">
        <v>46240</v>
      </c>
      <c r="C141" s="138">
        <f t="shared" si="9"/>
        <v>46254</v>
      </c>
      <c r="D141" s="138">
        <f t="shared" si="10"/>
        <v>46299</v>
      </c>
    </row>
    <row r="142" spans="1:4">
      <c r="A142" s="363" t="s">
        <v>936</v>
      </c>
      <c r="B142" s="138">
        <v>46240</v>
      </c>
      <c r="C142" s="138">
        <f t="shared" si="9"/>
        <v>46254</v>
      </c>
      <c r="D142" s="138">
        <f t="shared" si="10"/>
        <v>46299</v>
      </c>
    </row>
    <row r="143" spans="1:4">
      <c r="A143" s="11" t="s">
        <v>928</v>
      </c>
      <c r="B143" s="7">
        <v>46245</v>
      </c>
      <c r="C143" s="7">
        <f t="shared" si="9"/>
        <v>46259</v>
      </c>
      <c r="D143" s="7">
        <f t="shared" si="10"/>
        <v>46304</v>
      </c>
    </row>
    <row r="144" spans="1:4">
      <c r="A144" s="11" t="s">
        <v>956</v>
      </c>
      <c r="B144" s="7">
        <v>46245</v>
      </c>
      <c r="C144" s="209">
        <f t="shared" si="9"/>
        <v>46259</v>
      </c>
      <c r="D144" s="7">
        <f t="shared" si="10"/>
        <v>46304</v>
      </c>
    </row>
    <row r="145" spans="1:4">
      <c r="A145" s="11" t="s">
        <v>959</v>
      </c>
      <c r="B145" s="7">
        <v>46247</v>
      </c>
      <c r="C145" s="209">
        <f t="shared" si="9"/>
        <v>46261</v>
      </c>
      <c r="D145" s="7">
        <f t="shared" si="10"/>
        <v>46306</v>
      </c>
    </row>
    <row r="146" spans="1:4">
      <c r="A146" s="11" t="s">
        <v>962</v>
      </c>
      <c r="B146" s="171">
        <v>46252</v>
      </c>
      <c r="C146" s="209">
        <f t="shared" si="9"/>
        <v>46266</v>
      </c>
      <c r="D146" s="7">
        <f t="shared" si="10"/>
        <v>46311</v>
      </c>
    </row>
    <row r="147" spans="1:4">
      <c r="A147" s="11" t="s">
        <v>964</v>
      </c>
      <c r="B147" s="7">
        <v>46252</v>
      </c>
      <c r="C147" s="209">
        <f t="shared" si="9"/>
        <v>46266</v>
      </c>
      <c r="D147" s="7">
        <f t="shared" si="10"/>
        <v>46311</v>
      </c>
    </row>
    <row r="148" spans="1:4">
      <c r="A148" s="143" t="s">
        <v>304</v>
      </c>
      <c r="B148" s="7">
        <v>46254</v>
      </c>
      <c r="C148" s="209">
        <f>B148+14</f>
        <v>46268</v>
      </c>
      <c r="D148" s="7">
        <f t="shared" si="10"/>
        <v>46313</v>
      </c>
    </row>
    <row r="149" spans="1:4">
      <c r="A149" s="11" t="s">
        <v>970</v>
      </c>
      <c r="B149" s="7">
        <v>46258</v>
      </c>
      <c r="C149" s="209">
        <f>B149+14</f>
        <v>46272</v>
      </c>
      <c r="D149" s="7">
        <f t="shared" si="10"/>
        <v>46317</v>
      </c>
    </row>
    <row r="150" spans="1:4">
      <c r="A150" s="11" t="s">
        <v>972</v>
      </c>
      <c r="B150" s="7">
        <v>46258</v>
      </c>
      <c r="C150" s="209">
        <f t="shared" si="9"/>
        <v>46272</v>
      </c>
      <c r="D150" s="7">
        <f t="shared" si="10"/>
        <v>46317</v>
      </c>
    </row>
    <row r="151" spans="1:4">
      <c r="A151" s="11" t="s">
        <v>975</v>
      </c>
      <c r="B151" s="7">
        <v>46258</v>
      </c>
      <c r="C151" s="209">
        <f t="shared" si="9"/>
        <v>46272</v>
      </c>
      <c r="D151" s="7">
        <f t="shared" si="10"/>
        <v>46317</v>
      </c>
    </row>
    <row r="152" spans="1:4">
      <c r="A152" s="11" t="s">
        <v>976</v>
      </c>
      <c r="B152" s="7">
        <v>46258</v>
      </c>
      <c r="C152" s="209">
        <f t="shared" si="9"/>
        <v>46272</v>
      </c>
      <c r="D152" s="7">
        <f t="shared" si="10"/>
        <v>46317</v>
      </c>
    </row>
    <row r="153" spans="1:4">
      <c r="A153" s="11" t="s">
        <v>980</v>
      </c>
      <c r="B153" s="7">
        <v>46258</v>
      </c>
      <c r="C153" s="209">
        <f t="shared" si="9"/>
        <v>46272</v>
      </c>
      <c r="D153" s="7">
        <f t="shared" si="10"/>
        <v>46317</v>
      </c>
    </row>
    <row r="154" spans="1:4" s="260" customFormat="1">
      <c r="A154" s="152" t="s">
        <v>295</v>
      </c>
      <c r="B154" s="313">
        <v>46267</v>
      </c>
      <c r="C154" s="314">
        <f t="shared" ref="C154" si="11">B154+14</f>
        <v>46281</v>
      </c>
      <c r="D154" s="7">
        <f t="shared" si="10"/>
        <v>46326</v>
      </c>
    </row>
    <row r="155" spans="1:4">
      <c r="A155" s="11" t="s">
        <v>1056</v>
      </c>
      <c r="B155" s="296">
        <v>46280</v>
      </c>
      <c r="C155" s="296">
        <f t="shared" si="9"/>
        <v>46294</v>
      </c>
      <c r="D155" s="7">
        <f t="shared" si="10"/>
        <v>46339</v>
      </c>
    </row>
    <row r="156" spans="1:4">
      <c r="A156" s="11" t="s">
        <v>1059</v>
      </c>
      <c r="B156" s="296">
        <v>46280</v>
      </c>
      <c r="C156" s="296">
        <f t="shared" si="9"/>
        <v>46294</v>
      </c>
      <c r="D156" s="7">
        <f t="shared" si="10"/>
        <v>46339</v>
      </c>
    </row>
    <row r="157" spans="1:4">
      <c r="A157" s="11" t="s">
        <v>1124</v>
      </c>
      <c r="B157" s="7">
        <v>46289</v>
      </c>
      <c r="C157" s="296">
        <f t="shared" si="9"/>
        <v>46303</v>
      </c>
      <c r="D157" s="7">
        <f t="shared" si="10"/>
        <v>46348</v>
      </c>
    </row>
    <row r="158" spans="1:4">
      <c r="A158" s="317" t="s">
        <v>1126</v>
      </c>
      <c r="B158" s="318">
        <v>46289</v>
      </c>
      <c r="C158" s="296">
        <f t="shared" si="9"/>
        <v>46303</v>
      </c>
      <c r="D158" s="7">
        <f t="shared" si="10"/>
        <v>46348</v>
      </c>
    </row>
    <row r="159" spans="1:4">
      <c r="A159" s="321" t="s">
        <v>1129</v>
      </c>
      <c r="B159" s="318">
        <v>46289</v>
      </c>
      <c r="C159" s="296">
        <f t="shared" si="9"/>
        <v>46303</v>
      </c>
      <c r="D159" s="7">
        <f t="shared" si="10"/>
        <v>46348</v>
      </c>
    </row>
    <row r="160" spans="1:4">
      <c r="A160" s="143" t="s">
        <v>1131</v>
      </c>
      <c r="B160" s="318">
        <v>46289</v>
      </c>
      <c r="C160" s="296">
        <f t="shared" si="9"/>
        <v>46303</v>
      </c>
      <c r="D160" s="7">
        <f t="shared" si="10"/>
        <v>46348</v>
      </c>
    </row>
    <row r="161" spans="1:4">
      <c r="A161" s="347" t="s">
        <v>1146</v>
      </c>
      <c r="B161" s="337">
        <v>46300</v>
      </c>
      <c r="C161" s="296">
        <f t="shared" si="9"/>
        <v>46314</v>
      </c>
      <c r="D161" s="7">
        <f t="shared" si="10"/>
        <v>46359</v>
      </c>
    </row>
    <row r="162" spans="1:4">
      <c r="A162" s="347" t="s">
        <v>1148</v>
      </c>
      <c r="B162" s="337">
        <v>46300</v>
      </c>
      <c r="C162" s="296">
        <f t="shared" si="9"/>
        <v>46314</v>
      </c>
      <c r="D162" s="7">
        <f t="shared" si="10"/>
        <v>46359</v>
      </c>
    </row>
    <row r="163" spans="1:4">
      <c r="A163" s="321" t="s">
        <v>1150</v>
      </c>
      <c r="B163" s="337">
        <v>46300</v>
      </c>
      <c r="C163" s="296">
        <f t="shared" si="9"/>
        <v>46314</v>
      </c>
      <c r="D163" s="7">
        <f t="shared" si="10"/>
        <v>46359</v>
      </c>
    </row>
  </sheetData>
  <autoFilter ref="A2:D41" xr:uid="{00000000-0009-0000-0000-000002000000}"/>
  <mergeCells count="1">
    <mergeCell ref="A1:D1"/>
  </mergeCells>
  <pageMargins left="0.511811024" right="0.511811024" top="0.78740157500000008" bottom="0.78740157500000008" header="0.31496062000000014" footer="0.31496062000000014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23"/>
  <sheetViews>
    <sheetView workbookViewId="0">
      <selection activeCell="B13" sqref="B13"/>
    </sheetView>
  </sheetViews>
  <sheetFormatPr defaultRowHeight="15"/>
  <cols>
    <col min="1" max="2" width="41.28515625" customWidth="1"/>
    <col min="3" max="4" width="25.85546875" customWidth="1"/>
    <col min="5" max="5" width="23.85546875" customWidth="1"/>
  </cols>
  <sheetData>
    <row r="1" spans="1:5" ht="30" customHeight="1">
      <c r="A1" s="373" t="s">
        <v>545</v>
      </c>
      <c r="B1" s="373"/>
      <c r="C1" s="373"/>
      <c r="D1" s="373"/>
      <c r="E1" s="373"/>
    </row>
    <row r="2" spans="1:5">
      <c r="A2" s="3"/>
      <c r="B2" s="4" t="s">
        <v>546</v>
      </c>
      <c r="C2" s="4" t="s">
        <v>547</v>
      </c>
      <c r="D2" s="4" t="s">
        <v>548</v>
      </c>
      <c r="E2" s="97" t="s">
        <v>549</v>
      </c>
    </row>
    <row r="3" spans="1:5">
      <c r="A3" s="29" t="s">
        <v>550</v>
      </c>
      <c r="B3" s="98" t="s">
        <v>551</v>
      </c>
      <c r="C3" s="30">
        <v>45633</v>
      </c>
      <c r="D3" s="30">
        <f>C3+89</f>
        <v>45722</v>
      </c>
      <c r="E3" s="42" t="s">
        <v>552</v>
      </c>
    </row>
    <row r="4" spans="1:5">
      <c r="A4" s="29" t="s">
        <v>553</v>
      </c>
      <c r="B4" s="98" t="s">
        <v>554</v>
      </c>
      <c r="C4" s="30">
        <v>45657</v>
      </c>
      <c r="D4" s="30">
        <f>C4+119</f>
        <v>45776</v>
      </c>
      <c r="E4" s="42" t="s">
        <v>555</v>
      </c>
    </row>
    <row r="5" spans="1:5">
      <c r="A5" s="29" t="s">
        <v>556</v>
      </c>
      <c r="B5" s="98" t="s">
        <v>554</v>
      </c>
      <c r="C5" s="30">
        <v>45708</v>
      </c>
      <c r="D5" s="30">
        <v>45826</v>
      </c>
      <c r="E5" s="42" t="s">
        <v>555</v>
      </c>
    </row>
    <row r="6" spans="1:5">
      <c r="A6" s="29" t="s">
        <v>557</v>
      </c>
      <c r="B6" s="98" t="s">
        <v>558</v>
      </c>
      <c r="C6" s="30">
        <v>45747</v>
      </c>
      <c r="D6" s="30">
        <f>C6+29</f>
        <v>45776</v>
      </c>
      <c r="E6" s="98" t="s">
        <v>559</v>
      </c>
    </row>
    <row r="7" spans="1:5" ht="13.9" customHeight="1">
      <c r="A7" s="29" t="s">
        <v>368</v>
      </c>
      <c r="B7" s="98" t="s">
        <v>560</v>
      </c>
      <c r="C7" s="30">
        <v>46059</v>
      </c>
      <c r="D7" s="30">
        <f>C7+59</f>
        <v>46118</v>
      </c>
      <c r="E7" s="42" t="s">
        <v>561</v>
      </c>
    </row>
    <row r="8" spans="1:5">
      <c r="A8" s="136" t="s">
        <v>84</v>
      </c>
      <c r="B8" s="137" t="s">
        <v>895</v>
      </c>
      <c r="C8" s="138">
        <v>46221</v>
      </c>
      <c r="D8" s="138">
        <f>C8+29</f>
        <v>46250</v>
      </c>
      <c r="E8" s="137" t="s">
        <v>896</v>
      </c>
    </row>
    <row r="9" spans="1:5">
      <c r="A9" s="11" t="s">
        <v>84</v>
      </c>
      <c r="B9" s="6" t="s">
        <v>895</v>
      </c>
      <c r="C9" s="7">
        <v>46249</v>
      </c>
      <c r="D9" s="7">
        <f>C9+29</f>
        <v>46278</v>
      </c>
      <c r="E9" s="6" t="s">
        <v>896</v>
      </c>
    </row>
    <row r="10" spans="1:5">
      <c r="A10" s="11" t="s">
        <v>84</v>
      </c>
      <c r="B10" s="6" t="s">
        <v>1064</v>
      </c>
      <c r="C10" s="7">
        <v>46279</v>
      </c>
      <c r="D10" s="7">
        <f>C10+179</f>
        <v>46458</v>
      </c>
      <c r="E10" s="6" t="s">
        <v>1065</v>
      </c>
    </row>
    <row r="15" spans="1:5">
      <c r="D15" s="38"/>
    </row>
    <row r="16" spans="1:5">
      <c r="D16" s="38"/>
    </row>
    <row r="22" spans="4:5">
      <c r="D22" s="38"/>
      <c r="E22" s="38"/>
    </row>
    <row r="23" spans="4:5">
      <c r="D23" s="239"/>
    </row>
  </sheetData>
  <mergeCells count="1">
    <mergeCell ref="A1:E1"/>
  </mergeCells>
  <conditionalFormatting sqref="A5">
    <cfRule type="expression" dxfId="0" priority="2" stopIfTrue="1">
      <formula>AND(COUNTIF($H:$H, A5)+COUNTIF($B:$B, A5)&gt;1,NOT(ISBLANK(A5)))</formula>
    </cfRule>
  </conditionalFormatting>
  <pageMargins left="0.511811024" right="0.511811024" top="0.78740157500000008" bottom="0.78740157500000008" header="0.31496062000000014" footer="0.31496062000000014"/>
  <pageSetup paperSize="9" scale="85" orientation="landscape" horizontalDpi="4294967293" verticalDpi="0"/>
  <ignoredErrors>
    <ignoredError sqref="D7" formula="1"/>
  </ignoredErrors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S153"/>
  <sheetViews>
    <sheetView zoomScale="115" zoomScaleNormal="115" workbookViewId="0">
      <pane ySplit="2" topLeftCell="A120" activePane="bottomLeft" state="frozen"/>
      <selection sqref="A1:L1"/>
      <selection pane="bottomLeft" activeCell="I136" sqref="I136"/>
    </sheetView>
  </sheetViews>
  <sheetFormatPr defaultColWidth="8.85546875" defaultRowHeight="12.75"/>
  <cols>
    <col min="1" max="1" width="38" style="2" customWidth="1"/>
    <col min="2" max="2" width="26.28515625" style="70" customWidth="1"/>
    <col min="3" max="3" width="25.140625" style="70" hidden="1" customWidth="1"/>
    <col min="4" max="4" width="16.28515625" style="70" hidden="1" customWidth="1"/>
    <col min="5" max="5" width="11.42578125" style="70" customWidth="1"/>
    <col min="6" max="6" width="10.5703125" style="70" customWidth="1"/>
    <col min="7" max="7" width="7.28515625" style="70" customWidth="1"/>
    <col min="8" max="8" width="12.7109375" style="70" customWidth="1"/>
    <col min="9" max="9" width="11.85546875" style="2" customWidth="1"/>
    <col min="10" max="10" width="11.85546875" style="70" bestFit="1" customWidth="1"/>
    <col min="11" max="11" width="11.85546875" style="70" customWidth="1"/>
    <col min="12" max="12" width="24.7109375" style="70" customWidth="1"/>
    <col min="13" max="16384" width="8.85546875" style="2"/>
  </cols>
  <sheetData>
    <row r="1" spans="1:12" ht="30" customHeight="1">
      <c r="A1" s="374" t="s">
        <v>350</v>
      </c>
      <c r="B1" s="374"/>
      <c r="C1" s="374"/>
      <c r="D1" s="374"/>
      <c r="E1" s="374"/>
      <c r="F1" s="374"/>
      <c r="G1" s="374"/>
      <c r="H1" s="374"/>
      <c r="I1" s="374"/>
      <c r="J1" s="374"/>
      <c r="K1" s="374"/>
      <c r="L1" s="374"/>
    </row>
    <row r="2" spans="1:12">
      <c r="A2" s="3" t="s">
        <v>0</v>
      </c>
      <c r="B2" s="4" t="s">
        <v>351</v>
      </c>
      <c r="C2" s="4" t="s">
        <v>352</v>
      </c>
      <c r="D2" s="4" t="s">
        <v>353</v>
      </c>
      <c r="E2" s="4" t="s">
        <v>354</v>
      </c>
      <c r="F2" s="4" t="s">
        <v>355</v>
      </c>
      <c r="G2" s="4" t="s">
        <v>356</v>
      </c>
      <c r="H2" s="4" t="s">
        <v>357</v>
      </c>
      <c r="I2" s="4" t="s">
        <v>358</v>
      </c>
      <c r="J2" s="4" t="s">
        <v>359</v>
      </c>
      <c r="K2" s="4" t="s">
        <v>360</v>
      </c>
      <c r="L2" s="4" t="s">
        <v>361</v>
      </c>
    </row>
    <row r="3" spans="1:12">
      <c r="A3" s="43" t="s">
        <v>362</v>
      </c>
      <c r="B3" s="71" t="s">
        <v>363</v>
      </c>
      <c r="C3" s="71"/>
      <c r="D3" s="71"/>
      <c r="E3" s="72">
        <v>45642</v>
      </c>
      <c r="F3" s="72">
        <v>45671</v>
      </c>
      <c r="G3" s="71">
        <v>30</v>
      </c>
      <c r="H3" s="71" t="s">
        <v>364</v>
      </c>
      <c r="I3" s="73"/>
      <c r="J3" s="72"/>
      <c r="K3" s="72"/>
      <c r="L3" s="71"/>
    </row>
    <row r="4" spans="1:12">
      <c r="A4" s="43" t="s">
        <v>365</v>
      </c>
      <c r="B4" s="71" t="s">
        <v>363</v>
      </c>
      <c r="C4" s="71"/>
      <c r="D4" s="71"/>
      <c r="E4" s="72">
        <v>45644</v>
      </c>
      <c r="F4" s="72">
        <v>45663</v>
      </c>
      <c r="G4" s="71">
        <v>20</v>
      </c>
      <c r="H4" s="71" t="s">
        <v>364</v>
      </c>
      <c r="I4" s="73"/>
      <c r="J4" s="72"/>
      <c r="K4" s="72"/>
      <c r="L4" s="71"/>
    </row>
    <row r="5" spans="1:12">
      <c r="A5" s="43" t="s">
        <v>366</v>
      </c>
      <c r="B5" s="71" t="s">
        <v>367</v>
      </c>
      <c r="C5" s="71"/>
      <c r="D5" s="71"/>
      <c r="E5" s="72">
        <v>45644</v>
      </c>
      <c r="F5" s="72">
        <v>45658</v>
      </c>
      <c r="G5" s="71">
        <v>15</v>
      </c>
      <c r="H5" s="71" t="s">
        <v>364</v>
      </c>
      <c r="I5" s="73"/>
      <c r="J5" s="72"/>
      <c r="K5" s="72"/>
      <c r="L5" s="71"/>
    </row>
    <row r="6" spans="1:12" ht="13.15" customHeight="1">
      <c r="A6" s="43" t="s">
        <v>368</v>
      </c>
      <c r="B6" s="71" t="s">
        <v>363</v>
      </c>
      <c r="C6" s="71"/>
      <c r="D6" s="71"/>
      <c r="E6" s="72">
        <v>45644</v>
      </c>
      <c r="F6" s="72">
        <v>45663</v>
      </c>
      <c r="G6" s="71">
        <v>20</v>
      </c>
      <c r="H6" s="71" t="s">
        <v>364</v>
      </c>
      <c r="I6" s="73"/>
      <c r="J6" s="72"/>
      <c r="K6" s="72"/>
      <c r="L6" s="71"/>
    </row>
    <row r="7" spans="1:12" ht="13.15" customHeight="1">
      <c r="A7" s="43" t="s">
        <v>369</v>
      </c>
      <c r="B7" s="71" t="s">
        <v>363</v>
      </c>
      <c r="C7" s="71" t="s">
        <v>370</v>
      </c>
      <c r="D7" s="71"/>
      <c r="E7" s="72">
        <v>45297</v>
      </c>
      <c r="F7" s="72">
        <f>E7+29</f>
        <v>45326</v>
      </c>
      <c r="G7" s="71">
        <v>30</v>
      </c>
      <c r="H7" s="71" t="s">
        <v>364</v>
      </c>
      <c r="I7" s="73">
        <v>1925.27</v>
      </c>
      <c r="J7" s="72">
        <v>45660</v>
      </c>
      <c r="K7" s="72">
        <v>45660</v>
      </c>
      <c r="L7" s="71"/>
    </row>
    <row r="8" spans="1:12">
      <c r="A8" s="43" t="s">
        <v>371</v>
      </c>
      <c r="B8" s="71" t="s">
        <v>372</v>
      </c>
      <c r="C8" s="71" t="s">
        <v>373</v>
      </c>
      <c r="D8" s="71"/>
      <c r="E8" s="72">
        <v>45663</v>
      </c>
      <c r="F8" s="72">
        <v>45677</v>
      </c>
      <c r="G8" s="71">
        <v>15</v>
      </c>
      <c r="H8" s="71" t="s">
        <v>364</v>
      </c>
      <c r="I8" s="73">
        <v>1233.3399999999999</v>
      </c>
      <c r="J8" s="72">
        <v>45660</v>
      </c>
      <c r="K8" s="72">
        <v>45660</v>
      </c>
      <c r="L8" s="71"/>
    </row>
    <row r="9" spans="1:12">
      <c r="A9" s="43" t="s">
        <v>374</v>
      </c>
      <c r="B9" s="71" t="s">
        <v>363</v>
      </c>
      <c r="C9" s="71" t="s">
        <v>375</v>
      </c>
      <c r="D9" s="71"/>
      <c r="E9" s="72">
        <v>45665</v>
      </c>
      <c r="F9" s="72">
        <v>45678</v>
      </c>
      <c r="G9" s="71">
        <v>14</v>
      </c>
      <c r="H9" s="71" t="s">
        <v>364</v>
      </c>
      <c r="I9" s="73">
        <v>1204.29</v>
      </c>
      <c r="J9" s="72">
        <v>45660</v>
      </c>
      <c r="K9" s="72">
        <v>45663</v>
      </c>
      <c r="L9" s="71"/>
    </row>
    <row r="10" spans="1:12">
      <c r="A10" s="43" t="s">
        <v>376</v>
      </c>
      <c r="B10" s="74" t="s">
        <v>377</v>
      </c>
      <c r="C10" s="74" t="s">
        <v>378</v>
      </c>
      <c r="D10" s="71"/>
      <c r="E10" s="72">
        <v>45670</v>
      </c>
      <c r="F10" s="72">
        <v>45684</v>
      </c>
      <c r="G10" s="71">
        <v>15</v>
      </c>
      <c r="H10" s="71" t="s">
        <v>364</v>
      </c>
      <c r="I10" s="73">
        <v>1259.03</v>
      </c>
      <c r="J10" s="72">
        <v>45667</v>
      </c>
      <c r="K10" s="72">
        <v>45667</v>
      </c>
      <c r="L10" s="71"/>
    </row>
    <row r="11" spans="1:12" s="75" customFormat="1" ht="13.9" customHeight="1">
      <c r="A11" s="43" t="s">
        <v>379</v>
      </c>
      <c r="B11" s="74" t="s">
        <v>372</v>
      </c>
      <c r="C11" s="74" t="s">
        <v>380</v>
      </c>
      <c r="D11" s="71"/>
      <c r="E11" s="72">
        <v>45677</v>
      </c>
      <c r="F11" s="72">
        <v>45691</v>
      </c>
      <c r="G11" s="71">
        <v>15</v>
      </c>
      <c r="H11" s="71" t="s">
        <v>364</v>
      </c>
      <c r="I11" s="73">
        <v>1355.85</v>
      </c>
      <c r="J11" s="72">
        <v>45674</v>
      </c>
      <c r="K11" s="72">
        <v>45674</v>
      </c>
      <c r="L11" s="76"/>
    </row>
    <row r="12" spans="1:12" ht="13.15" customHeight="1">
      <c r="A12" s="43" t="s">
        <v>381</v>
      </c>
      <c r="B12" s="71" t="s">
        <v>382</v>
      </c>
      <c r="C12" s="77" t="s">
        <v>383</v>
      </c>
      <c r="D12" s="71"/>
      <c r="E12" s="72">
        <v>45673</v>
      </c>
      <c r="F12" s="72">
        <v>45687</v>
      </c>
      <c r="G12" s="71">
        <v>15</v>
      </c>
      <c r="H12" s="71" t="s">
        <v>364</v>
      </c>
      <c r="I12" s="73">
        <v>870.74</v>
      </c>
      <c r="J12" s="72">
        <v>45671</v>
      </c>
      <c r="K12" s="72">
        <v>45671</v>
      </c>
      <c r="L12" s="71"/>
    </row>
    <row r="13" spans="1:12">
      <c r="A13" s="43" t="s">
        <v>384</v>
      </c>
      <c r="B13" s="74" t="s">
        <v>382</v>
      </c>
      <c r="C13" s="78" t="s">
        <v>385</v>
      </c>
      <c r="D13" s="79"/>
      <c r="E13" s="80">
        <v>45677</v>
      </c>
      <c r="F13" s="80">
        <v>45684</v>
      </c>
      <c r="G13" s="79">
        <v>8</v>
      </c>
      <c r="H13" s="71" t="s">
        <v>364</v>
      </c>
      <c r="I13" s="81">
        <v>1191.04</v>
      </c>
      <c r="J13" s="80">
        <v>45674</v>
      </c>
      <c r="K13" s="80">
        <v>45674</v>
      </c>
      <c r="L13" s="79"/>
    </row>
    <row r="14" spans="1:12" s="75" customFormat="1">
      <c r="A14" s="43" t="s">
        <v>371</v>
      </c>
      <c r="B14" s="74" t="s">
        <v>372</v>
      </c>
      <c r="C14" s="74" t="s">
        <v>373</v>
      </c>
      <c r="D14" s="72">
        <v>45721</v>
      </c>
      <c r="E14" s="72">
        <v>45691</v>
      </c>
      <c r="F14" s="72">
        <v>45705</v>
      </c>
      <c r="G14" s="71">
        <v>15</v>
      </c>
      <c r="H14" s="71" t="s">
        <v>364</v>
      </c>
      <c r="I14" s="82">
        <v>1217.78</v>
      </c>
      <c r="J14" s="80">
        <v>45688</v>
      </c>
      <c r="K14" s="80">
        <v>45688</v>
      </c>
      <c r="L14" s="76"/>
    </row>
    <row r="15" spans="1:12">
      <c r="A15" s="43" t="s">
        <v>386</v>
      </c>
      <c r="B15" s="74" t="s">
        <v>387</v>
      </c>
      <c r="C15" s="78" t="s">
        <v>388</v>
      </c>
      <c r="D15" s="80">
        <v>45730</v>
      </c>
      <c r="E15" s="72">
        <v>45698</v>
      </c>
      <c r="F15" s="72">
        <v>45727</v>
      </c>
      <c r="G15" s="71">
        <v>30</v>
      </c>
      <c r="H15" s="71" t="s">
        <v>364</v>
      </c>
      <c r="I15" s="82">
        <v>2767.72</v>
      </c>
      <c r="J15" s="80">
        <v>45695</v>
      </c>
      <c r="K15" s="80">
        <v>45695</v>
      </c>
      <c r="L15" s="79"/>
    </row>
    <row r="16" spans="1:12" s="75" customFormat="1" ht="14.45" customHeight="1">
      <c r="A16" s="43" t="s">
        <v>389</v>
      </c>
      <c r="B16" s="74" t="s">
        <v>390</v>
      </c>
      <c r="C16" s="78" t="s">
        <v>391</v>
      </c>
      <c r="D16" s="80">
        <v>45735</v>
      </c>
      <c r="E16" s="80">
        <v>45698</v>
      </c>
      <c r="F16" s="80">
        <f>E16+14</f>
        <v>45712</v>
      </c>
      <c r="G16" s="79">
        <v>15</v>
      </c>
      <c r="H16" s="71" t="s">
        <v>364</v>
      </c>
      <c r="I16" s="82">
        <v>1235.0999999999999</v>
      </c>
      <c r="J16" s="80">
        <v>45695</v>
      </c>
      <c r="K16" s="80">
        <v>45695</v>
      </c>
      <c r="L16" s="83"/>
    </row>
    <row r="17" spans="1:12" s="75" customFormat="1" ht="13.15" customHeight="1">
      <c r="A17" s="43" t="s">
        <v>381</v>
      </c>
      <c r="B17" s="71" t="s">
        <v>382</v>
      </c>
      <c r="C17" s="71" t="s">
        <v>383</v>
      </c>
      <c r="D17" s="72">
        <v>45750</v>
      </c>
      <c r="E17" s="80">
        <v>45712</v>
      </c>
      <c r="F17" s="80">
        <v>45726</v>
      </c>
      <c r="G17" s="79">
        <v>15</v>
      </c>
      <c r="H17" s="71" t="s">
        <v>364</v>
      </c>
      <c r="I17" s="84">
        <v>936.1</v>
      </c>
      <c r="J17" s="80">
        <v>45709</v>
      </c>
      <c r="K17" s="80">
        <v>45709</v>
      </c>
      <c r="L17" s="76"/>
    </row>
    <row r="18" spans="1:12">
      <c r="A18" s="43" t="s">
        <v>392</v>
      </c>
      <c r="B18" s="71" t="s">
        <v>363</v>
      </c>
      <c r="C18" s="79" t="s">
        <v>393</v>
      </c>
      <c r="D18" s="80">
        <v>45750</v>
      </c>
      <c r="E18" s="72">
        <v>45712</v>
      </c>
      <c r="F18" s="72">
        <f t="shared" ref="F18:F19" si="0">E18+19</f>
        <v>45731</v>
      </c>
      <c r="G18" s="71">
        <v>20</v>
      </c>
      <c r="H18" s="71" t="s">
        <v>364</v>
      </c>
      <c r="I18" s="82">
        <v>3294.34</v>
      </c>
      <c r="J18" s="80">
        <v>45709</v>
      </c>
      <c r="K18" s="80">
        <v>45709</v>
      </c>
      <c r="L18" s="79" t="s">
        <v>394</v>
      </c>
    </row>
    <row r="19" spans="1:12" ht="13.15" customHeight="1">
      <c r="A19" s="43" t="s">
        <v>395</v>
      </c>
      <c r="B19" s="71" t="s">
        <v>396</v>
      </c>
      <c r="C19" s="79" t="s">
        <v>393</v>
      </c>
      <c r="D19" s="80">
        <v>45750</v>
      </c>
      <c r="E19" s="72">
        <v>45712</v>
      </c>
      <c r="F19" s="72">
        <f t="shared" si="0"/>
        <v>45731</v>
      </c>
      <c r="G19" s="71">
        <v>20</v>
      </c>
      <c r="H19" s="71" t="s">
        <v>364</v>
      </c>
      <c r="I19" s="82">
        <v>2650.52</v>
      </c>
      <c r="J19" s="80">
        <v>45709</v>
      </c>
      <c r="K19" s="80">
        <v>45709</v>
      </c>
      <c r="L19" s="79" t="s">
        <v>397</v>
      </c>
    </row>
    <row r="20" spans="1:12" ht="13.15" customHeight="1">
      <c r="A20" s="43" t="s">
        <v>398</v>
      </c>
      <c r="B20" s="71" t="s">
        <v>399</v>
      </c>
      <c r="C20" s="79" t="s">
        <v>400</v>
      </c>
      <c r="D20" s="80">
        <v>45874</v>
      </c>
      <c r="E20" s="72">
        <v>45726</v>
      </c>
      <c r="F20" s="72">
        <v>45740</v>
      </c>
      <c r="G20" s="71">
        <v>15</v>
      </c>
      <c r="H20" s="71" t="s">
        <v>364</v>
      </c>
      <c r="I20" s="82">
        <v>1110</v>
      </c>
      <c r="J20" s="80">
        <v>45723</v>
      </c>
      <c r="K20" s="80">
        <v>45723</v>
      </c>
      <c r="L20" s="79"/>
    </row>
    <row r="21" spans="1:12">
      <c r="A21" s="43" t="s">
        <v>401</v>
      </c>
      <c r="B21" s="71" t="s">
        <v>390</v>
      </c>
      <c r="C21" s="80" t="s">
        <v>402</v>
      </c>
      <c r="D21" s="80">
        <v>45764</v>
      </c>
      <c r="E21" s="80">
        <v>45734</v>
      </c>
      <c r="F21" s="80">
        <f>E21+29</f>
        <v>45763</v>
      </c>
      <c r="G21" s="79">
        <v>30</v>
      </c>
      <c r="H21" s="71" t="s">
        <v>364</v>
      </c>
      <c r="I21" s="82">
        <v>2546.31</v>
      </c>
      <c r="J21" s="80">
        <v>45730</v>
      </c>
      <c r="K21" s="80">
        <v>45730</v>
      </c>
      <c r="L21" s="79"/>
    </row>
    <row r="22" spans="1:12">
      <c r="A22" s="43" t="s">
        <v>403</v>
      </c>
      <c r="B22" s="71" t="s">
        <v>367</v>
      </c>
      <c r="C22" s="79" t="s">
        <v>404</v>
      </c>
      <c r="D22" s="80">
        <v>45790</v>
      </c>
      <c r="E22" s="80">
        <v>45775</v>
      </c>
      <c r="F22" s="80">
        <f>E22+19</f>
        <v>45794</v>
      </c>
      <c r="G22" s="79">
        <v>20</v>
      </c>
      <c r="H22" s="71" t="s">
        <v>364</v>
      </c>
      <c r="I22" s="82">
        <v>2771.91</v>
      </c>
      <c r="J22" s="80">
        <v>45772</v>
      </c>
      <c r="K22" s="80">
        <v>45772</v>
      </c>
      <c r="L22" s="79" t="s">
        <v>397</v>
      </c>
    </row>
    <row r="23" spans="1:12" ht="14.45" customHeight="1">
      <c r="A23" s="43" t="s">
        <v>405</v>
      </c>
      <c r="B23" s="71" t="s">
        <v>382</v>
      </c>
      <c r="C23" s="80" t="s">
        <v>406</v>
      </c>
      <c r="D23" s="80">
        <v>45987</v>
      </c>
      <c r="E23" s="80">
        <v>45782</v>
      </c>
      <c r="F23" s="80">
        <f>E23+11</f>
        <v>45793</v>
      </c>
      <c r="G23" s="79">
        <v>12</v>
      </c>
      <c r="H23" s="71" t="s">
        <v>364</v>
      </c>
      <c r="I23" s="82">
        <v>1292.9100000000001</v>
      </c>
      <c r="J23" s="80">
        <v>45776</v>
      </c>
      <c r="K23" s="80">
        <v>45779</v>
      </c>
      <c r="L23" s="79"/>
    </row>
    <row r="24" spans="1:12" ht="13.15" customHeight="1">
      <c r="A24" s="43" t="s">
        <v>407</v>
      </c>
      <c r="B24" s="71" t="s">
        <v>396</v>
      </c>
      <c r="C24" s="80" t="s">
        <v>370</v>
      </c>
      <c r="D24" s="80">
        <v>45903</v>
      </c>
      <c r="E24" s="80">
        <v>45782</v>
      </c>
      <c r="F24" s="80">
        <f>E24+29</f>
        <v>45811</v>
      </c>
      <c r="G24" s="79">
        <v>30</v>
      </c>
      <c r="H24" s="71" t="s">
        <v>364</v>
      </c>
      <c r="I24" s="82">
        <v>1864.61</v>
      </c>
      <c r="J24" s="80">
        <v>45776</v>
      </c>
      <c r="K24" s="80">
        <v>45779</v>
      </c>
      <c r="L24" s="79"/>
    </row>
    <row r="25" spans="1:12">
      <c r="A25" s="43" t="s">
        <v>408</v>
      </c>
      <c r="B25" s="71" t="s">
        <v>409</v>
      </c>
      <c r="C25" s="79" t="s">
        <v>410</v>
      </c>
      <c r="D25" s="80">
        <v>45974</v>
      </c>
      <c r="E25" s="80">
        <v>45782</v>
      </c>
      <c r="F25" s="80">
        <f>E25+6</f>
        <v>45788</v>
      </c>
      <c r="G25" s="79">
        <v>7</v>
      </c>
      <c r="H25" s="71" t="s">
        <v>364</v>
      </c>
      <c r="I25" s="82">
        <v>518</v>
      </c>
      <c r="J25" s="80">
        <v>45776</v>
      </c>
      <c r="K25" s="80">
        <v>45779</v>
      </c>
      <c r="L25" s="79"/>
    </row>
    <row r="26" spans="1:12">
      <c r="A26" s="43" t="s">
        <v>411</v>
      </c>
      <c r="B26" s="71" t="s">
        <v>387</v>
      </c>
      <c r="C26" s="80" t="s">
        <v>412</v>
      </c>
      <c r="D26" s="80">
        <v>45787</v>
      </c>
      <c r="E26" s="80">
        <v>45782</v>
      </c>
      <c r="F26" s="80">
        <f>E26+29</f>
        <v>45811</v>
      </c>
      <c r="G26" s="79">
        <v>30</v>
      </c>
      <c r="H26" s="71" t="s">
        <v>364</v>
      </c>
      <c r="I26" s="82">
        <v>3619.47</v>
      </c>
      <c r="J26" s="80">
        <v>45779</v>
      </c>
      <c r="K26" s="80">
        <v>45779</v>
      </c>
      <c r="L26" s="79"/>
    </row>
    <row r="27" spans="1:12">
      <c r="A27" s="43" t="s">
        <v>374</v>
      </c>
      <c r="B27" s="71" t="s">
        <v>413</v>
      </c>
      <c r="C27" s="80" t="s">
        <v>375</v>
      </c>
      <c r="D27" s="80">
        <v>45919</v>
      </c>
      <c r="E27" s="80">
        <v>45785</v>
      </c>
      <c r="F27" s="80">
        <f>E27+5</f>
        <v>45790</v>
      </c>
      <c r="G27" s="79">
        <v>6</v>
      </c>
      <c r="H27" s="71" t="s">
        <v>364</v>
      </c>
      <c r="I27" s="82">
        <v>541.05999999999995</v>
      </c>
      <c r="J27" s="80">
        <v>45783</v>
      </c>
      <c r="K27" s="80">
        <v>45783</v>
      </c>
      <c r="L27" s="79"/>
    </row>
    <row r="28" spans="1:12">
      <c r="A28" s="43" t="s">
        <v>414</v>
      </c>
      <c r="B28" s="71" t="s">
        <v>415</v>
      </c>
      <c r="C28" s="80" t="s">
        <v>416</v>
      </c>
      <c r="D28" s="80">
        <v>45918</v>
      </c>
      <c r="E28" s="80">
        <v>45789</v>
      </c>
      <c r="F28" s="80">
        <f>E28+9</f>
        <v>45798</v>
      </c>
      <c r="G28" s="79">
        <v>10</v>
      </c>
      <c r="H28" s="71" t="s">
        <v>364</v>
      </c>
      <c r="I28" s="82">
        <v>1233.6099999999999</v>
      </c>
      <c r="J28" s="80">
        <v>45786</v>
      </c>
      <c r="K28" s="80">
        <v>45786</v>
      </c>
      <c r="L28" s="79"/>
    </row>
    <row r="29" spans="1:12">
      <c r="A29" s="43" t="s">
        <v>417</v>
      </c>
      <c r="B29" s="71" t="s">
        <v>413</v>
      </c>
      <c r="C29" s="80" t="s">
        <v>418</v>
      </c>
      <c r="D29" s="80">
        <v>45988</v>
      </c>
      <c r="E29" s="80">
        <v>45796</v>
      </c>
      <c r="F29" s="80">
        <v>45802</v>
      </c>
      <c r="G29" s="79">
        <v>7</v>
      </c>
      <c r="H29" s="71" t="s">
        <v>364</v>
      </c>
      <c r="I29" s="82">
        <v>719.44</v>
      </c>
      <c r="J29" s="80">
        <v>45793</v>
      </c>
      <c r="K29" s="80">
        <v>45793</v>
      </c>
      <c r="L29" s="79"/>
    </row>
    <row r="30" spans="1:12">
      <c r="A30" s="43" t="s">
        <v>419</v>
      </c>
      <c r="B30" s="71" t="s">
        <v>413</v>
      </c>
      <c r="C30" s="79" t="s">
        <v>420</v>
      </c>
      <c r="D30" s="80">
        <v>46052</v>
      </c>
      <c r="E30" s="80">
        <v>45826</v>
      </c>
      <c r="F30" s="80">
        <v>45835</v>
      </c>
      <c r="G30" s="79">
        <v>10</v>
      </c>
      <c r="H30" s="71" t="s">
        <v>364</v>
      </c>
      <c r="I30" s="82">
        <v>1027.78</v>
      </c>
      <c r="J30" s="80">
        <v>45821</v>
      </c>
      <c r="K30" s="80">
        <v>45824</v>
      </c>
      <c r="L30" s="79"/>
    </row>
    <row r="31" spans="1:12">
      <c r="A31" s="43" t="s">
        <v>421</v>
      </c>
      <c r="B31" s="71" t="s">
        <v>422</v>
      </c>
      <c r="C31" s="79" t="s">
        <v>423</v>
      </c>
      <c r="D31" s="80">
        <v>45883</v>
      </c>
      <c r="E31" s="80">
        <v>45827</v>
      </c>
      <c r="F31" s="80">
        <f>E31+29</f>
        <v>45856</v>
      </c>
      <c r="G31" s="79">
        <v>30</v>
      </c>
      <c r="H31" s="71" t="s">
        <v>364</v>
      </c>
      <c r="I31" s="82">
        <v>3744.59</v>
      </c>
      <c r="J31" s="80">
        <v>45821</v>
      </c>
      <c r="K31" s="80">
        <v>45825</v>
      </c>
      <c r="L31" s="79"/>
    </row>
    <row r="32" spans="1:12">
      <c r="A32" s="43" t="s">
        <v>424</v>
      </c>
      <c r="B32" s="71" t="s">
        <v>425</v>
      </c>
      <c r="C32" s="79" t="s">
        <v>406</v>
      </c>
      <c r="D32" s="80">
        <v>45987</v>
      </c>
      <c r="E32" s="80">
        <v>45838</v>
      </c>
      <c r="F32" s="80">
        <f>E32+11</f>
        <v>45849</v>
      </c>
      <c r="G32" s="79">
        <v>12</v>
      </c>
      <c r="H32" s="71" t="s">
        <v>364</v>
      </c>
      <c r="I32" s="82">
        <v>1394.23</v>
      </c>
      <c r="J32" s="80">
        <v>45835</v>
      </c>
      <c r="K32" s="80">
        <v>45835</v>
      </c>
      <c r="L32" s="79"/>
    </row>
    <row r="33" spans="1:12">
      <c r="A33" s="43" t="s">
        <v>374</v>
      </c>
      <c r="B33" s="71" t="s">
        <v>413</v>
      </c>
      <c r="C33" s="79" t="s">
        <v>375</v>
      </c>
      <c r="D33" s="85">
        <v>45919</v>
      </c>
      <c r="E33" s="80">
        <v>45845</v>
      </c>
      <c r="F33" s="80">
        <f>E33+9</f>
        <v>45854</v>
      </c>
      <c r="G33" s="79">
        <v>10</v>
      </c>
      <c r="H33" s="71" t="s">
        <v>364</v>
      </c>
      <c r="I33" s="82">
        <v>901.76</v>
      </c>
      <c r="J33" s="80">
        <v>45841</v>
      </c>
      <c r="K33" s="80">
        <v>45841</v>
      </c>
      <c r="L33" s="79"/>
    </row>
    <row r="34" spans="1:12">
      <c r="A34" s="43" t="s">
        <v>426</v>
      </c>
      <c r="B34" s="79" t="s">
        <v>427</v>
      </c>
      <c r="C34" s="79" t="s">
        <v>370</v>
      </c>
      <c r="D34" s="80">
        <v>45903</v>
      </c>
      <c r="E34" s="80">
        <v>45852</v>
      </c>
      <c r="F34" s="80">
        <f>E34+29</f>
        <v>45881</v>
      </c>
      <c r="G34" s="79">
        <v>30</v>
      </c>
      <c r="H34" s="71" t="s">
        <v>364</v>
      </c>
      <c r="I34" s="82">
        <v>2452.54</v>
      </c>
      <c r="J34" s="80">
        <v>45848</v>
      </c>
      <c r="K34" s="80">
        <v>45849</v>
      </c>
      <c r="L34" s="79"/>
    </row>
    <row r="35" spans="1:12">
      <c r="A35" s="43" t="s">
        <v>428</v>
      </c>
      <c r="B35" s="79" t="s">
        <v>372</v>
      </c>
      <c r="C35" s="79" t="s">
        <v>429</v>
      </c>
      <c r="D35" s="80">
        <v>45965</v>
      </c>
      <c r="E35" s="80">
        <v>45859</v>
      </c>
      <c r="F35" s="80">
        <f>E35+14</f>
        <v>45873</v>
      </c>
      <c r="G35" s="79">
        <v>15</v>
      </c>
      <c r="H35" s="71" t="s">
        <v>364</v>
      </c>
      <c r="I35" s="82">
        <v>1539.44</v>
      </c>
      <c r="J35" s="72">
        <v>45855</v>
      </c>
      <c r="K35" s="72">
        <v>45856</v>
      </c>
      <c r="L35" s="79"/>
    </row>
    <row r="36" spans="1:12">
      <c r="A36" s="43" t="s">
        <v>414</v>
      </c>
      <c r="B36" s="79" t="s">
        <v>415</v>
      </c>
      <c r="C36" s="80" t="s">
        <v>416</v>
      </c>
      <c r="D36" s="80">
        <v>45918</v>
      </c>
      <c r="E36" s="80">
        <v>45859</v>
      </c>
      <c r="F36" s="80">
        <f>E36+13</f>
        <v>45872</v>
      </c>
      <c r="G36" s="79">
        <v>14</v>
      </c>
      <c r="H36" s="71" t="s">
        <v>364</v>
      </c>
      <c r="I36" s="82">
        <v>1721.81</v>
      </c>
      <c r="J36" s="72">
        <v>45855</v>
      </c>
      <c r="K36" s="72">
        <v>45856</v>
      </c>
      <c r="L36" s="79"/>
    </row>
    <row r="37" spans="1:12">
      <c r="A37" s="43" t="s">
        <v>430</v>
      </c>
      <c r="B37" s="79" t="s">
        <v>422</v>
      </c>
      <c r="C37" s="80" t="s">
        <v>431</v>
      </c>
      <c r="D37" s="80">
        <v>45998</v>
      </c>
      <c r="E37" s="80">
        <v>45859</v>
      </c>
      <c r="F37" s="80">
        <v>45878</v>
      </c>
      <c r="G37" s="79">
        <v>20</v>
      </c>
      <c r="H37" s="71" t="s">
        <v>364</v>
      </c>
      <c r="I37" s="82">
        <v>3391.1</v>
      </c>
      <c r="J37" s="72">
        <v>45855</v>
      </c>
      <c r="K37" s="72">
        <v>45856</v>
      </c>
      <c r="L37" s="79" t="s">
        <v>394</v>
      </c>
    </row>
    <row r="38" spans="1:12" ht="15" customHeight="1">
      <c r="A38" s="43" t="s">
        <v>408</v>
      </c>
      <c r="B38" s="71" t="s">
        <v>409</v>
      </c>
      <c r="C38" s="79" t="s">
        <v>410</v>
      </c>
      <c r="D38" s="80">
        <v>45974</v>
      </c>
      <c r="E38" s="72">
        <v>45873</v>
      </c>
      <c r="F38" s="80">
        <f>E38+8</f>
        <v>45881</v>
      </c>
      <c r="G38" s="79">
        <v>9</v>
      </c>
      <c r="H38" s="71" t="s">
        <v>364</v>
      </c>
      <c r="I38" s="82">
        <v>740</v>
      </c>
      <c r="J38" s="80">
        <v>45869</v>
      </c>
      <c r="K38" s="80">
        <v>45870</v>
      </c>
      <c r="L38" s="79"/>
    </row>
    <row r="39" spans="1:12">
      <c r="A39" s="43" t="s">
        <v>398</v>
      </c>
      <c r="B39" s="71" t="s">
        <v>425</v>
      </c>
      <c r="C39" s="79" t="s">
        <v>400</v>
      </c>
      <c r="D39" s="80">
        <v>45874</v>
      </c>
      <c r="E39" s="72">
        <v>45873</v>
      </c>
      <c r="F39" s="80">
        <f>E39+14</f>
        <v>45887</v>
      </c>
      <c r="G39" s="79">
        <v>15</v>
      </c>
      <c r="H39" s="71" t="s">
        <v>364</v>
      </c>
      <c r="I39" s="82">
        <v>1233.3399999999999</v>
      </c>
      <c r="J39" s="80">
        <v>45869</v>
      </c>
      <c r="K39" s="80">
        <v>45870</v>
      </c>
      <c r="L39" s="79"/>
    </row>
    <row r="40" spans="1:12" ht="15.6" customHeight="1">
      <c r="A40" s="43" t="s">
        <v>432</v>
      </c>
      <c r="B40" s="71" t="s">
        <v>422</v>
      </c>
      <c r="C40" s="79" t="s">
        <v>433</v>
      </c>
      <c r="D40" s="80">
        <v>45932</v>
      </c>
      <c r="E40" s="72">
        <v>45887</v>
      </c>
      <c r="F40" s="80">
        <f>E40+9</f>
        <v>45896</v>
      </c>
      <c r="G40" s="79">
        <v>10</v>
      </c>
      <c r="H40" s="71" t="s">
        <v>364</v>
      </c>
      <c r="I40" s="82">
        <v>1121.7</v>
      </c>
      <c r="J40" s="80">
        <v>45883</v>
      </c>
      <c r="K40" s="80">
        <v>45884</v>
      </c>
      <c r="L40" s="79"/>
    </row>
    <row r="41" spans="1:12">
      <c r="A41" s="43" t="s">
        <v>417</v>
      </c>
      <c r="B41" s="71" t="s">
        <v>413</v>
      </c>
      <c r="C41" s="80" t="s">
        <v>418</v>
      </c>
      <c r="D41" s="80">
        <v>45988</v>
      </c>
      <c r="E41" s="72">
        <v>45894</v>
      </c>
      <c r="F41" s="80">
        <f>E41+22</f>
        <v>45916</v>
      </c>
      <c r="G41" s="79">
        <v>23</v>
      </c>
      <c r="H41" s="71" t="s">
        <v>364</v>
      </c>
      <c r="I41" s="82">
        <v>2348.33</v>
      </c>
      <c r="J41" s="80">
        <v>45890</v>
      </c>
      <c r="K41" s="80">
        <v>45891</v>
      </c>
      <c r="L41" s="79"/>
    </row>
    <row r="42" spans="1:12">
      <c r="A42" s="43" t="s">
        <v>379</v>
      </c>
      <c r="B42" s="79" t="s">
        <v>372</v>
      </c>
      <c r="C42" s="79" t="s">
        <v>434</v>
      </c>
      <c r="D42" s="80">
        <v>46079</v>
      </c>
      <c r="E42" s="72">
        <v>45901</v>
      </c>
      <c r="F42" s="80">
        <f>E42+14</f>
        <v>45915</v>
      </c>
      <c r="G42" s="79">
        <v>15</v>
      </c>
      <c r="H42" s="71" t="s">
        <v>364</v>
      </c>
      <c r="I42" s="82">
        <v>1421.91</v>
      </c>
      <c r="J42" s="80">
        <v>45897</v>
      </c>
      <c r="K42" s="80">
        <v>45898</v>
      </c>
      <c r="L42" s="79"/>
    </row>
    <row r="43" spans="1:12" ht="14.45" customHeight="1">
      <c r="A43" s="43" t="s">
        <v>432</v>
      </c>
      <c r="B43" s="71" t="s">
        <v>422</v>
      </c>
      <c r="C43" s="80" t="s">
        <v>433</v>
      </c>
      <c r="D43" s="80">
        <v>45932</v>
      </c>
      <c r="E43" s="72">
        <v>45911</v>
      </c>
      <c r="F43" s="80">
        <f>E43+19</f>
        <v>45930</v>
      </c>
      <c r="G43" s="79">
        <v>20</v>
      </c>
      <c r="H43" s="71" t="s">
        <v>364</v>
      </c>
      <c r="I43" s="82">
        <v>2229.7800000000002</v>
      </c>
      <c r="J43" s="80">
        <v>45904</v>
      </c>
      <c r="K43" s="80">
        <v>45908</v>
      </c>
      <c r="L43" s="79"/>
    </row>
    <row r="44" spans="1:12">
      <c r="A44" s="43" t="s">
        <v>435</v>
      </c>
      <c r="B44" s="79" t="s">
        <v>425</v>
      </c>
      <c r="C44" s="79" t="s">
        <v>436</v>
      </c>
      <c r="D44" s="80">
        <v>46197</v>
      </c>
      <c r="E44" s="80">
        <v>45915</v>
      </c>
      <c r="F44" s="80">
        <f>E44+14</f>
        <v>45929</v>
      </c>
      <c r="G44" s="79">
        <v>15</v>
      </c>
      <c r="H44" s="71" t="s">
        <v>364</v>
      </c>
      <c r="I44" s="82">
        <v>1240.8499999999999</v>
      </c>
      <c r="J44" s="80">
        <v>45911</v>
      </c>
      <c r="K44" s="80">
        <v>45912</v>
      </c>
      <c r="L44" s="79"/>
    </row>
    <row r="45" spans="1:12" ht="14.45" customHeight="1">
      <c r="A45" s="43" t="s">
        <v>371</v>
      </c>
      <c r="B45" s="79" t="s">
        <v>372</v>
      </c>
      <c r="C45" s="79" t="s">
        <v>437</v>
      </c>
      <c r="D45" s="80">
        <v>46071</v>
      </c>
      <c r="E45" s="72">
        <v>45922</v>
      </c>
      <c r="F45" s="80">
        <f>E45+9</f>
        <v>45931</v>
      </c>
      <c r="G45" s="79">
        <v>10</v>
      </c>
      <c r="H45" s="71" t="s">
        <v>364</v>
      </c>
      <c r="I45" s="82">
        <v>1027.78</v>
      </c>
      <c r="J45" s="80">
        <v>45918</v>
      </c>
      <c r="K45" s="80">
        <v>45919</v>
      </c>
      <c r="L45" s="79"/>
    </row>
    <row r="46" spans="1:12" ht="15.6" customHeight="1">
      <c r="A46" s="43" t="s">
        <v>438</v>
      </c>
      <c r="B46" s="79" t="s">
        <v>439</v>
      </c>
      <c r="C46" s="79" t="s">
        <v>440</v>
      </c>
      <c r="D46" s="80">
        <v>45944</v>
      </c>
      <c r="E46" s="72">
        <v>45929</v>
      </c>
      <c r="F46" s="80">
        <f>E46+29</f>
        <v>45958</v>
      </c>
      <c r="G46" s="79">
        <v>30</v>
      </c>
      <c r="H46" s="71" t="s">
        <v>364</v>
      </c>
      <c r="I46" s="82">
        <v>3772.33</v>
      </c>
      <c r="J46" s="80">
        <v>45925</v>
      </c>
      <c r="K46" s="80">
        <v>45926</v>
      </c>
      <c r="L46" s="79"/>
    </row>
    <row r="47" spans="1:12" ht="15.6" customHeight="1">
      <c r="A47" s="43" t="s">
        <v>441</v>
      </c>
      <c r="B47" s="71" t="s">
        <v>442</v>
      </c>
      <c r="C47" s="79" t="s">
        <v>443</v>
      </c>
      <c r="D47" s="80">
        <v>45982</v>
      </c>
      <c r="E47" s="80">
        <v>45932</v>
      </c>
      <c r="F47" s="80">
        <f>E47+19</f>
        <v>45951</v>
      </c>
      <c r="G47" s="79">
        <v>20</v>
      </c>
      <c r="H47" s="71" t="s">
        <v>364</v>
      </c>
      <c r="I47" s="82">
        <v>2650.52</v>
      </c>
      <c r="J47" s="80">
        <v>45925</v>
      </c>
      <c r="K47" s="80">
        <v>45929</v>
      </c>
      <c r="L47" s="79" t="s">
        <v>394</v>
      </c>
    </row>
    <row r="48" spans="1:12" ht="15.6" customHeight="1">
      <c r="A48" s="43" t="s">
        <v>414</v>
      </c>
      <c r="B48" s="79" t="s">
        <v>415</v>
      </c>
      <c r="C48" s="80" t="s">
        <v>416</v>
      </c>
      <c r="D48" s="80">
        <v>45942</v>
      </c>
      <c r="E48" s="72">
        <v>45936</v>
      </c>
      <c r="F48" s="80">
        <f>E48+5</f>
        <v>45941</v>
      </c>
      <c r="G48" s="79">
        <v>6</v>
      </c>
      <c r="H48" s="71" t="s">
        <v>364</v>
      </c>
      <c r="I48" s="82">
        <v>740.16</v>
      </c>
      <c r="J48" s="80">
        <v>45932</v>
      </c>
      <c r="K48" s="80">
        <v>45933</v>
      </c>
      <c r="L48" s="79"/>
    </row>
    <row r="49" spans="1:12" ht="14.45" customHeight="1">
      <c r="A49" s="43" t="s">
        <v>444</v>
      </c>
      <c r="B49" s="71" t="s">
        <v>413</v>
      </c>
      <c r="C49" s="80" t="s">
        <v>445</v>
      </c>
      <c r="D49" s="80">
        <v>45980</v>
      </c>
      <c r="E49" s="72">
        <v>45936</v>
      </c>
      <c r="F49" s="80">
        <f>E49+29</f>
        <v>45965</v>
      </c>
      <c r="G49" s="79">
        <v>30</v>
      </c>
      <c r="H49" s="71" t="s">
        <v>364</v>
      </c>
      <c r="I49" s="82">
        <v>3787.66</v>
      </c>
      <c r="J49" s="80">
        <v>45932</v>
      </c>
      <c r="K49" s="80">
        <v>45933</v>
      </c>
      <c r="L49" s="79"/>
    </row>
    <row r="50" spans="1:12">
      <c r="A50" s="43" t="s">
        <v>424</v>
      </c>
      <c r="B50" s="79" t="s">
        <v>425</v>
      </c>
      <c r="C50" s="79" t="s">
        <v>406</v>
      </c>
      <c r="D50" s="80">
        <v>45987</v>
      </c>
      <c r="E50" s="80">
        <v>45943</v>
      </c>
      <c r="F50" s="80">
        <f>E50+17</f>
        <v>45960</v>
      </c>
      <c r="G50" s="79">
        <v>18</v>
      </c>
      <c r="H50" s="79" t="s">
        <v>446</v>
      </c>
      <c r="I50" s="82">
        <v>2080.1799999999998</v>
      </c>
      <c r="J50" s="80">
        <v>45939</v>
      </c>
      <c r="K50" s="80">
        <v>45940</v>
      </c>
      <c r="L50" s="79"/>
    </row>
    <row r="51" spans="1:12">
      <c r="A51" s="43" t="s">
        <v>447</v>
      </c>
      <c r="B51" s="79" t="s">
        <v>448</v>
      </c>
      <c r="C51" s="79" t="s">
        <v>449</v>
      </c>
      <c r="D51" s="80">
        <v>45994</v>
      </c>
      <c r="E51" s="80">
        <v>45939</v>
      </c>
      <c r="F51" s="80">
        <f>E51+29</f>
        <v>45968</v>
      </c>
      <c r="G51" s="79">
        <v>30</v>
      </c>
      <c r="H51" s="79" t="s">
        <v>446</v>
      </c>
      <c r="I51" s="82">
        <v>5168.82</v>
      </c>
      <c r="J51" s="80">
        <v>45937</v>
      </c>
      <c r="K51" s="80">
        <v>45937</v>
      </c>
      <c r="L51" s="79"/>
    </row>
    <row r="52" spans="1:12" ht="15.6" customHeight="1">
      <c r="A52" s="43" t="s">
        <v>408</v>
      </c>
      <c r="B52" s="71" t="s">
        <v>409</v>
      </c>
      <c r="C52" s="79" t="s">
        <v>410</v>
      </c>
      <c r="D52" s="80">
        <v>45990</v>
      </c>
      <c r="E52" s="80">
        <v>45964</v>
      </c>
      <c r="F52" s="80">
        <f>E52+13</f>
        <v>45977</v>
      </c>
      <c r="G52" s="79">
        <v>14</v>
      </c>
      <c r="H52" s="79" t="s">
        <v>446</v>
      </c>
      <c r="I52" s="82">
        <v>1151.1099999999999</v>
      </c>
      <c r="J52" s="80">
        <v>45960</v>
      </c>
      <c r="K52" s="80">
        <v>45961</v>
      </c>
      <c r="L52" s="79"/>
    </row>
    <row r="53" spans="1:12">
      <c r="A53" s="43" t="s">
        <v>428</v>
      </c>
      <c r="B53" s="79" t="s">
        <v>372</v>
      </c>
      <c r="C53" s="79" t="s">
        <v>429</v>
      </c>
      <c r="D53" s="80">
        <v>45965</v>
      </c>
      <c r="E53" s="80">
        <v>45978</v>
      </c>
      <c r="F53" s="80">
        <f>E53+14</f>
        <v>45992</v>
      </c>
      <c r="G53" s="79">
        <v>15</v>
      </c>
      <c r="H53" s="79" t="s">
        <v>446</v>
      </c>
      <c r="I53" s="82">
        <v>1539.44</v>
      </c>
      <c r="J53" s="80">
        <v>45974</v>
      </c>
      <c r="K53" s="80">
        <v>45975</v>
      </c>
      <c r="L53" s="79"/>
    </row>
    <row r="54" spans="1:12">
      <c r="A54" s="43" t="s">
        <v>450</v>
      </c>
      <c r="B54" s="79" t="s">
        <v>363</v>
      </c>
      <c r="C54" s="79" t="s">
        <v>431</v>
      </c>
      <c r="D54" s="80">
        <v>45998</v>
      </c>
      <c r="E54" s="80">
        <v>45978</v>
      </c>
      <c r="F54" s="80">
        <f>E54+19</f>
        <v>45997</v>
      </c>
      <c r="G54" s="79">
        <v>20</v>
      </c>
      <c r="H54" s="79" t="s">
        <v>446</v>
      </c>
      <c r="I54" s="84">
        <v>2734.07</v>
      </c>
      <c r="J54" s="80">
        <v>45974</v>
      </c>
      <c r="K54" s="80">
        <v>45975</v>
      </c>
      <c r="L54" s="79" t="s">
        <v>394</v>
      </c>
    </row>
    <row r="55" spans="1:12">
      <c r="A55" s="43" t="s">
        <v>405</v>
      </c>
      <c r="B55" s="79" t="s">
        <v>451</v>
      </c>
      <c r="C55" s="79" t="s">
        <v>406</v>
      </c>
      <c r="D55" s="80">
        <v>45999</v>
      </c>
      <c r="E55" s="80">
        <v>45979</v>
      </c>
      <c r="F55" s="80">
        <f>E55+17</f>
        <v>45996</v>
      </c>
      <c r="G55" s="79">
        <v>18</v>
      </c>
      <c r="H55" s="79" t="s">
        <v>446</v>
      </c>
      <c r="I55" s="84">
        <v>1930.68</v>
      </c>
      <c r="J55" s="80">
        <v>45974</v>
      </c>
      <c r="K55" s="80">
        <v>45975</v>
      </c>
      <c r="L55" s="79"/>
    </row>
    <row r="56" spans="1:12">
      <c r="A56" s="43" t="s">
        <v>452</v>
      </c>
      <c r="B56" s="79" t="s">
        <v>409</v>
      </c>
      <c r="C56" s="79" t="s">
        <v>453</v>
      </c>
      <c r="D56" s="80">
        <v>46001</v>
      </c>
      <c r="E56" s="80">
        <v>45992</v>
      </c>
      <c r="F56" s="80">
        <f t="shared" ref="F56:F60" si="1">E56+29</f>
        <v>46021</v>
      </c>
      <c r="G56" s="79">
        <v>30</v>
      </c>
      <c r="H56" s="79" t="s">
        <v>446</v>
      </c>
      <c r="I56" s="82">
        <v>2449.44</v>
      </c>
      <c r="J56" s="80">
        <v>45988</v>
      </c>
      <c r="K56" s="80">
        <v>45989</v>
      </c>
      <c r="L56" s="79"/>
    </row>
    <row r="57" spans="1:12" ht="13.15" customHeight="1">
      <c r="A57" s="43" t="s">
        <v>366</v>
      </c>
      <c r="B57" s="79" t="s">
        <v>367</v>
      </c>
      <c r="C57" s="80" t="s">
        <v>454</v>
      </c>
      <c r="D57" s="80">
        <v>46038</v>
      </c>
      <c r="E57" s="80">
        <v>46006</v>
      </c>
      <c r="F57" s="80">
        <f t="shared" si="1"/>
        <v>46035</v>
      </c>
      <c r="G57" s="79">
        <v>30</v>
      </c>
      <c r="H57" s="79" t="s">
        <v>446</v>
      </c>
      <c r="I57" s="84">
        <v>3476.77</v>
      </c>
      <c r="J57" s="80">
        <v>46002</v>
      </c>
      <c r="K57" s="80">
        <v>46003</v>
      </c>
      <c r="L57" s="79"/>
    </row>
    <row r="58" spans="1:12" ht="15">
      <c r="A58" s="29" t="s">
        <v>455</v>
      </c>
      <c r="B58" s="71" t="s">
        <v>413</v>
      </c>
      <c r="C58" s="79" t="s">
        <v>456</v>
      </c>
      <c r="D58" s="79"/>
      <c r="E58" s="80">
        <v>46006</v>
      </c>
      <c r="F58" s="80">
        <v>45670</v>
      </c>
      <c r="G58" s="79">
        <v>30</v>
      </c>
      <c r="H58" s="79" t="s">
        <v>446</v>
      </c>
      <c r="I58" s="82">
        <v>2449.44</v>
      </c>
      <c r="J58" s="80">
        <v>46002</v>
      </c>
      <c r="K58" s="80">
        <v>46003</v>
      </c>
      <c r="L58" s="79"/>
    </row>
    <row r="59" spans="1:12" ht="15">
      <c r="A59" s="29" t="s">
        <v>457</v>
      </c>
      <c r="B59" s="71" t="s">
        <v>413</v>
      </c>
      <c r="C59" s="79" t="s">
        <v>458</v>
      </c>
      <c r="D59" s="79"/>
      <c r="E59" s="80">
        <v>46006</v>
      </c>
      <c r="F59" s="80">
        <v>45670</v>
      </c>
      <c r="G59" s="79">
        <v>30</v>
      </c>
      <c r="H59" s="79" t="s">
        <v>446</v>
      </c>
      <c r="I59" s="82">
        <v>2661.4</v>
      </c>
      <c r="J59" s="80">
        <v>46002</v>
      </c>
      <c r="K59" s="80">
        <v>46003</v>
      </c>
      <c r="L59" s="79"/>
    </row>
    <row r="60" spans="1:12">
      <c r="A60" s="43" t="s">
        <v>459</v>
      </c>
      <c r="B60" s="79" t="s">
        <v>460</v>
      </c>
      <c r="C60" s="79" t="s">
        <v>461</v>
      </c>
      <c r="D60" s="80">
        <v>46062</v>
      </c>
      <c r="E60" s="80">
        <v>46013</v>
      </c>
      <c r="F60" s="80">
        <f t="shared" si="1"/>
        <v>46042</v>
      </c>
      <c r="G60" s="79">
        <v>30</v>
      </c>
      <c r="H60" s="79" t="s">
        <v>446</v>
      </c>
      <c r="I60" s="84">
        <v>1864.61</v>
      </c>
      <c r="J60" s="80">
        <v>46009</v>
      </c>
      <c r="K60" s="80">
        <v>46010</v>
      </c>
      <c r="L60" s="79"/>
    </row>
    <row r="61" spans="1:12" ht="15">
      <c r="A61" s="29" t="s">
        <v>462</v>
      </c>
      <c r="B61" s="86" t="s">
        <v>372</v>
      </c>
      <c r="C61" s="79" t="s">
        <v>463</v>
      </c>
      <c r="D61" s="80"/>
      <c r="E61" s="80">
        <v>46013</v>
      </c>
      <c r="F61" s="80">
        <v>46026</v>
      </c>
      <c r="G61" s="79">
        <v>14</v>
      </c>
      <c r="H61" s="79" t="s">
        <v>446</v>
      </c>
      <c r="I61" s="82">
        <v>1327.38</v>
      </c>
      <c r="J61" s="80">
        <v>46009</v>
      </c>
      <c r="K61" s="80">
        <v>46010</v>
      </c>
      <c r="L61" s="79"/>
    </row>
    <row r="62" spans="1:12" ht="15">
      <c r="A62" s="29" t="s">
        <v>464</v>
      </c>
      <c r="B62" s="86" t="s">
        <v>372</v>
      </c>
      <c r="C62" s="79" t="s">
        <v>465</v>
      </c>
      <c r="D62" s="80"/>
      <c r="E62" s="80">
        <v>46013</v>
      </c>
      <c r="F62" s="80">
        <v>46026</v>
      </c>
      <c r="G62" s="79">
        <v>14</v>
      </c>
      <c r="H62" s="79" t="s">
        <v>446</v>
      </c>
      <c r="I62" s="82">
        <v>1151.1099999999999</v>
      </c>
      <c r="J62" s="80">
        <v>46009</v>
      </c>
      <c r="K62" s="80">
        <v>46010</v>
      </c>
      <c r="L62" s="79"/>
    </row>
    <row r="63" spans="1:12" ht="15">
      <c r="A63" s="29" t="s">
        <v>466</v>
      </c>
      <c r="B63" s="86" t="s">
        <v>372</v>
      </c>
      <c r="C63" s="79" t="s">
        <v>467</v>
      </c>
      <c r="D63" s="79"/>
      <c r="E63" s="80">
        <v>46013</v>
      </c>
      <c r="F63" s="80">
        <v>46026</v>
      </c>
      <c r="G63" s="79">
        <v>14</v>
      </c>
      <c r="H63" s="79" t="s">
        <v>446</v>
      </c>
      <c r="I63" s="82">
        <v>1151.1099999999999</v>
      </c>
      <c r="J63" s="80">
        <v>46009</v>
      </c>
      <c r="K63" s="80">
        <v>46010</v>
      </c>
      <c r="L63" s="79" t="s">
        <v>468</v>
      </c>
    </row>
    <row r="64" spans="1:12" ht="15" customHeight="1">
      <c r="A64" s="29" t="s">
        <v>469</v>
      </c>
      <c r="B64" s="86" t="s">
        <v>372</v>
      </c>
      <c r="C64" s="79" t="s">
        <v>470</v>
      </c>
      <c r="D64" s="79"/>
      <c r="E64" s="80">
        <v>46013</v>
      </c>
      <c r="F64" s="80">
        <v>46026</v>
      </c>
      <c r="G64" s="79">
        <v>14</v>
      </c>
      <c r="H64" s="79" t="s">
        <v>446</v>
      </c>
      <c r="I64" s="82">
        <v>1461.93</v>
      </c>
      <c r="J64" s="80">
        <v>46009</v>
      </c>
      <c r="K64" s="80">
        <v>46010</v>
      </c>
      <c r="L64" s="79"/>
    </row>
    <row r="65" spans="1:12" ht="14.45" customHeight="1">
      <c r="A65" s="29" t="s">
        <v>471</v>
      </c>
      <c r="B65" s="86" t="s">
        <v>409</v>
      </c>
      <c r="C65" s="79" t="s">
        <v>472</v>
      </c>
      <c r="D65" s="79"/>
      <c r="E65" s="80">
        <v>46013</v>
      </c>
      <c r="F65" s="80">
        <v>46026</v>
      </c>
      <c r="G65" s="79">
        <v>14</v>
      </c>
      <c r="H65" s="79" t="s">
        <v>446</v>
      </c>
      <c r="I65" s="82">
        <v>1610.62</v>
      </c>
      <c r="J65" s="80">
        <v>46009</v>
      </c>
      <c r="K65" s="80">
        <v>46010</v>
      </c>
      <c r="L65" s="79"/>
    </row>
    <row r="66" spans="1:12" ht="15">
      <c r="A66" s="29" t="s">
        <v>473</v>
      </c>
      <c r="B66" s="86" t="s">
        <v>409</v>
      </c>
      <c r="C66" s="79" t="s">
        <v>474</v>
      </c>
      <c r="D66" s="79"/>
      <c r="E66" s="80">
        <v>46013</v>
      </c>
      <c r="F66" s="80">
        <v>46026</v>
      </c>
      <c r="G66" s="79">
        <v>14</v>
      </c>
      <c r="H66" s="79" t="s">
        <v>446</v>
      </c>
      <c r="I66" s="82">
        <v>1151.1099999999999</v>
      </c>
      <c r="J66" s="80">
        <v>46009</v>
      </c>
      <c r="K66" s="80">
        <v>46010</v>
      </c>
      <c r="L66" s="79"/>
    </row>
    <row r="67" spans="1:12" ht="15">
      <c r="A67" s="29" t="s">
        <v>475</v>
      </c>
      <c r="B67" s="71" t="s">
        <v>413</v>
      </c>
      <c r="C67" s="79" t="s">
        <v>476</v>
      </c>
      <c r="D67" s="79"/>
      <c r="E67" s="80">
        <v>46013</v>
      </c>
      <c r="F67" s="80">
        <v>46026</v>
      </c>
      <c r="G67" s="79">
        <v>14</v>
      </c>
      <c r="H67" s="79" t="s">
        <v>446</v>
      </c>
      <c r="I67" s="82">
        <v>1262.45</v>
      </c>
      <c r="J67" s="80">
        <v>46009</v>
      </c>
      <c r="K67" s="80">
        <v>46010</v>
      </c>
      <c r="L67" s="79"/>
    </row>
    <row r="68" spans="1:12" ht="15">
      <c r="A68" s="29" t="s">
        <v>477</v>
      </c>
      <c r="B68" s="71" t="s">
        <v>413</v>
      </c>
      <c r="C68" s="79" t="s">
        <v>478</v>
      </c>
      <c r="D68" s="79"/>
      <c r="E68" s="80">
        <v>46013</v>
      </c>
      <c r="F68" s="80">
        <v>46026</v>
      </c>
      <c r="G68" s="79">
        <v>14</v>
      </c>
      <c r="H68" s="79" t="s">
        <v>446</v>
      </c>
      <c r="I68" s="82">
        <v>1157.57</v>
      </c>
      <c r="J68" s="80">
        <v>46009</v>
      </c>
      <c r="K68" s="80">
        <v>46010</v>
      </c>
      <c r="L68" s="79"/>
    </row>
    <row r="69" spans="1:12" ht="15">
      <c r="A69" s="29" t="s">
        <v>479</v>
      </c>
      <c r="B69" s="71" t="s">
        <v>413</v>
      </c>
      <c r="C69" s="79" t="s">
        <v>480</v>
      </c>
      <c r="D69" s="79"/>
      <c r="E69" s="80">
        <v>46013</v>
      </c>
      <c r="F69" s="80">
        <v>46019</v>
      </c>
      <c r="G69" s="79">
        <v>7</v>
      </c>
      <c r="H69" s="79" t="s">
        <v>446</v>
      </c>
      <c r="I69" s="82">
        <v>930.14</v>
      </c>
      <c r="J69" s="80">
        <v>46009</v>
      </c>
      <c r="K69" s="80">
        <v>46010</v>
      </c>
      <c r="L69" s="79"/>
    </row>
    <row r="70" spans="1:12" ht="15">
      <c r="A70" s="29" t="s">
        <v>398</v>
      </c>
      <c r="B70" s="86" t="s">
        <v>448</v>
      </c>
      <c r="C70" s="79" t="s">
        <v>481</v>
      </c>
      <c r="D70" s="79"/>
      <c r="E70" s="80">
        <v>46013</v>
      </c>
      <c r="F70" s="80">
        <v>46026</v>
      </c>
      <c r="G70" s="79">
        <v>14</v>
      </c>
      <c r="H70" s="79" t="s">
        <v>446</v>
      </c>
      <c r="I70" s="82">
        <v>1151.1099999999999</v>
      </c>
      <c r="J70" s="80">
        <v>46009</v>
      </c>
      <c r="K70" s="80">
        <v>46010</v>
      </c>
      <c r="L70" s="79"/>
    </row>
    <row r="71" spans="1:12" ht="15">
      <c r="A71" s="29" t="s">
        <v>482</v>
      </c>
      <c r="B71" s="86" t="s">
        <v>367</v>
      </c>
      <c r="C71" s="80" t="s">
        <v>483</v>
      </c>
      <c r="D71" s="80"/>
      <c r="E71" s="80">
        <v>46013</v>
      </c>
      <c r="F71" s="80">
        <v>46026</v>
      </c>
      <c r="G71" s="79">
        <v>14</v>
      </c>
      <c r="H71" s="79" t="s">
        <v>446</v>
      </c>
      <c r="I71" s="82">
        <v>1721.44</v>
      </c>
      <c r="J71" s="80">
        <v>46009</v>
      </c>
      <c r="K71" s="80">
        <v>46010</v>
      </c>
      <c r="L71" s="79"/>
    </row>
    <row r="72" spans="1:12" ht="15">
      <c r="A72" s="29" t="s">
        <v>484</v>
      </c>
      <c r="B72" s="86" t="s">
        <v>485</v>
      </c>
      <c r="C72" s="79" t="s">
        <v>486</v>
      </c>
      <c r="D72" s="79"/>
      <c r="E72" s="80">
        <v>46013</v>
      </c>
      <c r="F72" s="80">
        <v>46026</v>
      </c>
      <c r="G72" s="79">
        <v>14</v>
      </c>
      <c r="H72" s="79" t="s">
        <v>446</v>
      </c>
      <c r="I72" s="82">
        <v>1721.44</v>
      </c>
      <c r="J72" s="80">
        <v>46009</v>
      </c>
      <c r="K72" s="80">
        <v>46010</v>
      </c>
      <c r="L72" s="79"/>
    </row>
    <row r="73" spans="1:12" ht="15">
      <c r="A73" s="29" t="s">
        <v>487</v>
      </c>
      <c r="B73" s="86" t="s">
        <v>439</v>
      </c>
      <c r="C73" s="79" t="s">
        <v>478</v>
      </c>
      <c r="D73" s="79"/>
      <c r="E73" s="80">
        <v>46013</v>
      </c>
      <c r="F73" s="80">
        <v>46026</v>
      </c>
      <c r="G73" s="79">
        <v>14</v>
      </c>
      <c r="H73" s="79" t="s">
        <v>446</v>
      </c>
      <c r="I73" s="82">
        <v>1506.7</v>
      </c>
      <c r="J73" s="80">
        <v>46009</v>
      </c>
      <c r="K73" s="80">
        <v>46010</v>
      </c>
      <c r="L73" s="79"/>
    </row>
    <row r="74" spans="1:12" ht="15">
      <c r="A74" s="29" t="s">
        <v>488</v>
      </c>
      <c r="B74" s="86" t="s">
        <v>451</v>
      </c>
      <c r="C74" s="79" t="s">
        <v>489</v>
      </c>
      <c r="D74" s="79"/>
      <c r="E74" s="80">
        <v>46013</v>
      </c>
      <c r="F74" s="80">
        <v>45677</v>
      </c>
      <c r="G74" s="79">
        <v>30</v>
      </c>
      <c r="H74" s="79" t="s">
        <v>446</v>
      </c>
      <c r="I74" s="82">
        <v>3881.31</v>
      </c>
      <c r="J74" s="80">
        <v>46009</v>
      </c>
      <c r="K74" s="80">
        <v>46010</v>
      </c>
      <c r="L74" s="79"/>
    </row>
    <row r="75" spans="1:12" ht="15">
      <c r="A75" s="29" t="s">
        <v>490</v>
      </c>
      <c r="B75" s="86" t="s">
        <v>451</v>
      </c>
      <c r="C75" s="79" t="s">
        <v>472</v>
      </c>
      <c r="D75" s="79"/>
      <c r="E75" s="80">
        <v>46013</v>
      </c>
      <c r="F75" s="80">
        <v>46026</v>
      </c>
      <c r="G75" s="79">
        <v>14</v>
      </c>
      <c r="H75" s="79" t="s">
        <v>446</v>
      </c>
      <c r="I75" s="82">
        <v>1609.8</v>
      </c>
      <c r="J75" s="80">
        <v>46009</v>
      </c>
      <c r="K75" s="80">
        <v>46010</v>
      </c>
      <c r="L75" s="79"/>
    </row>
    <row r="76" spans="1:12" ht="15">
      <c r="A76" s="29" t="s">
        <v>491</v>
      </c>
      <c r="B76" s="86" t="s">
        <v>363</v>
      </c>
      <c r="C76" s="79" t="s">
        <v>492</v>
      </c>
      <c r="D76" s="79"/>
      <c r="E76" s="80">
        <v>46013</v>
      </c>
      <c r="F76" s="80">
        <v>46026</v>
      </c>
      <c r="G76" s="79">
        <v>14</v>
      </c>
      <c r="H76" s="79" t="s">
        <v>446</v>
      </c>
      <c r="I76" s="82">
        <v>1438.52</v>
      </c>
      <c r="J76" s="80">
        <v>46009</v>
      </c>
      <c r="K76" s="80">
        <v>46010</v>
      </c>
      <c r="L76" s="79"/>
    </row>
    <row r="77" spans="1:12" ht="15">
      <c r="A77" s="29" t="s">
        <v>386</v>
      </c>
      <c r="B77" s="86" t="s">
        <v>387</v>
      </c>
      <c r="C77" s="79" t="s">
        <v>493</v>
      </c>
      <c r="D77" s="79"/>
      <c r="E77" s="80">
        <v>46013</v>
      </c>
      <c r="F77" s="80">
        <v>46026</v>
      </c>
      <c r="G77" s="79">
        <v>14</v>
      </c>
      <c r="H77" s="79" t="s">
        <v>446</v>
      </c>
      <c r="I77" s="82">
        <v>1332.62</v>
      </c>
      <c r="J77" s="80">
        <v>46009</v>
      </c>
      <c r="K77" s="80">
        <v>46010</v>
      </c>
      <c r="L77" s="79"/>
    </row>
    <row r="78" spans="1:12" ht="15">
      <c r="A78" s="29" t="s">
        <v>494</v>
      </c>
      <c r="B78" s="86" t="s">
        <v>387</v>
      </c>
      <c r="C78" s="79" t="s">
        <v>495</v>
      </c>
      <c r="D78" s="79"/>
      <c r="E78" s="80">
        <v>46013</v>
      </c>
      <c r="F78" s="80">
        <v>46026</v>
      </c>
      <c r="G78" s="79">
        <v>14</v>
      </c>
      <c r="H78" s="79" t="s">
        <v>446</v>
      </c>
      <c r="I78" s="82">
        <v>2994.3</v>
      </c>
      <c r="J78" s="80">
        <v>46009</v>
      </c>
      <c r="K78" s="80">
        <v>46010</v>
      </c>
      <c r="L78" s="79"/>
    </row>
    <row r="79" spans="1:12" ht="15">
      <c r="A79" s="29" t="s">
        <v>407</v>
      </c>
      <c r="B79" s="86" t="s">
        <v>496</v>
      </c>
      <c r="C79" s="79" t="s">
        <v>497</v>
      </c>
      <c r="D79" s="80"/>
      <c r="E79" s="80">
        <v>46013</v>
      </c>
      <c r="F79" s="80">
        <v>46026</v>
      </c>
      <c r="G79" s="79">
        <v>14</v>
      </c>
      <c r="H79" s="79" t="s">
        <v>446</v>
      </c>
      <c r="I79" s="82">
        <v>1151.1099999999999</v>
      </c>
      <c r="J79" s="80">
        <v>46009</v>
      </c>
      <c r="K79" s="80">
        <v>46010</v>
      </c>
      <c r="L79" s="79"/>
    </row>
    <row r="80" spans="1:12" ht="15">
      <c r="A80" s="29" t="s">
        <v>498</v>
      </c>
      <c r="B80" s="79" t="s">
        <v>460</v>
      </c>
      <c r="C80" s="79" t="s">
        <v>499</v>
      </c>
      <c r="D80" s="79"/>
      <c r="E80" s="80">
        <v>46013</v>
      </c>
      <c r="F80" s="80">
        <v>46026</v>
      </c>
      <c r="G80" s="79">
        <v>14</v>
      </c>
      <c r="H80" s="79" t="s">
        <v>446</v>
      </c>
      <c r="I80" s="82">
        <v>1214.23</v>
      </c>
      <c r="J80" s="80">
        <v>46009</v>
      </c>
      <c r="K80" s="80">
        <v>46010</v>
      </c>
      <c r="L80" s="79"/>
    </row>
    <row r="81" spans="1:12" ht="15">
      <c r="A81" s="29" t="s">
        <v>500</v>
      </c>
      <c r="B81" s="79" t="s">
        <v>460</v>
      </c>
      <c r="C81" s="79" t="s">
        <v>501</v>
      </c>
      <c r="D81" s="79"/>
      <c r="E81" s="80">
        <v>46013</v>
      </c>
      <c r="F81" s="80">
        <v>46026</v>
      </c>
      <c r="G81" s="79">
        <v>14</v>
      </c>
      <c r="H81" s="79" t="s">
        <v>446</v>
      </c>
      <c r="I81" s="82">
        <v>1151.1099999999999</v>
      </c>
      <c r="J81" s="80">
        <v>46009</v>
      </c>
      <c r="K81" s="80">
        <v>46010</v>
      </c>
      <c r="L81" s="79"/>
    </row>
    <row r="82" spans="1:12" ht="15">
      <c r="A82" s="29" t="s">
        <v>502</v>
      </c>
      <c r="B82" s="79" t="s">
        <v>460</v>
      </c>
      <c r="C82" s="79" t="s">
        <v>503</v>
      </c>
      <c r="D82" s="79"/>
      <c r="E82" s="80">
        <v>46013</v>
      </c>
      <c r="F82" s="80">
        <v>46026</v>
      </c>
      <c r="G82" s="79">
        <v>14</v>
      </c>
      <c r="H82" s="79" t="s">
        <v>446</v>
      </c>
      <c r="I82" s="82">
        <v>1802.44</v>
      </c>
      <c r="J82" s="80">
        <v>46009</v>
      </c>
      <c r="K82" s="80">
        <v>46010</v>
      </c>
      <c r="L82" s="79"/>
    </row>
    <row r="83" spans="1:12" ht="15">
      <c r="A83" s="29" t="s">
        <v>504</v>
      </c>
      <c r="B83" s="79" t="s">
        <v>460</v>
      </c>
      <c r="C83" s="79" t="s">
        <v>505</v>
      </c>
      <c r="D83" s="79"/>
      <c r="E83" s="80">
        <v>46013</v>
      </c>
      <c r="F83" s="80">
        <v>46026</v>
      </c>
      <c r="G83" s="79">
        <v>14</v>
      </c>
      <c r="H83" s="79" t="s">
        <v>446</v>
      </c>
      <c r="I83" s="82">
        <v>1438.33</v>
      </c>
      <c r="J83" s="80">
        <v>46009</v>
      </c>
      <c r="K83" s="80">
        <v>46010</v>
      </c>
      <c r="L83" s="79"/>
    </row>
    <row r="84" spans="1:12" ht="15">
      <c r="A84" s="29" t="s">
        <v>506</v>
      </c>
      <c r="B84" s="79" t="s">
        <v>415</v>
      </c>
      <c r="C84" s="79" t="s">
        <v>507</v>
      </c>
      <c r="D84" s="79"/>
      <c r="E84" s="80">
        <v>46013</v>
      </c>
      <c r="F84" s="80">
        <v>46026</v>
      </c>
      <c r="G84" s="79">
        <v>14</v>
      </c>
      <c r="H84" s="79" t="s">
        <v>446</v>
      </c>
      <c r="I84" s="82">
        <v>1597.83</v>
      </c>
      <c r="J84" s="80">
        <v>46009</v>
      </c>
      <c r="K84" s="80">
        <v>46010</v>
      </c>
      <c r="L84" s="79"/>
    </row>
    <row r="85" spans="1:12" ht="15">
      <c r="A85" s="29" t="s">
        <v>508</v>
      </c>
      <c r="B85" s="79" t="s">
        <v>415</v>
      </c>
      <c r="C85" s="79" t="s">
        <v>509</v>
      </c>
      <c r="D85" s="79"/>
      <c r="E85" s="80">
        <v>46013</v>
      </c>
      <c r="F85" s="80">
        <v>46026</v>
      </c>
      <c r="G85" s="79">
        <v>14</v>
      </c>
      <c r="H85" s="79" t="s">
        <v>446</v>
      </c>
      <c r="I85" s="82">
        <v>1503.56</v>
      </c>
      <c r="J85" s="80">
        <v>46009</v>
      </c>
      <c r="K85" s="80">
        <v>46010</v>
      </c>
      <c r="L85" s="79"/>
    </row>
    <row r="86" spans="1:12" ht="15">
      <c r="A86" s="29" t="s">
        <v>510</v>
      </c>
      <c r="B86" s="79" t="s">
        <v>415</v>
      </c>
      <c r="C86" s="79" t="s">
        <v>511</v>
      </c>
      <c r="D86" s="79"/>
      <c r="E86" s="80">
        <v>46013</v>
      </c>
      <c r="F86" s="80">
        <v>46026</v>
      </c>
      <c r="G86" s="79">
        <v>14</v>
      </c>
      <c r="H86" s="79" t="s">
        <v>446</v>
      </c>
      <c r="I86" s="82">
        <v>1155.3800000000001</v>
      </c>
      <c r="J86" s="80">
        <v>46009</v>
      </c>
      <c r="K86" s="80">
        <v>46010</v>
      </c>
      <c r="L86" s="79"/>
    </row>
    <row r="87" spans="1:12" ht="15">
      <c r="A87" s="29" t="s">
        <v>512</v>
      </c>
      <c r="B87" s="79" t="s">
        <v>415</v>
      </c>
      <c r="C87" s="79" t="s">
        <v>513</v>
      </c>
      <c r="D87" s="79"/>
      <c r="E87" s="80">
        <v>46013</v>
      </c>
      <c r="F87" s="80">
        <v>46026</v>
      </c>
      <c r="G87" s="79">
        <v>14</v>
      </c>
      <c r="H87" s="79" t="s">
        <v>446</v>
      </c>
      <c r="I87" s="82">
        <v>1255.81</v>
      </c>
      <c r="J87" s="80">
        <v>46009</v>
      </c>
      <c r="K87" s="80">
        <v>46010</v>
      </c>
      <c r="L87" s="79"/>
    </row>
    <row r="88" spans="1:12" ht="15">
      <c r="A88" s="29" t="s">
        <v>514</v>
      </c>
      <c r="B88" s="71" t="s">
        <v>413</v>
      </c>
      <c r="C88" s="79" t="s">
        <v>420</v>
      </c>
      <c r="D88" s="79"/>
      <c r="E88" s="80">
        <v>46020</v>
      </c>
      <c r="F88" s="80">
        <v>45674</v>
      </c>
      <c r="G88" s="79">
        <v>20</v>
      </c>
      <c r="H88" s="79" t="s">
        <v>446</v>
      </c>
      <c r="I88" s="82">
        <v>2045</v>
      </c>
      <c r="J88" s="80">
        <v>46009</v>
      </c>
      <c r="K88" s="80">
        <v>46017</v>
      </c>
      <c r="L88" s="79"/>
    </row>
    <row r="89" spans="1:12">
      <c r="A89" s="87" t="s">
        <v>515</v>
      </c>
      <c r="B89" s="79" t="s">
        <v>415</v>
      </c>
      <c r="C89" s="79" t="s">
        <v>516</v>
      </c>
      <c r="D89" s="79"/>
      <c r="E89" s="80">
        <v>46027</v>
      </c>
      <c r="F89" s="80">
        <f>E89+14</f>
        <v>46041</v>
      </c>
      <c r="G89" s="79">
        <v>15</v>
      </c>
      <c r="H89" s="79" t="s">
        <v>446</v>
      </c>
      <c r="I89" s="88">
        <v>1749.08</v>
      </c>
      <c r="J89" s="80">
        <v>46021</v>
      </c>
      <c r="K89" s="80">
        <v>46024</v>
      </c>
      <c r="L89" s="79"/>
    </row>
    <row r="90" spans="1:12">
      <c r="A90" s="87" t="s">
        <v>517</v>
      </c>
      <c r="B90" s="79" t="s">
        <v>496</v>
      </c>
      <c r="C90" s="79" t="s">
        <v>518</v>
      </c>
      <c r="D90" s="79"/>
      <c r="E90" s="80">
        <v>46055</v>
      </c>
      <c r="F90" s="80">
        <v>46074</v>
      </c>
      <c r="G90" s="79">
        <v>20</v>
      </c>
      <c r="H90" s="79" t="s">
        <v>446</v>
      </c>
      <c r="I90" s="82">
        <v>4576.4799999999996</v>
      </c>
      <c r="J90" s="80">
        <v>46051</v>
      </c>
      <c r="K90" s="80">
        <v>46052</v>
      </c>
      <c r="L90" s="79" t="s">
        <v>397</v>
      </c>
    </row>
    <row r="91" spans="1:12" ht="15">
      <c r="A91" s="29" t="s">
        <v>498</v>
      </c>
      <c r="B91" s="79" t="s">
        <v>460</v>
      </c>
      <c r="C91" s="80" t="s">
        <v>499</v>
      </c>
      <c r="D91" s="79"/>
      <c r="E91" s="80">
        <v>46057</v>
      </c>
      <c r="F91" s="80">
        <f t="shared" ref="F91:F96" si="2">E91+15</f>
        <v>46072</v>
      </c>
      <c r="G91" s="79">
        <v>16</v>
      </c>
      <c r="H91" s="79" t="s">
        <v>446</v>
      </c>
      <c r="I91" s="82">
        <v>1442.84</v>
      </c>
      <c r="J91" s="80">
        <v>46051</v>
      </c>
      <c r="K91" s="80">
        <v>46052</v>
      </c>
      <c r="L91" s="79"/>
    </row>
    <row r="92" spans="1:12">
      <c r="A92" s="87" t="s">
        <v>519</v>
      </c>
      <c r="B92" s="79" t="s">
        <v>520</v>
      </c>
      <c r="C92" s="79" t="s">
        <v>521</v>
      </c>
      <c r="D92" s="79"/>
      <c r="E92" s="80">
        <v>46063</v>
      </c>
      <c r="F92" s="80">
        <f t="shared" si="2"/>
        <v>46078</v>
      </c>
      <c r="G92" s="79">
        <v>15</v>
      </c>
      <c r="H92" s="79" t="s">
        <v>446</v>
      </c>
      <c r="I92" s="82">
        <v>1373.22</v>
      </c>
      <c r="J92" s="80">
        <v>46058</v>
      </c>
      <c r="K92" s="80">
        <v>46059</v>
      </c>
      <c r="L92" s="79"/>
    </row>
    <row r="93" spans="1:12" ht="13.15" customHeight="1">
      <c r="A93" s="87" t="s">
        <v>522</v>
      </c>
      <c r="B93" s="79" t="s">
        <v>520</v>
      </c>
      <c r="C93" s="79" t="s">
        <v>523</v>
      </c>
      <c r="D93" s="79"/>
      <c r="E93" s="80">
        <v>46083</v>
      </c>
      <c r="F93" s="80">
        <v>46096</v>
      </c>
      <c r="G93" s="79">
        <v>14</v>
      </c>
      <c r="H93" s="79" t="s">
        <v>446</v>
      </c>
      <c r="I93" s="82">
        <v>1247.08</v>
      </c>
      <c r="J93" s="80">
        <v>46079</v>
      </c>
      <c r="K93" s="80">
        <v>46080</v>
      </c>
      <c r="L93" s="79"/>
    </row>
    <row r="94" spans="1:12">
      <c r="A94" s="87" t="s">
        <v>414</v>
      </c>
      <c r="B94" s="79" t="s">
        <v>520</v>
      </c>
      <c r="C94" s="79" t="s">
        <v>524</v>
      </c>
      <c r="D94" s="79"/>
      <c r="E94" s="80">
        <v>46083</v>
      </c>
      <c r="F94" s="80">
        <v>46096</v>
      </c>
      <c r="G94" s="79">
        <v>14</v>
      </c>
      <c r="H94" s="79" t="s">
        <v>446</v>
      </c>
      <c r="I94" s="82">
        <v>1799.69</v>
      </c>
      <c r="J94" s="80">
        <v>46079</v>
      </c>
      <c r="K94" s="80">
        <v>46080</v>
      </c>
      <c r="L94" s="79"/>
    </row>
    <row r="95" spans="1:12">
      <c r="A95" s="87" t="s">
        <v>525</v>
      </c>
      <c r="B95" s="79" t="s">
        <v>520</v>
      </c>
      <c r="C95" s="79" t="s">
        <v>513</v>
      </c>
      <c r="D95" s="79"/>
      <c r="E95" s="80">
        <v>46085</v>
      </c>
      <c r="F95" s="80">
        <v>46100</v>
      </c>
      <c r="G95" s="79">
        <v>16</v>
      </c>
      <c r="H95" s="79" t="s">
        <v>446</v>
      </c>
      <c r="I95" s="82">
        <v>1491.96</v>
      </c>
      <c r="J95" s="80">
        <v>46079</v>
      </c>
      <c r="K95" s="80">
        <v>46083</v>
      </c>
      <c r="L95" s="79"/>
    </row>
    <row r="96" spans="1:12">
      <c r="A96" s="87" t="s">
        <v>526</v>
      </c>
      <c r="B96" s="79" t="s">
        <v>409</v>
      </c>
      <c r="C96" s="79" t="s">
        <v>527</v>
      </c>
      <c r="D96" s="79"/>
      <c r="E96" s="80">
        <v>46099</v>
      </c>
      <c r="F96" s="80">
        <f t="shared" si="2"/>
        <v>46114</v>
      </c>
      <c r="G96" s="79">
        <v>16</v>
      </c>
      <c r="H96" s="79" t="s">
        <v>446</v>
      </c>
      <c r="I96" s="82">
        <v>1368.18</v>
      </c>
      <c r="J96" s="80">
        <v>46097</v>
      </c>
      <c r="K96" s="80">
        <v>46097</v>
      </c>
      <c r="L96" s="79"/>
    </row>
    <row r="97" spans="1:12">
      <c r="A97" s="87" t="s">
        <v>528</v>
      </c>
      <c r="B97" s="79" t="s">
        <v>439</v>
      </c>
      <c r="C97" s="79" t="s">
        <v>529</v>
      </c>
      <c r="D97" s="79"/>
      <c r="E97" s="80">
        <v>46104</v>
      </c>
      <c r="F97" s="80">
        <f>E97+14</f>
        <v>46118</v>
      </c>
      <c r="G97" s="79">
        <v>15</v>
      </c>
      <c r="H97" s="79" t="s">
        <v>446</v>
      </c>
      <c r="I97" s="73">
        <v>1917.12</v>
      </c>
      <c r="J97" s="72">
        <v>46100</v>
      </c>
      <c r="K97" s="72">
        <v>46101</v>
      </c>
      <c r="L97" s="71"/>
    </row>
    <row r="98" spans="1:12">
      <c r="A98" s="87" t="s">
        <v>62</v>
      </c>
      <c r="B98" s="79" t="s">
        <v>442</v>
      </c>
      <c r="C98" s="79" t="s">
        <v>530</v>
      </c>
      <c r="D98" s="79"/>
      <c r="E98" s="80">
        <v>46104</v>
      </c>
      <c r="F98" s="80">
        <f t="shared" ref="F98:F99" si="3">E98+29</f>
        <v>46133</v>
      </c>
      <c r="G98" s="79">
        <v>30</v>
      </c>
      <c r="H98" s="79" t="s">
        <v>446</v>
      </c>
      <c r="I98" s="73">
        <v>2548.06</v>
      </c>
      <c r="J98" s="72">
        <v>46100</v>
      </c>
      <c r="K98" s="72">
        <v>46101</v>
      </c>
      <c r="L98" s="71"/>
    </row>
    <row r="99" spans="1:12" ht="13.9" customHeight="1">
      <c r="A99" s="87" t="s">
        <v>531</v>
      </c>
      <c r="B99" s="79" t="s">
        <v>442</v>
      </c>
      <c r="C99" s="79" t="s">
        <v>532</v>
      </c>
      <c r="D99" s="89"/>
      <c r="E99" s="80">
        <v>46113</v>
      </c>
      <c r="F99" s="80">
        <f t="shared" si="3"/>
        <v>46142</v>
      </c>
      <c r="G99" s="79">
        <v>30</v>
      </c>
      <c r="H99" s="79" t="s">
        <v>446</v>
      </c>
      <c r="I99" s="73">
        <v>1991.14</v>
      </c>
      <c r="J99" s="72">
        <v>46107</v>
      </c>
      <c r="K99" s="80">
        <v>46108</v>
      </c>
      <c r="L99" s="79"/>
    </row>
    <row r="100" spans="1:12">
      <c r="A100" s="87" t="s">
        <v>395</v>
      </c>
      <c r="B100" s="79" t="s">
        <v>496</v>
      </c>
      <c r="C100" s="79" t="s">
        <v>532</v>
      </c>
      <c r="D100" s="79"/>
      <c r="E100" s="80">
        <v>46113</v>
      </c>
      <c r="F100" s="80">
        <f t="shared" ref="F100:F101" si="4">E100+19</f>
        <v>46132</v>
      </c>
      <c r="G100" s="79">
        <v>20</v>
      </c>
      <c r="H100" s="79" t="s">
        <v>446</v>
      </c>
      <c r="I100" s="73">
        <v>3157.66</v>
      </c>
      <c r="J100" s="72">
        <v>46107</v>
      </c>
      <c r="K100" s="80">
        <v>46108</v>
      </c>
      <c r="L100" s="79" t="s">
        <v>394</v>
      </c>
    </row>
    <row r="101" spans="1:12">
      <c r="A101" s="87" t="s">
        <v>392</v>
      </c>
      <c r="B101" s="79" t="s">
        <v>460</v>
      </c>
      <c r="C101" s="79" t="s">
        <v>532</v>
      </c>
      <c r="D101" s="79"/>
      <c r="E101" s="80">
        <v>46113</v>
      </c>
      <c r="F101" s="80">
        <f t="shared" si="4"/>
        <v>46132</v>
      </c>
      <c r="G101" s="79">
        <v>20</v>
      </c>
      <c r="H101" s="79" t="s">
        <v>446</v>
      </c>
      <c r="I101" s="73">
        <v>3445.21</v>
      </c>
      <c r="J101" s="72">
        <v>46107</v>
      </c>
      <c r="K101" s="80">
        <v>46108</v>
      </c>
      <c r="L101" s="79" t="s">
        <v>394</v>
      </c>
    </row>
    <row r="102" spans="1:12">
      <c r="A102" s="87" t="s">
        <v>28</v>
      </c>
      <c r="B102" s="79" t="s">
        <v>520</v>
      </c>
      <c r="C102" s="79" t="s">
        <v>533</v>
      </c>
      <c r="D102" s="79"/>
      <c r="E102" s="80">
        <v>46119</v>
      </c>
      <c r="F102" s="80">
        <f>E102+15</f>
        <v>46134</v>
      </c>
      <c r="G102" s="79">
        <v>16</v>
      </c>
      <c r="H102" s="79" t="s">
        <v>446</v>
      </c>
      <c r="I102" s="73">
        <v>1443.14</v>
      </c>
      <c r="J102" s="72">
        <v>46107</v>
      </c>
      <c r="K102" s="80">
        <v>46108</v>
      </c>
      <c r="L102" s="79"/>
    </row>
    <row r="103" spans="1:12">
      <c r="A103" s="87" t="s">
        <v>534</v>
      </c>
      <c r="B103" s="79" t="s">
        <v>363</v>
      </c>
      <c r="C103" s="79" t="s">
        <v>535</v>
      </c>
      <c r="D103" s="79"/>
      <c r="E103" s="80">
        <v>46127</v>
      </c>
      <c r="F103" s="80">
        <f>E103+14</f>
        <v>46141</v>
      </c>
      <c r="G103" s="79">
        <v>15</v>
      </c>
      <c r="H103" s="79" t="s">
        <v>446</v>
      </c>
      <c r="I103" s="73">
        <v>1855.24</v>
      </c>
      <c r="J103" s="72">
        <v>46121</v>
      </c>
      <c r="K103" s="72">
        <v>46122</v>
      </c>
      <c r="L103" s="71"/>
    </row>
    <row r="104" spans="1:12">
      <c r="A104" s="87" t="s">
        <v>452</v>
      </c>
      <c r="B104" s="79" t="s">
        <v>409</v>
      </c>
      <c r="C104" s="79"/>
      <c r="D104" s="79"/>
      <c r="E104" s="80">
        <v>46125</v>
      </c>
      <c r="F104" s="80">
        <f>E104+29</f>
        <v>46154</v>
      </c>
      <c r="G104" s="79">
        <v>30</v>
      </c>
      <c r="H104" s="79" t="s">
        <v>446</v>
      </c>
      <c r="I104" s="73">
        <v>2548.06</v>
      </c>
      <c r="J104" s="72">
        <v>46121</v>
      </c>
      <c r="K104" s="72">
        <v>46122</v>
      </c>
      <c r="L104" s="71"/>
    </row>
    <row r="105" spans="1:12">
      <c r="A105" s="87" t="s">
        <v>536</v>
      </c>
      <c r="B105" s="79" t="s">
        <v>520</v>
      </c>
      <c r="C105" s="79" t="s">
        <v>537</v>
      </c>
      <c r="D105" s="79"/>
      <c r="E105" s="80">
        <v>46139</v>
      </c>
      <c r="F105" s="80">
        <f>E105+9</f>
        <v>46148</v>
      </c>
      <c r="G105" s="79">
        <v>10</v>
      </c>
      <c r="H105" s="79" t="s">
        <v>446</v>
      </c>
      <c r="I105" s="82">
        <v>1307.8900000000001</v>
      </c>
      <c r="J105" s="80">
        <v>46135</v>
      </c>
      <c r="K105" s="80">
        <v>46136</v>
      </c>
      <c r="L105" s="79"/>
    </row>
    <row r="106" spans="1:12">
      <c r="A106" s="87" t="s">
        <v>79</v>
      </c>
      <c r="B106" s="79" t="s">
        <v>363</v>
      </c>
      <c r="C106" s="79"/>
      <c r="D106" s="79"/>
      <c r="E106" s="80">
        <v>46146</v>
      </c>
      <c r="F106" s="80">
        <f>E106+19</f>
        <v>46165</v>
      </c>
      <c r="G106" s="79">
        <v>20</v>
      </c>
      <c r="H106" s="79" t="s">
        <v>446</v>
      </c>
      <c r="I106" s="82">
        <v>1712.16</v>
      </c>
      <c r="J106" s="80">
        <v>46142</v>
      </c>
      <c r="K106" s="80">
        <v>46142</v>
      </c>
      <c r="L106" s="79"/>
    </row>
    <row r="107" spans="1:12" ht="14.45" customHeight="1">
      <c r="A107" s="90" t="s">
        <v>398</v>
      </c>
      <c r="B107" s="91" t="s">
        <v>538</v>
      </c>
      <c r="C107" s="91"/>
      <c r="D107" s="91"/>
      <c r="E107" s="92">
        <v>46153</v>
      </c>
      <c r="F107" s="92">
        <f>E107+15</f>
        <v>46168</v>
      </c>
      <c r="G107" s="91">
        <v>16</v>
      </c>
      <c r="H107" s="91" t="s">
        <v>446</v>
      </c>
      <c r="I107" s="93">
        <v>1965.66</v>
      </c>
      <c r="J107" s="92">
        <v>46149</v>
      </c>
      <c r="K107" s="92">
        <v>46150</v>
      </c>
      <c r="L107" s="91" t="s">
        <v>539</v>
      </c>
    </row>
    <row r="108" spans="1:12" ht="14.45" customHeight="1">
      <c r="A108" s="87" t="s">
        <v>84</v>
      </c>
      <c r="B108" s="79" t="s">
        <v>540</v>
      </c>
      <c r="C108" s="79"/>
      <c r="D108" s="79"/>
      <c r="E108" s="80">
        <v>46160</v>
      </c>
      <c r="F108" s="80">
        <f>E108+13</f>
        <v>46173</v>
      </c>
      <c r="G108" s="79">
        <v>14</v>
      </c>
      <c r="H108" s="79" t="s">
        <v>446</v>
      </c>
      <c r="I108" s="82">
        <v>778.16</v>
      </c>
      <c r="J108" s="80">
        <v>46156</v>
      </c>
      <c r="K108" s="80">
        <v>46157</v>
      </c>
      <c r="L108" s="79"/>
    </row>
    <row r="109" spans="1:12">
      <c r="A109" s="87" t="s">
        <v>414</v>
      </c>
      <c r="B109" s="79" t="s">
        <v>520</v>
      </c>
      <c r="C109" s="79"/>
      <c r="D109" s="79"/>
      <c r="E109" s="80">
        <v>46160</v>
      </c>
      <c r="F109" s="80">
        <f>E109+4</f>
        <v>46164</v>
      </c>
      <c r="G109" s="79">
        <v>5</v>
      </c>
      <c r="H109" s="79" t="s">
        <v>446</v>
      </c>
      <c r="I109" s="82">
        <v>644.51</v>
      </c>
      <c r="J109" s="80">
        <v>46156</v>
      </c>
      <c r="K109" s="80">
        <v>46157</v>
      </c>
      <c r="L109" s="79"/>
    </row>
    <row r="110" spans="1:12">
      <c r="A110" s="87" t="s">
        <v>419</v>
      </c>
      <c r="B110" s="79" t="s">
        <v>413</v>
      </c>
      <c r="C110" s="79"/>
      <c r="D110" s="79"/>
      <c r="E110" s="80">
        <v>46160</v>
      </c>
      <c r="F110" s="80">
        <f>E110+19</f>
        <v>46179</v>
      </c>
      <c r="G110" s="79">
        <v>20</v>
      </c>
      <c r="H110" s="79" t="s">
        <v>446</v>
      </c>
      <c r="I110" s="82">
        <v>2538.4</v>
      </c>
      <c r="J110" s="80">
        <v>46156</v>
      </c>
      <c r="K110" s="80">
        <v>46157</v>
      </c>
      <c r="L110" s="79" t="s">
        <v>394</v>
      </c>
    </row>
    <row r="111" spans="1:12">
      <c r="A111" s="87" t="s">
        <v>541</v>
      </c>
      <c r="B111" s="79" t="s">
        <v>367</v>
      </c>
      <c r="C111" s="79"/>
      <c r="D111" s="79"/>
      <c r="E111" s="80">
        <v>46167</v>
      </c>
      <c r="F111" s="80">
        <f>E111+10</f>
        <v>46177</v>
      </c>
      <c r="G111" s="79">
        <v>11</v>
      </c>
      <c r="H111" s="79" t="s">
        <v>446</v>
      </c>
      <c r="I111" s="82">
        <v>2104.2800000000002</v>
      </c>
      <c r="J111" s="80">
        <v>46163</v>
      </c>
      <c r="K111" s="135" t="s">
        <v>712</v>
      </c>
      <c r="L111" s="79" t="s">
        <v>542</v>
      </c>
    </row>
    <row r="112" spans="1:12">
      <c r="A112" s="144" t="s">
        <v>716</v>
      </c>
      <c r="B112" s="145" t="s">
        <v>363</v>
      </c>
      <c r="C112" s="145"/>
      <c r="D112" s="145"/>
      <c r="E112" s="146">
        <v>46181</v>
      </c>
      <c r="F112" s="146">
        <f>E112+19</f>
        <v>46200</v>
      </c>
      <c r="G112" s="145">
        <v>20</v>
      </c>
      <c r="H112" s="145" t="s">
        <v>446</v>
      </c>
      <c r="I112" s="147">
        <v>2640.69</v>
      </c>
      <c r="J112" s="146">
        <v>46177</v>
      </c>
      <c r="K112" s="146">
        <v>46178</v>
      </c>
      <c r="L112" s="145" t="s">
        <v>397</v>
      </c>
    </row>
    <row r="113" spans="1:97">
      <c r="A113" s="144" t="s">
        <v>405</v>
      </c>
      <c r="B113" s="145" t="s">
        <v>451</v>
      </c>
      <c r="C113" s="145"/>
      <c r="D113" s="145"/>
      <c r="E113" s="146">
        <v>46188</v>
      </c>
      <c r="F113" s="146">
        <f>E113+19</f>
        <v>46207</v>
      </c>
      <c r="G113" s="145">
        <v>20</v>
      </c>
      <c r="H113" s="145" t="s">
        <v>446</v>
      </c>
      <c r="I113" s="147">
        <v>2660.24</v>
      </c>
      <c r="J113" s="146">
        <v>46184</v>
      </c>
      <c r="K113" s="146">
        <v>46185</v>
      </c>
      <c r="L113" s="145" t="s">
        <v>397</v>
      </c>
    </row>
    <row r="114" spans="1:97">
      <c r="A114" s="144" t="s">
        <v>484</v>
      </c>
      <c r="B114" s="145" t="s">
        <v>439</v>
      </c>
      <c r="C114" s="145"/>
      <c r="D114" s="145"/>
      <c r="E114" s="146">
        <v>46188</v>
      </c>
      <c r="F114" s="146">
        <f t="shared" ref="F114:F116" si="5">E114+15</f>
        <v>46203</v>
      </c>
      <c r="G114" s="145">
        <v>16</v>
      </c>
      <c r="H114" s="145" t="s">
        <v>446</v>
      </c>
      <c r="I114" s="159">
        <v>2043.31</v>
      </c>
      <c r="J114" s="145" t="s">
        <v>719</v>
      </c>
      <c r="K114" s="146">
        <v>46185</v>
      </c>
      <c r="L114" s="145"/>
    </row>
    <row r="115" spans="1:97">
      <c r="A115" s="144" t="s">
        <v>713</v>
      </c>
      <c r="B115" s="145" t="s">
        <v>520</v>
      </c>
      <c r="C115" s="145"/>
      <c r="D115" s="145"/>
      <c r="E115" s="146">
        <v>46189</v>
      </c>
      <c r="F115" s="146">
        <f>E115+15</f>
        <v>46204</v>
      </c>
      <c r="G115" s="145">
        <v>16</v>
      </c>
      <c r="H115" s="145" t="s">
        <v>446</v>
      </c>
      <c r="I115" s="159">
        <v>1401.19</v>
      </c>
      <c r="J115" s="146">
        <v>46184</v>
      </c>
      <c r="K115" s="146">
        <v>46185</v>
      </c>
      <c r="L115" s="145"/>
    </row>
    <row r="116" spans="1:97">
      <c r="A116" s="144" t="s">
        <v>369</v>
      </c>
      <c r="B116" s="145" t="s">
        <v>363</v>
      </c>
      <c r="C116" s="145"/>
      <c r="D116" s="145"/>
      <c r="E116" s="146">
        <v>46195</v>
      </c>
      <c r="F116" s="146">
        <f t="shared" si="5"/>
        <v>46210</v>
      </c>
      <c r="G116" s="145">
        <v>16</v>
      </c>
      <c r="H116" s="145" t="s">
        <v>446</v>
      </c>
      <c r="I116" s="159">
        <v>1180.77</v>
      </c>
      <c r="J116" s="146">
        <v>46191</v>
      </c>
      <c r="K116" s="146">
        <v>46192</v>
      </c>
      <c r="L116" s="145"/>
    </row>
    <row r="117" spans="1:97">
      <c r="A117" s="144" t="s">
        <v>417</v>
      </c>
      <c r="B117" s="145" t="s">
        <v>413</v>
      </c>
      <c r="C117" s="145"/>
      <c r="D117" s="145"/>
      <c r="E117" s="146">
        <v>46202</v>
      </c>
      <c r="F117" s="146">
        <f>E117+29</f>
        <v>46231</v>
      </c>
      <c r="G117" s="145">
        <v>30</v>
      </c>
      <c r="H117" s="145" t="s">
        <v>446</v>
      </c>
      <c r="I117" s="159">
        <v>3162.09</v>
      </c>
      <c r="J117" s="146">
        <v>46198</v>
      </c>
      <c r="K117" s="146">
        <v>46199</v>
      </c>
      <c r="L117" s="145"/>
    </row>
    <row r="118" spans="1:97">
      <c r="A118" s="144" t="s">
        <v>739</v>
      </c>
      <c r="B118" s="145" t="s">
        <v>363</v>
      </c>
      <c r="C118" s="145"/>
      <c r="D118" s="145"/>
      <c r="E118" s="146">
        <v>46211</v>
      </c>
      <c r="F118" s="146">
        <f>E118+29</f>
        <v>46240</v>
      </c>
      <c r="G118" s="145">
        <v>30</v>
      </c>
      <c r="H118" s="166" t="s">
        <v>446</v>
      </c>
      <c r="I118" s="167">
        <v>2552.1999999999998</v>
      </c>
      <c r="J118" s="168">
        <v>46205</v>
      </c>
      <c r="K118" s="146">
        <v>46209</v>
      </c>
      <c r="L118" s="145"/>
    </row>
    <row r="119" spans="1:97">
      <c r="A119" s="144" t="s">
        <v>84</v>
      </c>
      <c r="B119" s="145" t="s">
        <v>540</v>
      </c>
      <c r="C119" s="145"/>
      <c r="D119" s="145"/>
      <c r="E119" s="146">
        <v>46216</v>
      </c>
      <c r="F119" s="146">
        <f>E119+15</f>
        <v>46231</v>
      </c>
      <c r="G119" s="145">
        <v>16</v>
      </c>
      <c r="H119" s="145" t="s">
        <v>446</v>
      </c>
      <c r="I119" s="159">
        <v>1368.18</v>
      </c>
      <c r="J119" s="146">
        <v>46212</v>
      </c>
      <c r="K119" s="146">
        <v>46220</v>
      </c>
      <c r="L119" s="145"/>
    </row>
    <row r="120" spans="1:97">
      <c r="A120" s="144" t="s">
        <v>515</v>
      </c>
      <c r="B120" s="145" t="s">
        <v>520</v>
      </c>
      <c r="C120" s="145"/>
      <c r="D120" s="145"/>
      <c r="E120" s="146">
        <v>46217</v>
      </c>
      <c r="F120" s="146">
        <f>E120+4</f>
        <v>46221</v>
      </c>
      <c r="G120" s="145">
        <v>5</v>
      </c>
      <c r="H120" s="145" t="s">
        <v>446</v>
      </c>
      <c r="I120" s="147">
        <v>608.24</v>
      </c>
      <c r="J120" s="146">
        <v>46212</v>
      </c>
      <c r="K120" s="146">
        <v>46213</v>
      </c>
      <c r="L120" s="145"/>
    </row>
    <row r="121" spans="1:97">
      <c r="A121" s="144" t="s">
        <v>132</v>
      </c>
      <c r="B121" s="145" t="s">
        <v>372</v>
      </c>
      <c r="C121" s="145"/>
      <c r="D121" s="145"/>
      <c r="E121" s="146">
        <v>46219</v>
      </c>
      <c r="F121" s="146">
        <f>E121+14</f>
        <v>46233</v>
      </c>
      <c r="G121" s="145">
        <v>15</v>
      </c>
      <c r="H121" s="145" t="s">
        <v>446</v>
      </c>
      <c r="I121" s="147">
        <v>1112.98</v>
      </c>
      <c r="J121" s="146">
        <v>46217</v>
      </c>
      <c r="K121" s="146">
        <v>46217</v>
      </c>
      <c r="L121" s="145"/>
    </row>
    <row r="122" spans="1:97" s="190" customFormat="1">
      <c r="A122" s="144" t="s">
        <v>738</v>
      </c>
      <c r="B122" s="145" t="s">
        <v>387</v>
      </c>
      <c r="C122" s="145"/>
      <c r="D122" s="145"/>
      <c r="E122" s="146">
        <v>46224</v>
      </c>
      <c r="F122" s="146">
        <f>E122+19</f>
        <v>46243</v>
      </c>
      <c r="G122" s="145">
        <v>20</v>
      </c>
      <c r="H122" s="145" t="s">
        <v>446</v>
      </c>
      <c r="I122" s="185">
        <v>3784.32</v>
      </c>
      <c r="J122" s="146">
        <v>46219</v>
      </c>
      <c r="K122" s="146">
        <v>46220</v>
      </c>
      <c r="L122" s="145" t="s">
        <v>397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</row>
    <row r="123" spans="1:97">
      <c r="A123" s="144" t="s">
        <v>889</v>
      </c>
      <c r="B123" s="145" t="s">
        <v>387</v>
      </c>
      <c r="C123" s="145"/>
      <c r="D123" s="145"/>
      <c r="E123" s="146">
        <v>46230</v>
      </c>
      <c r="F123" s="146">
        <v>46240</v>
      </c>
      <c r="G123" s="145">
        <v>11</v>
      </c>
      <c r="H123" s="145" t="s">
        <v>446</v>
      </c>
      <c r="I123" s="185">
        <v>2227.5700000000002</v>
      </c>
      <c r="J123" s="146">
        <v>46226</v>
      </c>
      <c r="K123" s="146">
        <v>46227</v>
      </c>
      <c r="L123" s="145" t="s">
        <v>542</v>
      </c>
    </row>
    <row r="124" spans="1:97" s="190" customFormat="1" ht="13.15" customHeight="1">
      <c r="A124" s="144" t="s">
        <v>506</v>
      </c>
      <c r="B124" s="145" t="s">
        <v>387</v>
      </c>
      <c r="C124" s="145"/>
      <c r="D124" s="145"/>
      <c r="E124" s="146">
        <v>46239</v>
      </c>
      <c r="F124" s="146">
        <f>E124+10</f>
        <v>46249</v>
      </c>
      <c r="G124" s="145">
        <v>11</v>
      </c>
      <c r="H124" s="145" t="s">
        <v>446</v>
      </c>
      <c r="I124" s="185">
        <v>1951.04</v>
      </c>
      <c r="J124" s="146">
        <v>46233</v>
      </c>
      <c r="K124" s="146">
        <v>46237</v>
      </c>
      <c r="L124" s="145" t="s">
        <v>542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</row>
    <row r="125" spans="1:97" s="190" customFormat="1">
      <c r="A125" s="144" t="s">
        <v>471</v>
      </c>
      <c r="B125" s="145" t="s">
        <v>409</v>
      </c>
      <c r="C125" s="145"/>
      <c r="D125" s="145"/>
      <c r="E125" s="146">
        <v>46244</v>
      </c>
      <c r="F125" s="146">
        <f>E125+15</f>
        <v>46259</v>
      </c>
      <c r="G125" s="145">
        <v>16</v>
      </c>
      <c r="H125" s="145" t="s">
        <v>446</v>
      </c>
      <c r="I125" s="159">
        <v>1903.72</v>
      </c>
      <c r="J125" s="146">
        <v>46240</v>
      </c>
      <c r="K125" s="146">
        <v>46241</v>
      </c>
      <c r="L125" s="145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</row>
    <row r="126" spans="1:97">
      <c r="A126" s="144" t="s">
        <v>407</v>
      </c>
      <c r="B126" s="145" t="s">
        <v>496</v>
      </c>
      <c r="C126" s="145"/>
      <c r="D126" s="145"/>
      <c r="E126" s="146">
        <v>46244</v>
      </c>
      <c r="F126" s="146">
        <f>E126+15</f>
        <v>46259</v>
      </c>
      <c r="G126" s="145">
        <v>16</v>
      </c>
      <c r="H126" s="145" t="s">
        <v>446</v>
      </c>
      <c r="I126" s="159">
        <v>889.32</v>
      </c>
      <c r="J126" s="146">
        <v>46240</v>
      </c>
      <c r="K126" s="146">
        <v>46241</v>
      </c>
      <c r="L126" s="145"/>
    </row>
    <row r="127" spans="1:97">
      <c r="A127" s="224" t="s">
        <v>466</v>
      </c>
      <c r="B127" s="206" t="s">
        <v>372</v>
      </c>
      <c r="C127" s="206"/>
      <c r="D127" s="206"/>
      <c r="E127" s="225">
        <v>46251</v>
      </c>
      <c r="F127" s="225">
        <f>E127+7</f>
        <v>46258</v>
      </c>
      <c r="G127" s="206">
        <v>8</v>
      </c>
      <c r="H127" s="206" t="s">
        <v>446</v>
      </c>
      <c r="I127" s="226">
        <v>491.69</v>
      </c>
      <c r="J127" s="146">
        <v>46247</v>
      </c>
      <c r="K127" s="146">
        <v>46248</v>
      </c>
      <c r="L127" s="145"/>
    </row>
    <row r="128" spans="1:97">
      <c r="A128" s="224" t="s">
        <v>940</v>
      </c>
      <c r="B128" s="206" t="s">
        <v>413</v>
      </c>
      <c r="C128" s="145"/>
      <c r="D128" s="145"/>
      <c r="E128" s="146">
        <v>46251</v>
      </c>
      <c r="F128" s="146">
        <v>46266</v>
      </c>
      <c r="G128" s="145">
        <v>16</v>
      </c>
      <c r="H128" s="145" t="s">
        <v>446</v>
      </c>
      <c r="I128" s="159">
        <v>975.34</v>
      </c>
      <c r="J128" s="146">
        <v>46247</v>
      </c>
      <c r="K128" s="146">
        <v>46248</v>
      </c>
      <c r="L128" s="145"/>
    </row>
    <row r="129" spans="1:12">
      <c r="A129" s="224" t="s">
        <v>949</v>
      </c>
      <c r="B129" s="206" t="s">
        <v>439</v>
      </c>
      <c r="C129" s="145"/>
      <c r="D129" s="145"/>
      <c r="E129" s="146">
        <v>46251</v>
      </c>
      <c r="F129" s="146">
        <f>E129+4</f>
        <v>46255</v>
      </c>
      <c r="G129" s="145">
        <v>5</v>
      </c>
      <c r="H129" s="145" t="s">
        <v>446</v>
      </c>
      <c r="I129" s="159">
        <v>1027.79</v>
      </c>
      <c r="J129" s="146">
        <v>46247</v>
      </c>
      <c r="K129" s="146">
        <v>46248</v>
      </c>
      <c r="L129" s="145"/>
    </row>
    <row r="130" spans="1:12" ht="13.5" customHeight="1">
      <c r="A130" s="144" t="s">
        <v>941</v>
      </c>
      <c r="B130" s="145" t="s">
        <v>520</v>
      </c>
      <c r="C130" s="145"/>
      <c r="D130" s="145"/>
      <c r="E130" s="146">
        <v>46259</v>
      </c>
      <c r="F130" s="146">
        <v>46273</v>
      </c>
      <c r="G130" s="145">
        <v>15</v>
      </c>
      <c r="H130" s="145" t="s">
        <v>446</v>
      </c>
      <c r="I130" s="159">
        <v>1363.8</v>
      </c>
      <c r="J130" s="146">
        <v>46254</v>
      </c>
      <c r="K130" s="146">
        <v>46255</v>
      </c>
      <c r="L130" s="145"/>
    </row>
    <row r="131" spans="1:12">
      <c r="A131" s="144" t="s">
        <v>515</v>
      </c>
      <c r="B131" s="145" t="s">
        <v>520</v>
      </c>
      <c r="C131" s="145"/>
      <c r="D131" s="145"/>
      <c r="E131" s="146">
        <v>46269</v>
      </c>
      <c r="F131" s="146">
        <f>E131+9</f>
        <v>46278</v>
      </c>
      <c r="G131" s="145">
        <v>10</v>
      </c>
      <c r="H131" s="145" t="s">
        <v>446</v>
      </c>
      <c r="I131" s="159">
        <v>1216.46</v>
      </c>
      <c r="J131" s="146">
        <v>46261</v>
      </c>
      <c r="K131" s="146">
        <v>46267</v>
      </c>
      <c r="L131" s="145"/>
    </row>
    <row r="132" spans="1:12">
      <c r="A132" s="224" t="s">
        <v>989</v>
      </c>
      <c r="B132" s="206" t="s">
        <v>439</v>
      </c>
      <c r="C132" s="206"/>
      <c r="D132" s="206"/>
      <c r="E132" s="225">
        <v>46275</v>
      </c>
      <c r="F132" s="225">
        <f>E132+15</f>
        <v>46290</v>
      </c>
      <c r="G132" s="206">
        <v>16</v>
      </c>
      <c r="H132" s="206" t="s">
        <v>543</v>
      </c>
      <c r="I132" s="226">
        <v>1063.1099999999999</v>
      </c>
      <c r="J132" s="225">
        <v>46268</v>
      </c>
      <c r="K132" s="225">
        <v>46273</v>
      </c>
      <c r="L132" s="145"/>
    </row>
    <row r="133" spans="1:12">
      <c r="A133" s="224" t="s">
        <v>990</v>
      </c>
      <c r="B133" s="206" t="s">
        <v>387</v>
      </c>
      <c r="C133" s="206"/>
      <c r="D133" s="206"/>
      <c r="E133" s="225">
        <v>46275</v>
      </c>
      <c r="F133" s="225">
        <f>E133+15</f>
        <v>46290</v>
      </c>
      <c r="G133" s="206">
        <v>16</v>
      </c>
      <c r="H133" s="206" t="s">
        <v>543</v>
      </c>
      <c r="I133" s="226">
        <f>1844.32+25.67</f>
        <v>1869.99</v>
      </c>
      <c r="J133" s="225">
        <v>46268</v>
      </c>
      <c r="K133" s="225">
        <v>46273</v>
      </c>
      <c r="L133" s="145"/>
    </row>
    <row r="134" spans="1:12">
      <c r="A134" s="224" t="s">
        <v>167</v>
      </c>
      <c r="B134" s="206" t="s">
        <v>520</v>
      </c>
      <c r="C134" s="206"/>
      <c r="D134" s="206"/>
      <c r="E134" s="225">
        <v>46280</v>
      </c>
      <c r="F134" s="225">
        <f>E134+29</f>
        <v>46309</v>
      </c>
      <c r="G134" s="206">
        <v>30</v>
      </c>
      <c r="H134" s="206" t="s">
        <v>543</v>
      </c>
      <c r="I134" s="226">
        <v>2688.27</v>
      </c>
      <c r="J134" s="225">
        <v>46275</v>
      </c>
      <c r="K134" s="225">
        <v>46276</v>
      </c>
      <c r="L134" s="145"/>
    </row>
    <row r="135" spans="1:12">
      <c r="A135" s="144" t="s">
        <v>477</v>
      </c>
      <c r="B135" s="145" t="s">
        <v>413</v>
      </c>
      <c r="C135" s="145"/>
      <c r="D135" s="145"/>
      <c r="E135" s="146">
        <v>46281</v>
      </c>
      <c r="F135" s="146">
        <f>E135+15</f>
        <v>46296</v>
      </c>
      <c r="G135" s="145">
        <v>16</v>
      </c>
      <c r="H135" s="145" t="s">
        <v>446</v>
      </c>
      <c r="I135" s="226">
        <v>1375.81</v>
      </c>
      <c r="J135" s="146">
        <v>46275</v>
      </c>
      <c r="K135" s="146">
        <v>46279</v>
      </c>
      <c r="L135" s="145"/>
    </row>
    <row r="136" spans="1:12">
      <c r="A136" s="144" t="s">
        <v>1168</v>
      </c>
      <c r="B136" s="145" t="s">
        <v>372</v>
      </c>
      <c r="C136" s="145"/>
      <c r="D136" s="145"/>
      <c r="E136" s="146">
        <v>46300</v>
      </c>
      <c r="F136" s="146">
        <v>46307</v>
      </c>
      <c r="G136" s="145">
        <v>8</v>
      </c>
      <c r="H136" s="145" t="s">
        <v>446</v>
      </c>
      <c r="I136" s="226">
        <v>491.69</v>
      </c>
      <c r="J136" s="146">
        <v>46296</v>
      </c>
      <c r="K136" s="146">
        <v>46296</v>
      </c>
      <c r="L136" s="145"/>
    </row>
    <row r="137" spans="1:12">
      <c r="A137" s="94" t="s">
        <v>942</v>
      </c>
      <c r="B137" s="95" t="s">
        <v>520</v>
      </c>
      <c r="C137" s="192"/>
      <c r="D137" s="192"/>
      <c r="E137" s="191">
        <v>46310</v>
      </c>
      <c r="F137" s="191">
        <f>E137+14</f>
        <v>46324</v>
      </c>
      <c r="G137" s="192">
        <v>15</v>
      </c>
      <c r="H137" s="192" t="s">
        <v>543</v>
      </c>
      <c r="I137" s="193"/>
      <c r="J137" s="191"/>
      <c r="K137" s="191"/>
      <c r="L137" s="192"/>
    </row>
    <row r="138" spans="1:12">
      <c r="A138" s="194" t="s">
        <v>544</v>
      </c>
      <c r="B138" s="192" t="s">
        <v>439</v>
      </c>
      <c r="C138" s="192"/>
      <c r="D138" s="192"/>
      <c r="E138" s="191">
        <v>46314</v>
      </c>
      <c r="F138" s="191">
        <f>E138+14</f>
        <v>46328</v>
      </c>
      <c r="G138" s="192">
        <v>15</v>
      </c>
      <c r="H138" s="192" t="s">
        <v>543</v>
      </c>
      <c r="I138" s="148"/>
      <c r="J138" s="95"/>
      <c r="K138" s="95"/>
      <c r="L138" s="95"/>
    </row>
    <row r="139" spans="1:12">
      <c r="A139" s="94" t="s">
        <v>508</v>
      </c>
      <c r="B139" s="95" t="s">
        <v>387</v>
      </c>
      <c r="C139" s="95"/>
      <c r="D139" s="95"/>
      <c r="E139" s="96">
        <v>46316</v>
      </c>
      <c r="F139" s="96">
        <v>46331</v>
      </c>
      <c r="G139" s="95">
        <v>16</v>
      </c>
      <c r="H139" s="95" t="s">
        <v>543</v>
      </c>
      <c r="I139" s="148"/>
      <c r="J139" s="95"/>
      <c r="K139" s="95"/>
      <c r="L139" s="95"/>
    </row>
    <row r="140" spans="1:12">
      <c r="A140" s="94" t="s">
        <v>123</v>
      </c>
      <c r="B140" s="95" t="s">
        <v>363</v>
      </c>
      <c r="C140" s="95"/>
      <c r="D140" s="95"/>
      <c r="E140" s="96">
        <v>46335</v>
      </c>
      <c r="F140" s="96">
        <f>E140+14</f>
        <v>46349</v>
      </c>
      <c r="G140" s="95">
        <v>15</v>
      </c>
      <c r="H140" s="95" t="s">
        <v>543</v>
      </c>
      <c r="I140" s="148"/>
      <c r="J140" s="95"/>
      <c r="K140" s="95"/>
      <c r="L140" s="95"/>
    </row>
    <row r="141" spans="1:12">
      <c r="A141" s="15" t="s">
        <v>743</v>
      </c>
      <c r="B141" s="95" t="s">
        <v>363</v>
      </c>
      <c r="C141" s="95"/>
      <c r="D141" s="95"/>
      <c r="E141" s="96">
        <v>46363</v>
      </c>
      <c r="F141" s="96">
        <f>E141+29</f>
        <v>46392</v>
      </c>
      <c r="G141" s="95">
        <v>30</v>
      </c>
      <c r="H141" s="95" t="s">
        <v>543</v>
      </c>
      <c r="I141" s="148"/>
      <c r="J141" s="95"/>
      <c r="K141" s="95"/>
      <c r="L141" s="95"/>
    </row>
    <row r="142" spans="1:12">
      <c r="A142" s="94"/>
      <c r="B142" s="94"/>
      <c r="C142" s="94"/>
      <c r="D142" s="94"/>
      <c r="E142" s="94"/>
      <c r="F142" s="94"/>
      <c r="G142" s="94"/>
      <c r="H142" s="95"/>
      <c r="I142" s="94"/>
      <c r="J142" s="95"/>
      <c r="K142" s="95"/>
      <c r="L142" s="95"/>
    </row>
    <row r="143" spans="1:12">
      <c r="A143" s="161"/>
      <c r="B143" s="95"/>
      <c r="C143" s="95"/>
      <c r="D143" s="95"/>
      <c r="E143" s="95"/>
      <c r="F143" s="95"/>
      <c r="G143" s="95"/>
      <c r="H143" s="95"/>
      <c r="I143" s="94"/>
      <c r="J143" s="95"/>
      <c r="K143" s="95"/>
      <c r="L143" s="95"/>
    </row>
    <row r="144" spans="1:12">
      <c r="A144" s="94"/>
      <c r="B144" s="95"/>
      <c r="C144" s="95"/>
      <c r="D144" s="95"/>
      <c r="E144" s="95"/>
      <c r="F144" s="95"/>
      <c r="G144" s="95"/>
      <c r="H144" s="95"/>
      <c r="I144" s="94"/>
      <c r="J144" s="95"/>
      <c r="K144" s="95"/>
      <c r="L144" s="95"/>
    </row>
    <row r="145" spans="1:12">
      <c r="A145" s="94"/>
      <c r="B145" s="95"/>
      <c r="C145" s="95"/>
      <c r="D145" s="95"/>
      <c r="E145" s="95"/>
      <c r="F145" s="95"/>
      <c r="G145" s="95"/>
      <c r="H145" s="95"/>
      <c r="I145" s="94"/>
      <c r="J145" s="95"/>
      <c r="K145" s="95"/>
      <c r="L145" s="95"/>
    </row>
    <row r="146" spans="1:12">
      <c r="A146" s="94"/>
      <c r="B146" s="95"/>
      <c r="C146" s="95"/>
      <c r="D146" s="95"/>
      <c r="E146" s="95"/>
      <c r="F146" s="95"/>
      <c r="G146" s="95"/>
      <c r="H146" s="95"/>
      <c r="I146" s="94"/>
      <c r="J146" s="95"/>
      <c r="K146" s="95"/>
      <c r="L146" s="95"/>
    </row>
    <row r="149" spans="1:12">
      <c r="I149" s="311"/>
      <c r="J149" s="310"/>
    </row>
    <row r="150" spans="1:12">
      <c r="I150" s="311"/>
      <c r="J150" s="312"/>
    </row>
    <row r="153" spans="1:12">
      <c r="E153" s="70" t="s">
        <v>1120</v>
      </c>
    </row>
  </sheetData>
  <autoFilter ref="A2:L90" xr:uid="{00000000-0009-0000-0000-000003000000}">
    <sortState xmlns:xlrd2="http://schemas.microsoft.com/office/spreadsheetml/2017/richdata2" ref="A3:L10">
      <sortCondition ref="F2"/>
    </sortState>
  </autoFilter>
  <mergeCells count="1">
    <mergeCell ref="A1:L1"/>
  </mergeCells>
  <pageMargins left="0.25" right="0.25" top="0.75" bottom="0.75" header="0.3" footer="0.3"/>
  <pageSetup paperSize="9" scale="76" fitToHeight="0" orientation="landscape" r:id="rId1"/>
  <ignoredErrors>
    <ignoredError sqref="F111 F122 F131 F134:F135" formula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148"/>
  <sheetViews>
    <sheetView zoomScale="85" zoomScaleNormal="85" workbookViewId="0">
      <pane ySplit="2" topLeftCell="A140" activePane="bottomLeft" state="frozen"/>
      <selection activeCell="D111" sqref="D111"/>
      <selection pane="bottomLeft" activeCell="B155" sqref="B155"/>
    </sheetView>
  </sheetViews>
  <sheetFormatPr defaultRowHeight="15"/>
  <cols>
    <col min="1" max="1" width="42.28515625" bestFit="1" customWidth="1"/>
    <col min="2" max="2" width="51.42578125" style="1" bestFit="1" customWidth="1"/>
    <col min="3" max="3" width="15.140625" style="1" hidden="1" customWidth="1"/>
    <col min="4" max="4" width="16.5703125" style="1" bestFit="1" customWidth="1"/>
    <col min="5" max="6" width="17.5703125" style="1" bestFit="1" customWidth="1"/>
    <col min="7" max="8" width="17.5703125" style="1" customWidth="1"/>
    <col min="9" max="9" width="13.42578125" style="99" bestFit="1" customWidth="1"/>
    <col min="10" max="10" width="16.28515625" style="99" customWidth="1"/>
    <col min="11" max="11" width="13" style="1" customWidth="1"/>
  </cols>
  <sheetData>
    <row r="1" spans="1:11" ht="36.6" customHeight="1">
      <c r="A1" s="367" t="s">
        <v>562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</row>
    <row r="2" spans="1:11" s="100" customFormat="1" ht="12.75">
      <c r="A2" s="101" t="s">
        <v>0</v>
      </c>
      <c r="B2" s="102" t="s">
        <v>563</v>
      </c>
      <c r="C2" s="102" t="s">
        <v>564</v>
      </c>
      <c r="D2" s="102" t="s">
        <v>565</v>
      </c>
      <c r="E2" s="102" t="s">
        <v>566</v>
      </c>
      <c r="F2" s="102" t="s">
        <v>567</v>
      </c>
      <c r="G2" s="102" t="s">
        <v>569</v>
      </c>
      <c r="H2" s="102" t="s">
        <v>568</v>
      </c>
      <c r="I2" s="103" t="s">
        <v>570</v>
      </c>
      <c r="J2" s="103" t="s">
        <v>571</v>
      </c>
      <c r="K2" s="102" t="s">
        <v>572</v>
      </c>
    </row>
    <row r="3" spans="1:11" s="100" customFormat="1">
      <c r="A3" s="104" t="s">
        <v>573</v>
      </c>
      <c r="B3" s="105" t="s">
        <v>574</v>
      </c>
      <c r="C3" s="98" t="s">
        <v>131</v>
      </c>
      <c r="D3" s="98" t="s">
        <v>131</v>
      </c>
      <c r="E3" s="106">
        <v>45661</v>
      </c>
      <c r="F3" s="98" t="s">
        <v>131</v>
      </c>
      <c r="G3" s="106">
        <v>45671</v>
      </c>
      <c r="H3" s="106">
        <v>45671</v>
      </c>
      <c r="I3" s="107">
        <v>0</v>
      </c>
      <c r="J3" s="107">
        <v>16.73</v>
      </c>
      <c r="K3" s="106">
        <v>45671</v>
      </c>
    </row>
    <row r="4" spans="1:11">
      <c r="A4" s="29" t="s">
        <v>575</v>
      </c>
      <c r="B4" s="98" t="s">
        <v>576</v>
      </c>
      <c r="C4" s="98" t="s">
        <v>577</v>
      </c>
      <c r="D4" s="98" t="s">
        <v>131</v>
      </c>
      <c r="E4" s="30">
        <v>45663</v>
      </c>
      <c r="F4" s="98" t="s">
        <v>131</v>
      </c>
      <c r="G4" s="30">
        <v>45671</v>
      </c>
      <c r="H4" s="30">
        <v>45673</v>
      </c>
      <c r="I4" s="108">
        <v>6024.64</v>
      </c>
      <c r="J4" s="109">
        <v>2213.7800000000002</v>
      </c>
      <c r="K4" s="106">
        <v>45673</v>
      </c>
    </row>
    <row r="5" spans="1:11">
      <c r="A5" s="29" t="s">
        <v>578</v>
      </c>
      <c r="B5" s="98" t="s">
        <v>579</v>
      </c>
      <c r="C5" s="98" t="s">
        <v>577</v>
      </c>
      <c r="D5" s="98" t="s">
        <v>131</v>
      </c>
      <c r="E5" s="30">
        <v>45664</v>
      </c>
      <c r="F5" s="98" t="s">
        <v>131</v>
      </c>
      <c r="G5" s="30">
        <v>45674</v>
      </c>
      <c r="H5" s="30">
        <f>E5+10</f>
        <v>45674</v>
      </c>
      <c r="I5" s="108">
        <v>2518.77</v>
      </c>
      <c r="J5" s="108">
        <v>44.4</v>
      </c>
      <c r="K5" s="30">
        <v>38403</v>
      </c>
    </row>
    <row r="6" spans="1:11">
      <c r="A6" s="29" t="s">
        <v>580</v>
      </c>
      <c r="B6" s="98" t="s">
        <v>576</v>
      </c>
      <c r="C6" s="98" t="s">
        <v>577</v>
      </c>
      <c r="D6" s="98" t="s">
        <v>131</v>
      </c>
      <c r="E6" s="30">
        <v>45667</v>
      </c>
      <c r="F6" s="98" t="s">
        <v>131</v>
      </c>
      <c r="G6" s="30">
        <v>45674</v>
      </c>
      <c r="H6" s="30">
        <v>45676</v>
      </c>
      <c r="I6" s="108">
        <v>10086.61</v>
      </c>
      <c r="J6" s="108">
        <v>2358.5</v>
      </c>
      <c r="K6" s="30">
        <v>45677</v>
      </c>
    </row>
    <row r="7" spans="1:11">
      <c r="A7" s="29" t="s">
        <v>581</v>
      </c>
      <c r="B7" s="98" t="s">
        <v>582</v>
      </c>
      <c r="C7" s="98" t="s">
        <v>583</v>
      </c>
      <c r="D7" s="30">
        <v>45632</v>
      </c>
      <c r="E7" s="98" t="s">
        <v>131</v>
      </c>
      <c r="F7" s="30">
        <v>45665</v>
      </c>
      <c r="G7" s="30">
        <v>45674</v>
      </c>
      <c r="H7" s="30">
        <v>45674</v>
      </c>
      <c r="I7" s="108">
        <v>4713.72</v>
      </c>
      <c r="J7" s="108">
        <v>1344.23</v>
      </c>
      <c r="K7" s="30">
        <v>45674</v>
      </c>
    </row>
    <row r="8" spans="1:11" ht="15" customHeight="1">
      <c r="A8" s="110" t="s">
        <v>584</v>
      </c>
      <c r="B8" s="98" t="s">
        <v>585</v>
      </c>
      <c r="C8" s="98" t="s">
        <v>583</v>
      </c>
      <c r="D8" s="30">
        <v>45637</v>
      </c>
      <c r="E8" s="30"/>
      <c r="F8" s="30">
        <v>45667</v>
      </c>
      <c r="G8" s="30">
        <v>45674</v>
      </c>
      <c r="H8" s="30">
        <v>45676</v>
      </c>
      <c r="I8" s="108">
        <v>925</v>
      </c>
      <c r="J8" s="108">
        <v>0</v>
      </c>
      <c r="K8" s="98">
        <v>0</v>
      </c>
    </row>
    <row r="9" spans="1:11" ht="13.15" customHeight="1">
      <c r="A9" s="29" t="s">
        <v>586</v>
      </c>
      <c r="B9" s="98" t="s">
        <v>579</v>
      </c>
      <c r="C9" s="98" t="s">
        <v>583</v>
      </c>
      <c r="D9" s="30">
        <v>46010</v>
      </c>
      <c r="E9" s="111">
        <v>45674</v>
      </c>
      <c r="F9" s="111">
        <v>45674</v>
      </c>
      <c r="G9" s="112">
        <v>45681</v>
      </c>
      <c r="H9" s="30">
        <v>45683</v>
      </c>
      <c r="I9" s="108">
        <v>5219.16</v>
      </c>
      <c r="J9" s="113" t="s">
        <v>131</v>
      </c>
      <c r="K9" s="111" t="s">
        <v>131</v>
      </c>
    </row>
    <row r="10" spans="1:11">
      <c r="A10" s="45" t="s">
        <v>587</v>
      </c>
      <c r="B10" s="98" t="s">
        <v>576</v>
      </c>
      <c r="C10" s="98" t="s">
        <v>577</v>
      </c>
      <c r="D10" s="98" t="s">
        <v>131</v>
      </c>
      <c r="E10" s="114">
        <v>45688</v>
      </c>
      <c r="F10" s="98" t="s">
        <v>131</v>
      </c>
      <c r="G10" s="30">
        <v>45695</v>
      </c>
      <c r="H10" s="115">
        <v>45697</v>
      </c>
      <c r="I10" s="116">
        <v>6569.8</v>
      </c>
      <c r="J10" s="117">
        <v>1910.9</v>
      </c>
      <c r="K10" s="111">
        <v>45698</v>
      </c>
    </row>
    <row r="11" spans="1:11">
      <c r="A11" s="45" t="s">
        <v>588</v>
      </c>
      <c r="B11" s="118" t="s">
        <v>576</v>
      </c>
      <c r="C11" s="118" t="s">
        <v>583</v>
      </c>
      <c r="D11" s="115">
        <v>45668</v>
      </c>
      <c r="E11" s="115">
        <v>45690</v>
      </c>
      <c r="F11" s="115">
        <v>45697</v>
      </c>
      <c r="G11" s="30">
        <v>45706</v>
      </c>
      <c r="H11" s="115">
        <v>45707</v>
      </c>
      <c r="I11" s="116">
        <v>1951.6</v>
      </c>
      <c r="J11" s="116">
        <v>437.96</v>
      </c>
      <c r="K11" s="30">
        <v>45709</v>
      </c>
    </row>
    <row r="12" spans="1:11">
      <c r="A12" s="29" t="s">
        <v>581</v>
      </c>
      <c r="B12" s="118" t="s">
        <v>589</v>
      </c>
      <c r="C12" s="98" t="s">
        <v>131</v>
      </c>
      <c r="D12" s="98" t="s">
        <v>131</v>
      </c>
      <c r="E12" s="98" t="s">
        <v>131</v>
      </c>
      <c r="F12" s="30">
        <v>45665</v>
      </c>
      <c r="G12" s="115">
        <v>45706</v>
      </c>
      <c r="H12" s="115">
        <v>45706</v>
      </c>
      <c r="I12" s="116">
        <v>227.67</v>
      </c>
      <c r="J12" s="113" t="s">
        <v>131</v>
      </c>
      <c r="K12" s="113" t="s">
        <v>131</v>
      </c>
    </row>
    <row r="13" spans="1:11" ht="15" customHeight="1">
      <c r="A13" s="119" t="s">
        <v>590</v>
      </c>
      <c r="B13" s="98" t="s">
        <v>576</v>
      </c>
      <c r="C13" s="98" t="s">
        <v>577</v>
      </c>
      <c r="D13" s="98" t="s">
        <v>131</v>
      </c>
      <c r="E13" s="30">
        <v>45709</v>
      </c>
      <c r="F13" s="98" t="s">
        <v>131</v>
      </c>
      <c r="G13" s="30">
        <v>45716</v>
      </c>
      <c r="H13" s="30">
        <v>45716</v>
      </c>
      <c r="I13" s="108">
        <v>5135.9799999999996</v>
      </c>
      <c r="J13" s="108">
        <v>813.03</v>
      </c>
      <c r="K13" s="30">
        <v>45716</v>
      </c>
    </row>
    <row r="14" spans="1:11" ht="15" customHeight="1">
      <c r="A14" s="29" t="s">
        <v>591</v>
      </c>
      <c r="B14" s="98" t="s">
        <v>585</v>
      </c>
      <c r="C14" s="98" t="s">
        <v>583</v>
      </c>
      <c r="D14" s="30">
        <v>45684</v>
      </c>
      <c r="E14" s="30">
        <f>D14+29</f>
        <v>45713</v>
      </c>
      <c r="F14" s="30">
        <v>45713</v>
      </c>
      <c r="G14" s="30">
        <v>45723</v>
      </c>
      <c r="H14" s="30">
        <v>45723</v>
      </c>
      <c r="I14" s="108">
        <v>6025.96</v>
      </c>
      <c r="J14" s="113" t="s">
        <v>131</v>
      </c>
      <c r="K14" s="113" t="s">
        <v>131</v>
      </c>
    </row>
    <row r="15" spans="1:11">
      <c r="A15" s="29" t="s">
        <v>592</v>
      </c>
      <c r="B15" s="105" t="s">
        <v>574</v>
      </c>
      <c r="C15" s="98" t="s">
        <v>131</v>
      </c>
      <c r="D15" s="98" t="s">
        <v>131</v>
      </c>
      <c r="E15" s="30">
        <v>45715</v>
      </c>
      <c r="F15" s="98" t="s">
        <v>131</v>
      </c>
      <c r="G15" s="30">
        <v>45723</v>
      </c>
      <c r="H15" s="30">
        <v>45723</v>
      </c>
      <c r="I15" s="108">
        <v>2072.83</v>
      </c>
      <c r="J15" s="108">
        <v>169.73</v>
      </c>
      <c r="K15" s="30">
        <v>45723</v>
      </c>
    </row>
    <row r="16" spans="1:11">
      <c r="A16" s="29" t="s">
        <v>593</v>
      </c>
      <c r="B16" s="98" t="s">
        <v>594</v>
      </c>
      <c r="C16" s="98" t="s">
        <v>583</v>
      </c>
      <c r="D16" s="30">
        <v>45691</v>
      </c>
      <c r="E16" s="98" t="s">
        <v>131</v>
      </c>
      <c r="F16" s="30">
        <v>45727</v>
      </c>
      <c r="G16" s="30">
        <v>45734</v>
      </c>
      <c r="H16" s="30">
        <f>F16+9</f>
        <v>45736</v>
      </c>
      <c r="I16" s="108">
        <v>4558.63</v>
      </c>
      <c r="J16" s="108">
        <v>2197.4</v>
      </c>
      <c r="K16" s="30">
        <v>45737</v>
      </c>
    </row>
    <row r="17" spans="1:11">
      <c r="A17" s="29" t="s">
        <v>595</v>
      </c>
      <c r="B17" s="98" t="s">
        <v>596</v>
      </c>
      <c r="C17" s="98" t="s">
        <v>583</v>
      </c>
      <c r="D17" s="30">
        <v>45708</v>
      </c>
      <c r="E17" s="98" t="s">
        <v>131</v>
      </c>
      <c r="F17" s="30">
        <f>D17+36</f>
        <v>45744</v>
      </c>
      <c r="G17" s="30" t="s">
        <v>597</v>
      </c>
      <c r="H17" s="30">
        <v>45751</v>
      </c>
      <c r="I17" s="108">
        <v>9353.07</v>
      </c>
      <c r="J17" s="108">
        <v>3594.03</v>
      </c>
      <c r="K17" s="30">
        <v>45754</v>
      </c>
    </row>
    <row r="18" spans="1:11">
      <c r="A18" s="29" t="s">
        <v>45</v>
      </c>
      <c r="B18" s="105" t="s">
        <v>574</v>
      </c>
      <c r="C18" s="98" t="s">
        <v>131</v>
      </c>
      <c r="D18" s="98" t="s">
        <v>131</v>
      </c>
      <c r="E18" s="30">
        <v>45749</v>
      </c>
      <c r="F18" s="98" t="s">
        <v>131</v>
      </c>
      <c r="G18" s="30">
        <v>45758</v>
      </c>
      <c r="H18" s="30">
        <v>45758</v>
      </c>
      <c r="I18" s="108">
        <v>2686.61</v>
      </c>
      <c r="J18" s="108">
        <v>345.98</v>
      </c>
      <c r="K18" s="30">
        <v>45758</v>
      </c>
    </row>
    <row r="19" spans="1:11">
      <c r="A19" s="29" t="s">
        <v>598</v>
      </c>
      <c r="B19" s="98" t="s">
        <v>576</v>
      </c>
      <c r="C19" s="98" t="s">
        <v>577</v>
      </c>
      <c r="D19" s="98" t="s">
        <v>131</v>
      </c>
      <c r="E19" s="30">
        <v>45756</v>
      </c>
      <c r="F19" s="98" t="s">
        <v>131</v>
      </c>
      <c r="G19" s="30">
        <v>45765</v>
      </c>
      <c r="H19" s="30">
        <f>E19+9</f>
        <v>45765</v>
      </c>
      <c r="I19" s="108">
        <v>4743.5</v>
      </c>
      <c r="J19" s="108">
        <v>857.02</v>
      </c>
      <c r="K19" s="30">
        <v>45764</v>
      </c>
    </row>
    <row r="20" spans="1:11">
      <c r="A20" s="29" t="s">
        <v>599</v>
      </c>
      <c r="B20" s="98" t="s">
        <v>576</v>
      </c>
      <c r="C20" s="98" t="s">
        <v>577</v>
      </c>
      <c r="D20" s="98" t="s">
        <v>131</v>
      </c>
      <c r="E20" s="30">
        <v>45757</v>
      </c>
      <c r="F20" s="98" t="s">
        <v>131</v>
      </c>
      <c r="G20" s="30">
        <v>45765</v>
      </c>
      <c r="H20" s="30">
        <v>45765</v>
      </c>
      <c r="I20" s="108">
        <v>18550.72</v>
      </c>
      <c r="J20" s="108">
        <v>5299.22</v>
      </c>
      <c r="K20" s="98" t="s">
        <v>600</v>
      </c>
    </row>
    <row r="21" spans="1:11">
      <c r="A21" s="29" t="s">
        <v>601</v>
      </c>
      <c r="B21" s="105" t="s">
        <v>574</v>
      </c>
      <c r="C21" s="98" t="s">
        <v>131</v>
      </c>
      <c r="D21" s="98" t="s">
        <v>131</v>
      </c>
      <c r="E21" s="30">
        <v>45763</v>
      </c>
      <c r="F21" s="98" t="s">
        <v>131</v>
      </c>
      <c r="G21" s="30">
        <v>45772</v>
      </c>
      <c r="H21" s="30">
        <v>45772</v>
      </c>
      <c r="I21" s="108">
        <v>1073.3499999999999</v>
      </c>
      <c r="J21" s="108">
        <v>72.680000000000007</v>
      </c>
      <c r="K21" s="30">
        <v>45772</v>
      </c>
    </row>
    <row r="22" spans="1:11" ht="13.15" customHeight="1">
      <c r="A22" s="29" t="s">
        <v>602</v>
      </c>
      <c r="B22" s="105" t="s">
        <v>603</v>
      </c>
      <c r="C22" s="98" t="s">
        <v>131</v>
      </c>
      <c r="D22" s="98" t="s">
        <v>131</v>
      </c>
      <c r="E22" s="30">
        <v>45771</v>
      </c>
      <c r="F22" s="98" t="s">
        <v>131</v>
      </c>
      <c r="G22" s="30">
        <v>45776</v>
      </c>
      <c r="H22" s="30">
        <v>45779</v>
      </c>
      <c r="I22" s="108">
        <v>693.34</v>
      </c>
      <c r="J22" s="108">
        <v>74.66</v>
      </c>
      <c r="K22" s="120">
        <v>45779</v>
      </c>
    </row>
    <row r="23" spans="1:11">
      <c r="A23" s="29" t="s">
        <v>99</v>
      </c>
      <c r="B23" s="105" t="s">
        <v>603</v>
      </c>
      <c r="C23" s="98" t="s">
        <v>131</v>
      </c>
      <c r="D23" s="98" t="s">
        <v>131</v>
      </c>
      <c r="E23" s="30">
        <v>45771</v>
      </c>
      <c r="F23" s="98" t="s">
        <v>131</v>
      </c>
      <c r="G23" s="30">
        <v>45776</v>
      </c>
      <c r="H23" s="30">
        <v>45779</v>
      </c>
      <c r="I23" s="108">
        <v>717.34</v>
      </c>
      <c r="J23" s="108">
        <v>74.66</v>
      </c>
      <c r="K23" s="120">
        <v>45779</v>
      </c>
    </row>
    <row r="24" spans="1:11">
      <c r="A24" s="29" t="s">
        <v>604</v>
      </c>
      <c r="B24" s="98" t="s">
        <v>576</v>
      </c>
      <c r="C24" s="98" t="s">
        <v>577</v>
      </c>
      <c r="D24" s="98" t="s">
        <v>131</v>
      </c>
      <c r="E24" s="30">
        <v>45775</v>
      </c>
      <c r="F24" s="98" t="s">
        <v>131</v>
      </c>
      <c r="G24" s="30">
        <v>45783</v>
      </c>
      <c r="H24" s="30">
        <v>45784</v>
      </c>
      <c r="I24" s="108">
        <v>5142.62</v>
      </c>
      <c r="J24" s="108">
        <v>825.88</v>
      </c>
      <c r="K24" s="30">
        <v>45783</v>
      </c>
    </row>
    <row r="25" spans="1:11">
      <c r="A25" s="29" t="s">
        <v>605</v>
      </c>
      <c r="B25" s="98" t="s">
        <v>576</v>
      </c>
      <c r="C25" s="98" t="s">
        <v>577</v>
      </c>
      <c r="D25" s="98" t="s">
        <v>131</v>
      </c>
      <c r="E25" s="30">
        <v>45791</v>
      </c>
      <c r="F25" s="98" t="s">
        <v>131</v>
      </c>
      <c r="G25" s="30">
        <v>45800</v>
      </c>
      <c r="H25" s="30">
        <v>45800</v>
      </c>
      <c r="I25" s="108">
        <v>6569.46</v>
      </c>
      <c r="J25" s="108">
        <v>1848.38</v>
      </c>
      <c r="K25" s="30">
        <v>45800</v>
      </c>
    </row>
    <row r="26" spans="1:11" ht="15.6" customHeight="1">
      <c r="A26" s="29" t="s">
        <v>606</v>
      </c>
      <c r="B26" s="98" t="s">
        <v>576</v>
      </c>
      <c r="C26" s="98" t="s">
        <v>583</v>
      </c>
      <c r="D26" s="30">
        <v>45757</v>
      </c>
      <c r="E26" s="30">
        <v>45785</v>
      </c>
      <c r="F26" s="30">
        <f>D26+35</f>
        <v>45792</v>
      </c>
      <c r="G26" s="30">
        <v>45800</v>
      </c>
      <c r="H26" s="30">
        <v>45800</v>
      </c>
      <c r="I26" s="108">
        <v>9321.5</v>
      </c>
      <c r="J26" s="108">
        <v>2646.62</v>
      </c>
      <c r="K26" s="30">
        <v>45800</v>
      </c>
    </row>
    <row r="27" spans="1:11">
      <c r="A27" s="29" t="s">
        <v>111</v>
      </c>
      <c r="B27" s="98" t="s">
        <v>585</v>
      </c>
      <c r="C27" s="98" t="s">
        <v>131</v>
      </c>
      <c r="D27" s="98" t="s">
        <v>131</v>
      </c>
      <c r="E27" s="30">
        <v>45798</v>
      </c>
      <c r="F27" s="98" t="s">
        <v>131</v>
      </c>
      <c r="G27" s="30">
        <v>45807</v>
      </c>
      <c r="H27" s="30">
        <v>45807</v>
      </c>
      <c r="I27" s="108">
        <v>144.5</v>
      </c>
      <c r="J27" s="108">
        <v>0</v>
      </c>
      <c r="K27" s="113" t="s">
        <v>131</v>
      </c>
    </row>
    <row r="28" spans="1:11">
      <c r="A28" s="45" t="s">
        <v>120</v>
      </c>
      <c r="B28" s="105" t="s">
        <v>603</v>
      </c>
      <c r="C28" s="98" t="s">
        <v>131</v>
      </c>
      <c r="D28" s="98" t="s">
        <v>131</v>
      </c>
      <c r="E28" s="30">
        <v>45806</v>
      </c>
      <c r="F28" s="98" t="s">
        <v>131</v>
      </c>
      <c r="G28" s="30">
        <v>45783</v>
      </c>
      <c r="H28" s="30">
        <v>45814</v>
      </c>
      <c r="I28" s="108">
        <v>552</v>
      </c>
      <c r="J28" s="108">
        <v>26.88</v>
      </c>
      <c r="K28" s="30">
        <v>45814</v>
      </c>
    </row>
    <row r="29" spans="1:11">
      <c r="A29" s="29" t="s">
        <v>49</v>
      </c>
      <c r="B29" s="98" t="s">
        <v>607</v>
      </c>
      <c r="C29" s="98" t="s">
        <v>131</v>
      </c>
      <c r="D29" s="98" t="s">
        <v>131</v>
      </c>
      <c r="E29" s="30">
        <v>45838</v>
      </c>
      <c r="F29" s="98" t="s">
        <v>131</v>
      </c>
      <c r="G29" s="30">
        <v>45839</v>
      </c>
      <c r="H29" s="30">
        <v>45848</v>
      </c>
      <c r="I29" s="108">
        <v>1600</v>
      </c>
      <c r="J29" s="108">
        <v>0</v>
      </c>
      <c r="K29" s="98"/>
    </row>
    <row r="30" spans="1:11">
      <c r="A30" s="29" t="s">
        <v>137</v>
      </c>
      <c r="B30" s="105" t="s">
        <v>603</v>
      </c>
      <c r="C30" s="98" t="s">
        <v>577</v>
      </c>
      <c r="D30" s="98" t="s">
        <v>131</v>
      </c>
      <c r="E30" s="30">
        <v>45833</v>
      </c>
      <c r="F30" s="98" t="s">
        <v>131</v>
      </c>
      <c r="G30" s="30">
        <v>45841</v>
      </c>
      <c r="H30" s="30">
        <v>45842</v>
      </c>
      <c r="I30" s="108">
        <v>1108.3599999999999</v>
      </c>
      <c r="J30" s="108">
        <v>112</v>
      </c>
      <c r="K30" s="30">
        <v>45841</v>
      </c>
    </row>
    <row r="31" spans="1:11">
      <c r="A31" s="29" t="s">
        <v>135</v>
      </c>
      <c r="B31" s="105" t="s">
        <v>603</v>
      </c>
      <c r="C31" s="98" t="s">
        <v>577</v>
      </c>
      <c r="D31" s="98" t="s">
        <v>131</v>
      </c>
      <c r="E31" s="30">
        <v>45833</v>
      </c>
      <c r="F31" s="98" t="s">
        <v>131</v>
      </c>
      <c r="G31" s="30">
        <v>45841</v>
      </c>
      <c r="H31" s="30">
        <v>45842</v>
      </c>
      <c r="I31" s="108">
        <v>1108.3599999999999</v>
      </c>
      <c r="J31" s="108">
        <v>112</v>
      </c>
      <c r="K31" s="30">
        <v>45841</v>
      </c>
    </row>
    <row r="32" spans="1:11">
      <c r="A32" s="29" t="s">
        <v>21</v>
      </c>
      <c r="B32" s="98" t="s">
        <v>576</v>
      </c>
      <c r="C32" s="98" t="s">
        <v>577</v>
      </c>
      <c r="D32" s="98" t="s">
        <v>131</v>
      </c>
      <c r="E32" s="30">
        <v>45834</v>
      </c>
      <c r="F32" s="98" t="s">
        <v>131</v>
      </c>
      <c r="G32" s="30">
        <v>45841</v>
      </c>
      <c r="H32" s="30">
        <v>45841</v>
      </c>
      <c r="I32" s="108">
        <v>6023.76</v>
      </c>
      <c r="J32" s="108">
        <v>874.59</v>
      </c>
      <c r="K32" s="30">
        <v>45841</v>
      </c>
    </row>
    <row r="33" spans="1:11">
      <c r="A33" s="29" t="s">
        <v>608</v>
      </c>
      <c r="B33" s="98" t="s">
        <v>576</v>
      </c>
      <c r="C33" s="98" t="s">
        <v>577</v>
      </c>
      <c r="D33" s="98" t="s">
        <v>131</v>
      </c>
      <c r="E33" s="30">
        <v>45835</v>
      </c>
      <c r="F33" s="98" t="s">
        <v>131</v>
      </c>
      <c r="G33" s="30"/>
      <c r="H33" s="30"/>
      <c r="I33" s="108"/>
      <c r="J33" s="108"/>
      <c r="K33" s="98"/>
    </row>
    <row r="34" spans="1:11">
      <c r="A34" s="29" t="s">
        <v>142</v>
      </c>
      <c r="B34" s="98" t="s">
        <v>585</v>
      </c>
      <c r="C34" s="98" t="s">
        <v>577</v>
      </c>
      <c r="D34" s="98" t="s">
        <v>131</v>
      </c>
      <c r="E34" s="30">
        <v>45841</v>
      </c>
      <c r="F34" s="98" t="s">
        <v>131</v>
      </c>
      <c r="G34" s="30">
        <v>45848</v>
      </c>
      <c r="H34" s="30">
        <v>45849</v>
      </c>
      <c r="I34" s="108">
        <v>2.17</v>
      </c>
      <c r="J34" s="108">
        <v>0</v>
      </c>
      <c r="K34" s="113" t="s">
        <v>131</v>
      </c>
    </row>
    <row r="35" spans="1:11">
      <c r="A35" s="29" t="s">
        <v>609</v>
      </c>
      <c r="B35" s="98" t="s">
        <v>576</v>
      </c>
      <c r="C35" s="98" t="s">
        <v>577</v>
      </c>
      <c r="D35" s="98" t="s">
        <v>131</v>
      </c>
      <c r="E35" s="30">
        <v>45857</v>
      </c>
      <c r="F35" s="98" t="s">
        <v>131</v>
      </c>
      <c r="G35" s="30">
        <v>45862</v>
      </c>
      <c r="H35" s="30">
        <v>45866</v>
      </c>
      <c r="I35" s="108">
        <v>12628.31</v>
      </c>
      <c r="J35" s="108">
        <v>3317.29</v>
      </c>
      <c r="K35" s="30">
        <v>45867</v>
      </c>
    </row>
    <row r="36" spans="1:11">
      <c r="A36" s="29" t="s">
        <v>345</v>
      </c>
      <c r="B36" s="98" t="s">
        <v>576</v>
      </c>
      <c r="C36" s="98" t="s">
        <v>577</v>
      </c>
      <c r="D36" s="98" t="s">
        <v>131</v>
      </c>
      <c r="E36" s="30">
        <v>45856</v>
      </c>
      <c r="F36" s="98" t="s">
        <v>131</v>
      </c>
      <c r="G36" s="30">
        <v>45862</v>
      </c>
      <c r="H36" s="30">
        <v>45863</v>
      </c>
      <c r="I36" s="108">
        <v>6525.6</v>
      </c>
      <c r="J36" s="108">
        <v>1037.47</v>
      </c>
      <c r="K36" s="30">
        <v>45867</v>
      </c>
    </row>
    <row r="37" spans="1:11">
      <c r="A37" s="29" t="s">
        <v>165</v>
      </c>
      <c r="B37" s="98" t="s">
        <v>576</v>
      </c>
      <c r="C37" s="98" t="s">
        <v>577</v>
      </c>
      <c r="D37" s="98" t="s">
        <v>131</v>
      </c>
      <c r="E37" s="30">
        <v>45866</v>
      </c>
      <c r="F37" s="98" t="s">
        <v>131</v>
      </c>
      <c r="G37" s="30">
        <v>45869</v>
      </c>
      <c r="H37" s="30">
        <v>45875</v>
      </c>
      <c r="I37" s="108">
        <v>528.34</v>
      </c>
      <c r="J37" s="108">
        <v>7.46</v>
      </c>
      <c r="K37" s="30">
        <v>45876</v>
      </c>
    </row>
    <row r="38" spans="1:11">
      <c r="A38" s="29" t="s">
        <v>156</v>
      </c>
      <c r="B38" s="105" t="s">
        <v>603</v>
      </c>
      <c r="C38" s="98" t="s">
        <v>577</v>
      </c>
      <c r="D38" s="98" t="s">
        <v>131</v>
      </c>
      <c r="E38" s="30">
        <v>45869</v>
      </c>
      <c r="F38" s="98" t="s">
        <v>131</v>
      </c>
      <c r="G38" s="30">
        <v>45901</v>
      </c>
      <c r="H38" s="30">
        <v>45877</v>
      </c>
      <c r="I38" s="108">
        <v>1239.32</v>
      </c>
      <c r="J38" s="108">
        <v>87.96</v>
      </c>
      <c r="K38" s="30">
        <v>45877</v>
      </c>
    </row>
    <row r="39" spans="1:11">
      <c r="A39" s="29" t="s">
        <v>334</v>
      </c>
      <c r="B39" s="98" t="s">
        <v>576</v>
      </c>
      <c r="C39" s="98" t="s">
        <v>577</v>
      </c>
      <c r="D39" s="98" t="s">
        <v>131</v>
      </c>
      <c r="E39" s="30">
        <v>45875</v>
      </c>
      <c r="F39" s="98" t="s">
        <v>131</v>
      </c>
      <c r="G39" s="98" t="s">
        <v>610</v>
      </c>
      <c r="H39" s="30">
        <v>45884</v>
      </c>
      <c r="I39" s="121">
        <v>5457.42</v>
      </c>
      <c r="J39" s="122">
        <v>998.72</v>
      </c>
      <c r="K39" s="30">
        <v>45884</v>
      </c>
    </row>
    <row r="40" spans="1:11">
      <c r="A40" s="29" t="s">
        <v>70</v>
      </c>
      <c r="B40" s="98" t="s">
        <v>585</v>
      </c>
      <c r="C40" s="98" t="s">
        <v>583</v>
      </c>
      <c r="D40" s="30">
        <v>45877</v>
      </c>
      <c r="E40" s="30">
        <v>45885</v>
      </c>
      <c r="F40" s="30">
        <f>D40+29</f>
        <v>45906</v>
      </c>
      <c r="G40" s="30">
        <v>45890</v>
      </c>
      <c r="H40" s="30">
        <f>E40+9</f>
        <v>45894</v>
      </c>
      <c r="I40" s="108">
        <v>3598.96</v>
      </c>
      <c r="J40" s="108">
        <v>0</v>
      </c>
      <c r="K40" s="108">
        <v>0</v>
      </c>
    </row>
    <row r="41" spans="1:11">
      <c r="A41" s="29" t="s">
        <v>90</v>
      </c>
      <c r="B41" s="98" t="s">
        <v>576</v>
      </c>
      <c r="C41" s="98" t="s">
        <v>577</v>
      </c>
      <c r="D41" s="98" t="s">
        <v>131</v>
      </c>
      <c r="E41" s="30">
        <v>45884</v>
      </c>
      <c r="F41" s="98" t="s">
        <v>131</v>
      </c>
      <c r="G41" s="30">
        <v>45890</v>
      </c>
      <c r="H41" s="30">
        <v>45891</v>
      </c>
      <c r="I41" s="108">
        <v>5906.27</v>
      </c>
      <c r="J41" s="108">
        <v>838.39</v>
      </c>
      <c r="K41" s="30">
        <v>45894</v>
      </c>
    </row>
    <row r="42" spans="1:11">
      <c r="A42" s="29" t="s">
        <v>176</v>
      </c>
      <c r="B42" s="98" t="s">
        <v>585</v>
      </c>
      <c r="C42" s="98" t="s">
        <v>577</v>
      </c>
      <c r="D42" s="98" t="s">
        <v>131</v>
      </c>
      <c r="E42" s="30">
        <v>45884</v>
      </c>
      <c r="F42" s="98" t="s">
        <v>131</v>
      </c>
      <c r="G42" s="30">
        <v>45890</v>
      </c>
      <c r="H42" s="30">
        <v>45891</v>
      </c>
      <c r="I42" s="108">
        <v>0</v>
      </c>
      <c r="J42" s="108">
        <v>0</v>
      </c>
      <c r="K42" s="108">
        <v>0</v>
      </c>
    </row>
    <row r="43" spans="1:11">
      <c r="A43" s="29" t="s">
        <v>611</v>
      </c>
      <c r="B43" s="98" t="s">
        <v>585</v>
      </c>
      <c r="C43" s="98" t="s">
        <v>577</v>
      </c>
      <c r="D43" s="98" t="s">
        <v>131</v>
      </c>
      <c r="E43" s="30">
        <v>45888</v>
      </c>
      <c r="F43" s="98" t="s">
        <v>131</v>
      </c>
      <c r="G43" s="30">
        <v>45897</v>
      </c>
      <c r="H43" s="30">
        <v>45897</v>
      </c>
      <c r="I43" s="108">
        <v>11448.69</v>
      </c>
      <c r="J43" s="108">
        <v>0</v>
      </c>
      <c r="K43" s="98" t="s">
        <v>131</v>
      </c>
    </row>
    <row r="44" spans="1:11">
      <c r="A44" s="29" t="s">
        <v>612</v>
      </c>
      <c r="B44" s="98" t="s">
        <v>585</v>
      </c>
      <c r="C44" s="98" t="s">
        <v>577</v>
      </c>
      <c r="D44" s="98"/>
      <c r="E44" s="30">
        <v>45890</v>
      </c>
      <c r="F44" s="98"/>
      <c r="G44" s="30">
        <v>45805</v>
      </c>
      <c r="H44" s="30">
        <v>45898</v>
      </c>
      <c r="I44" s="108">
        <v>0</v>
      </c>
      <c r="J44" s="108">
        <v>0</v>
      </c>
      <c r="K44" s="98" t="s">
        <v>131</v>
      </c>
    </row>
    <row r="45" spans="1:11" ht="13.9" customHeight="1">
      <c r="A45" s="29" t="s">
        <v>613</v>
      </c>
      <c r="B45" s="98" t="s">
        <v>576</v>
      </c>
      <c r="C45" s="98" t="s">
        <v>577</v>
      </c>
      <c r="D45" s="98"/>
      <c r="E45" s="30">
        <v>45896</v>
      </c>
      <c r="F45" s="98"/>
      <c r="G45" s="30">
        <v>45781</v>
      </c>
      <c r="H45" s="30">
        <v>45905</v>
      </c>
      <c r="I45" s="108">
        <v>5325.01</v>
      </c>
      <c r="J45" s="108">
        <v>833.64</v>
      </c>
      <c r="K45" s="30">
        <v>45905</v>
      </c>
    </row>
    <row r="46" spans="1:11">
      <c r="A46" s="29" t="s">
        <v>93</v>
      </c>
      <c r="B46" s="98" t="s">
        <v>576</v>
      </c>
      <c r="C46" s="98" t="s">
        <v>577</v>
      </c>
      <c r="D46" s="98"/>
      <c r="E46" s="30">
        <v>45903</v>
      </c>
      <c r="F46" s="98"/>
      <c r="G46" s="30">
        <v>45911</v>
      </c>
      <c r="H46" s="30">
        <v>45912</v>
      </c>
      <c r="I46" s="108">
        <v>5132.66</v>
      </c>
      <c r="J46" s="108">
        <v>811.15</v>
      </c>
      <c r="K46" s="30">
        <v>45912</v>
      </c>
    </row>
    <row r="47" spans="1:11">
      <c r="A47" s="29" t="s">
        <v>187</v>
      </c>
      <c r="B47" s="98" t="s">
        <v>585</v>
      </c>
      <c r="C47" s="98" t="s">
        <v>131</v>
      </c>
      <c r="D47" s="98" t="s">
        <v>131</v>
      </c>
      <c r="E47" s="30">
        <v>45926</v>
      </c>
      <c r="F47" s="98" t="s">
        <v>131</v>
      </c>
      <c r="G47" s="30">
        <v>45932</v>
      </c>
      <c r="H47" s="30">
        <v>45933</v>
      </c>
      <c r="I47" s="108">
        <v>0</v>
      </c>
      <c r="J47" s="123">
        <v>0</v>
      </c>
      <c r="K47" s="123">
        <v>0</v>
      </c>
    </row>
    <row r="48" spans="1:11">
      <c r="A48" s="136" t="s">
        <v>371</v>
      </c>
      <c r="B48" s="137" t="s">
        <v>576</v>
      </c>
      <c r="C48" s="137" t="s">
        <v>577</v>
      </c>
      <c r="D48" s="137" t="s">
        <v>131</v>
      </c>
      <c r="E48" s="138">
        <v>45932</v>
      </c>
      <c r="F48" s="137" t="s">
        <v>131</v>
      </c>
      <c r="G48" s="138">
        <v>45939</v>
      </c>
      <c r="H48" s="138">
        <v>45940</v>
      </c>
      <c r="I48" s="108">
        <v>9440.14</v>
      </c>
      <c r="J48" s="108">
        <v>2859.24</v>
      </c>
      <c r="K48" s="30">
        <v>45940</v>
      </c>
    </row>
    <row r="49" spans="1:11">
      <c r="A49" s="216" t="s">
        <v>614</v>
      </c>
      <c r="B49" s="217" t="s">
        <v>576</v>
      </c>
      <c r="C49" s="217" t="s">
        <v>577</v>
      </c>
      <c r="D49" s="217"/>
      <c r="E49" s="218">
        <v>45933</v>
      </c>
      <c r="F49" s="217"/>
      <c r="G49" s="218">
        <v>45939</v>
      </c>
      <c r="H49" s="218">
        <v>45940</v>
      </c>
      <c r="I49" s="116">
        <v>10616.99</v>
      </c>
      <c r="J49" s="116">
        <v>2973.93</v>
      </c>
      <c r="K49" s="124">
        <v>45943</v>
      </c>
    </row>
    <row r="50" spans="1:11">
      <c r="A50" s="136" t="s">
        <v>615</v>
      </c>
      <c r="B50" s="137" t="s">
        <v>576</v>
      </c>
      <c r="C50" s="137" t="s">
        <v>583</v>
      </c>
      <c r="D50" s="138">
        <v>45915</v>
      </c>
      <c r="E50" s="138">
        <f>D50+36</f>
        <v>45951</v>
      </c>
      <c r="F50" s="138">
        <v>45951</v>
      </c>
      <c r="G50" s="138">
        <v>45954</v>
      </c>
      <c r="H50" s="138">
        <v>45960</v>
      </c>
      <c r="I50" s="108">
        <v>5654.05</v>
      </c>
      <c r="J50" s="108">
        <v>2792.1</v>
      </c>
      <c r="K50" s="30">
        <v>45961</v>
      </c>
    </row>
    <row r="51" spans="1:11">
      <c r="A51" s="136" t="s">
        <v>616</v>
      </c>
      <c r="B51" s="137" t="s">
        <v>576</v>
      </c>
      <c r="C51" s="137" t="s">
        <v>577</v>
      </c>
      <c r="D51" s="137" t="s">
        <v>131</v>
      </c>
      <c r="E51" s="138">
        <v>45950</v>
      </c>
      <c r="F51" s="137" t="s">
        <v>131</v>
      </c>
      <c r="G51" s="138">
        <v>45960</v>
      </c>
      <c r="H51" s="138">
        <v>45960</v>
      </c>
      <c r="I51" s="108">
        <v>7424.09</v>
      </c>
      <c r="J51" s="108">
        <v>1385.86</v>
      </c>
      <c r="K51" s="30">
        <v>45960</v>
      </c>
    </row>
    <row r="52" spans="1:11">
      <c r="A52" s="136" t="s">
        <v>68</v>
      </c>
      <c r="B52" s="137" t="s">
        <v>585</v>
      </c>
      <c r="C52" s="137" t="s">
        <v>577</v>
      </c>
      <c r="D52" s="137" t="s">
        <v>131</v>
      </c>
      <c r="E52" s="138">
        <v>45964</v>
      </c>
      <c r="F52" s="137" t="s">
        <v>131</v>
      </c>
      <c r="G52" s="138">
        <v>45967</v>
      </c>
      <c r="H52" s="138">
        <v>45973</v>
      </c>
      <c r="I52" s="108">
        <v>4295.09</v>
      </c>
      <c r="J52" s="108">
        <v>861.23</v>
      </c>
      <c r="K52" s="30">
        <v>45247</v>
      </c>
    </row>
    <row r="53" spans="1:11">
      <c r="A53" s="136" t="s">
        <v>617</v>
      </c>
      <c r="B53" s="137" t="s">
        <v>576</v>
      </c>
      <c r="C53" s="137" t="s">
        <v>577</v>
      </c>
      <c r="D53" s="138">
        <v>45944</v>
      </c>
      <c r="E53" s="219">
        <v>45966</v>
      </c>
      <c r="F53" s="138">
        <f>D53+29</f>
        <v>45973</v>
      </c>
      <c r="G53" s="138">
        <v>45981</v>
      </c>
      <c r="H53" s="138">
        <v>45982</v>
      </c>
      <c r="I53" s="108">
        <v>1396.49</v>
      </c>
      <c r="J53" s="108">
        <v>318.77</v>
      </c>
      <c r="K53" s="30">
        <v>45975</v>
      </c>
    </row>
    <row r="54" spans="1:11">
      <c r="A54" s="136" t="s">
        <v>618</v>
      </c>
      <c r="B54" s="137" t="s">
        <v>619</v>
      </c>
      <c r="C54" s="137" t="s">
        <v>577</v>
      </c>
      <c r="D54" s="137" t="s">
        <v>131</v>
      </c>
      <c r="E54" s="138">
        <v>45971</v>
      </c>
      <c r="F54" s="137" t="s">
        <v>131</v>
      </c>
      <c r="G54" s="138">
        <v>45980</v>
      </c>
      <c r="H54" s="138">
        <f t="shared" ref="H54:H56" si="0">E54+9</f>
        <v>45980</v>
      </c>
      <c r="I54" s="108">
        <v>7323.75</v>
      </c>
      <c r="J54" s="108">
        <v>3016.23</v>
      </c>
      <c r="K54" s="30">
        <v>45980</v>
      </c>
    </row>
    <row r="55" spans="1:11">
      <c r="A55" s="136" t="s">
        <v>620</v>
      </c>
      <c r="B55" s="137" t="s">
        <v>619</v>
      </c>
      <c r="C55" s="137" t="s">
        <v>577</v>
      </c>
      <c r="D55" s="137" t="s">
        <v>131</v>
      </c>
      <c r="E55" s="138">
        <v>45971</v>
      </c>
      <c r="F55" s="137" t="s">
        <v>131</v>
      </c>
      <c r="G55" s="138">
        <v>45980</v>
      </c>
      <c r="H55" s="138">
        <f t="shared" si="0"/>
        <v>45980</v>
      </c>
      <c r="I55" s="108">
        <v>6175.05</v>
      </c>
      <c r="J55" s="108">
        <v>1061.9100000000001</v>
      </c>
      <c r="K55" s="30">
        <v>45980</v>
      </c>
    </row>
    <row r="56" spans="1:11">
      <c r="A56" s="220" t="s">
        <v>447</v>
      </c>
      <c r="B56" s="137" t="s">
        <v>619</v>
      </c>
      <c r="C56" s="137" t="s">
        <v>577</v>
      </c>
      <c r="D56" s="137" t="s">
        <v>131</v>
      </c>
      <c r="E56" s="138">
        <v>45971</v>
      </c>
      <c r="F56" s="137" t="s">
        <v>131</v>
      </c>
      <c r="G56" s="138">
        <v>45980</v>
      </c>
      <c r="H56" s="138">
        <f t="shared" si="0"/>
        <v>45980</v>
      </c>
      <c r="I56" s="108">
        <v>14887.93</v>
      </c>
      <c r="J56" s="108">
        <v>5975</v>
      </c>
      <c r="K56" s="30">
        <v>45980</v>
      </c>
    </row>
    <row r="57" spans="1:11">
      <c r="A57" s="136" t="s">
        <v>621</v>
      </c>
      <c r="B57" s="137" t="s">
        <v>619</v>
      </c>
      <c r="C57" s="137" t="s">
        <v>577</v>
      </c>
      <c r="D57" s="137" t="s">
        <v>131</v>
      </c>
      <c r="E57" s="138">
        <v>45974</v>
      </c>
      <c r="F57" s="137" t="s">
        <v>131</v>
      </c>
      <c r="G57" s="138">
        <v>45981</v>
      </c>
      <c r="H57" s="138">
        <v>45982</v>
      </c>
      <c r="I57" s="108">
        <v>7338.35</v>
      </c>
      <c r="J57" s="108">
        <v>1170.8800000000001</v>
      </c>
      <c r="K57" s="30">
        <v>45982</v>
      </c>
    </row>
    <row r="58" spans="1:11">
      <c r="A58" s="136" t="s">
        <v>43</v>
      </c>
      <c r="B58" s="137" t="s">
        <v>585</v>
      </c>
      <c r="C58" s="137" t="s">
        <v>577</v>
      </c>
      <c r="D58" s="137" t="s">
        <v>131</v>
      </c>
      <c r="E58" s="138">
        <v>45994</v>
      </c>
      <c r="F58" s="137" t="s">
        <v>131</v>
      </c>
      <c r="G58" s="138">
        <v>46002</v>
      </c>
      <c r="H58" s="138">
        <v>46003</v>
      </c>
      <c r="I58" s="125">
        <v>2354.86</v>
      </c>
      <c r="J58" s="108">
        <v>0</v>
      </c>
      <c r="K58" s="98" t="s">
        <v>131</v>
      </c>
    </row>
    <row r="59" spans="1:11">
      <c r="A59" s="136" t="s">
        <v>622</v>
      </c>
      <c r="B59" s="137" t="s">
        <v>576</v>
      </c>
      <c r="C59" s="137" t="s">
        <v>577</v>
      </c>
      <c r="D59" s="137" t="s">
        <v>131</v>
      </c>
      <c r="E59" s="138">
        <v>45996</v>
      </c>
      <c r="F59" s="137" t="s">
        <v>131</v>
      </c>
      <c r="G59" s="138">
        <v>46002</v>
      </c>
      <c r="H59" s="138">
        <v>46003</v>
      </c>
      <c r="I59" s="108">
        <v>5401.74</v>
      </c>
      <c r="J59" s="108">
        <v>1846.34</v>
      </c>
      <c r="K59" s="30">
        <v>46000</v>
      </c>
    </row>
    <row r="60" spans="1:11">
      <c r="A60" s="136" t="s">
        <v>623</v>
      </c>
      <c r="B60" s="137" t="s">
        <v>576</v>
      </c>
      <c r="C60" s="137" t="s">
        <v>577</v>
      </c>
      <c r="D60" s="137"/>
      <c r="E60" s="138">
        <v>46000</v>
      </c>
      <c r="F60" s="137"/>
      <c r="G60" s="138">
        <v>46009</v>
      </c>
      <c r="H60" s="138">
        <v>46009</v>
      </c>
      <c r="I60" s="108">
        <v>7902.6</v>
      </c>
      <c r="J60" s="108">
        <v>1443.74</v>
      </c>
      <c r="K60" s="30">
        <v>46010</v>
      </c>
    </row>
    <row r="61" spans="1:11">
      <c r="A61" s="139" t="s">
        <v>624</v>
      </c>
      <c r="B61" s="137" t="s">
        <v>576</v>
      </c>
      <c r="C61" s="137" t="s">
        <v>577</v>
      </c>
      <c r="D61" s="137"/>
      <c r="E61" s="138">
        <v>46002</v>
      </c>
      <c r="F61" s="137"/>
      <c r="G61" s="138">
        <v>46010</v>
      </c>
      <c r="H61" s="138">
        <v>46009</v>
      </c>
      <c r="I61" s="108">
        <v>7406.78</v>
      </c>
      <c r="J61" s="108">
        <v>1468.05</v>
      </c>
      <c r="K61" s="30">
        <v>46009</v>
      </c>
    </row>
    <row r="62" spans="1:11">
      <c r="A62" s="136" t="s">
        <v>96</v>
      </c>
      <c r="B62" s="137" t="s">
        <v>576</v>
      </c>
      <c r="C62" s="137" t="s">
        <v>577</v>
      </c>
      <c r="D62" s="137"/>
      <c r="E62" s="138">
        <v>46002</v>
      </c>
      <c r="F62" s="137"/>
      <c r="G62" s="138">
        <v>46010</v>
      </c>
      <c r="H62" s="138">
        <v>46009</v>
      </c>
      <c r="I62" s="108">
        <v>9654.4</v>
      </c>
      <c r="J62" s="108">
        <v>1574.78</v>
      </c>
      <c r="K62" s="98" t="s">
        <v>625</v>
      </c>
    </row>
    <row r="63" spans="1:11">
      <c r="A63" s="136" t="s">
        <v>626</v>
      </c>
      <c r="B63" s="137" t="s">
        <v>627</v>
      </c>
      <c r="C63" s="137" t="s">
        <v>583</v>
      </c>
      <c r="D63" s="138">
        <v>45992</v>
      </c>
      <c r="E63" s="138">
        <v>46009</v>
      </c>
      <c r="F63" s="138">
        <v>46009</v>
      </c>
      <c r="G63" s="138">
        <v>46015</v>
      </c>
      <c r="H63" s="138">
        <v>46017</v>
      </c>
      <c r="I63" s="108">
        <v>3528.77</v>
      </c>
      <c r="J63" s="108">
        <v>0</v>
      </c>
      <c r="K63" s="98" t="s">
        <v>131</v>
      </c>
    </row>
    <row r="64" spans="1:11">
      <c r="A64" s="136" t="s">
        <v>628</v>
      </c>
      <c r="B64" s="137" t="s">
        <v>576</v>
      </c>
      <c r="C64" s="137" t="s">
        <v>583</v>
      </c>
      <c r="D64" s="138">
        <v>45974</v>
      </c>
      <c r="E64" s="138">
        <v>46013</v>
      </c>
      <c r="F64" s="138">
        <v>46013</v>
      </c>
      <c r="G64" s="138">
        <v>46021</v>
      </c>
      <c r="H64" s="138">
        <v>46022</v>
      </c>
      <c r="I64" s="108">
        <v>5831.16</v>
      </c>
      <c r="J64" s="108">
        <v>3744.76</v>
      </c>
      <c r="K64" s="30">
        <v>46022</v>
      </c>
    </row>
    <row r="65" spans="1:11">
      <c r="A65" s="136" t="s">
        <v>629</v>
      </c>
      <c r="B65" s="137" t="s">
        <v>576</v>
      </c>
      <c r="C65" s="137" t="s">
        <v>583</v>
      </c>
      <c r="D65" s="138">
        <v>45984</v>
      </c>
      <c r="E65" s="138">
        <v>46020</v>
      </c>
      <c r="F65" s="138">
        <v>46020</v>
      </c>
      <c r="G65" s="138">
        <v>46021</v>
      </c>
      <c r="H65" s="138">
        <v>46029</v>
      </c>
      <c r="I65" s="108">
        <v>5555.27</v>
      </c>
      <c r="J65" s="108">
        <v>3011.45</v>
      </c>
      <c r="K65" s="30">
        <v>45665</v>
      </c>
    </row>
    <row r="66" spans="1:11">
      <c r="A66" s="136" t="s">
        <v>630</v>
      </c>
      <c r="B66" s="137" t="s">
        <v>585</v>
      </c>
      <c r="C66" s="137" t="s">
        <v>577</v>
      </c>
      <c r="D66" s="137" t="s">
        <v>131</v>
      </c>
      <c r="E66" s="138">
        <v>46021</v>
      </c>
      <c r="F66" s="137" t="s">
        <v>131</v>
      </c>
      <c r="G66" s="138">
        <v>45665</v>
      </c>
      <c r="H66" s="138">
        <v>45665</v>
      </c>
      <c r="I66" s="108">
        <v>0</v>
      </c>
      <c r="J66" s="108">
        <v>0</v>
      </c>
      <c r="K66" s="98" t="s">
        <v>131</v>
      </c>
    </row>
    <row r="67" spans="1:11">
      <c r="A67" s="139" t="s">
        <v>180</v>
      </c>
      <c r="B67" s="137" t="s">
        <v>576</v>
      </c>
      <c r="C67" s="137" t="s">
        <v>577</v>
      </c>
      <c r="D67" s="137" t="s">
        <v>131</v>
      </c>
      <c r="E67" s="138">
        <v>45661</v>
      </c>
      <c r="F67" s="137" t="s">
        <v>131</v>
      </c>
      <c r="G67" s="138">
        <v>45665</v>
      </c>
      <c r="H67" s="138">
        <v>45670</v>
      </c>
      <c r="I67" s="108">
        <v>3925.72</v>
      </c>
      <c r="J67" s="108">
        <v>836.1</v>
      </c>
      <c r="K67" s="126">
        <v>46036</v>
      </c>
    </row>
    <row r="68" spans="1:11">
      <c r="A68" s="140" t="s">
        <v>163</v>
      </c>
      <c r="B68" s="137" t="s">
        <v>576</v>
      </c>
      <c r="C68" s="137" t="s">
        <v>577</v>
      </c>
      <c r="D68" s="137" t="s">
        <v>131</v>
      </c>
      <c r="E68" s="138">
        <v>45692</v>
      </c>
      <c r="F68" s="137" t="s">
        <v>131</v>
      </c>
      <c r="G68" s="138">
        <v>45665</v>
      </c>
      <c r="H68" s="138">
        <v>45670</v>
      </c>
      <c r="I68" s="108">
        <v>3809.7</v>
      </c>
      <c r="J68" s="108">
        <v>877.07</v>
      </c>
      <c r="K68" s="126">
        <v>46036</v>
      </c>
    </row>
    <row r="69" spans="1:11">
      <c r="A69" s="140" t="s">
        <v>210</v>
      </c>
      <c r="B69" s="137" t="s">
        <v>585</v>
      </c>
      <c r="C69" s="137" t="s">
        <v>583</v>
      </c>
      <c r="D69" s="138">
        <v>46045</v>
      </c>
      <c r="E69" s="138">
        <v>46052</v>
      </c>
      <c r="F69" s="138">
        <v>46052</v>
      </c>
      <c r="G69" s="138">
        <v>45693</v>
      </c>
      <c r="H69" s="138">
        <v>45694</v>
      </c>
      <c r="I69" s="108">
        <v>1176.1199999999999</v>
      </c>
      <c r="J69" s="108">
        <v>0</v>
      </c>
      <c r="K69" s="98" t="s">
        <v>131</v>
      </c>
    </row>
    <row r="70" spans="1:11">
      <c r="A70" s="136" t="s">
        <v>161</v>
      </c>
      <c r="B70" s="137" t="s">
        <v>576</v>
      </c>
      <c r="C70" s="137" t="s">
        <v>577</v>
      </c>
      <c r="D70" s="137" t="s">
        <v>131</v>
      </c>
      <c r="E70" s="138">
        <v>46051</v>
      </c>
      <c r="F70" s="137" t="s">
        <v>131</v>
      </c>
      <c r="G70" s="138">
        <v>46058</v>
      </c>
      <c r="H70" s="138">
        <v>46059</v>
      </c>
      <c r="I70" s="108">
        <v>8885.61</v>
      </c>
      <c r="J70" s="108">
        <v>1335.09</v>
      </c>
      <c r="K70" s="30">
        <v>46059</v>
      </c>
    </row>
    <row r="71" spans="1:11">
      <c r="A71" s="136" t="s">
        <v>118</v>
      </c>
      <c r="B71" s="137" t="s">
        <v>585</v>
      </c>
      <c r="C71" s="137" t="s">
        <v>577</v>
      </c>
      <c r="D71" s="137" t="s">
        <v>131</v>
      </c>
      <c r="E71" s="138">
        <v>46055</v>
      </c>
      <c r="F71" s="137" t="s">
        <v>131</v>
      </c>
      <c r="G71" s="138">
        <v>46058</v>
      </c>
      <c r="H71" s="138">
        <v>46064</v>
      </c>
      <c r="I71" s="108" t="s">
        <v>131</v>
      </c>
      <c r="J71" s="108" t="s">
        <v>131</v>
      </c>
      <c r="K71" s="98" t="s">
        <v>131</v>
      </c>
    </row>
    <row r="72" spans="1:11">
      <c r="A72" s="136" t="s">
        <v>631</v>
      </c>
      <c r="B72" s="137" t="s">
        <v>585</v>
      </c>
      <c r="C72" s="137" t="s">
        <v>583</v>
      </c>
      <c r="D72" s="138">
        <v>46031</v>
      </c>
      <c r="E72" s="138">
        <f>D72+29</f>
        <v>46060</v>
      </c>
      <c r="F72" s="138">
        <v>46060</v>
      </c>
      <c r="G72" s="138">
        <v>46065</v>
      </c>
      <c r="H72" s="138">
        <v>46069</v>
      </c>
      <c r="I72" s="127">
        <v>1609.43</v>
      </c>
      <c r="J72" s="108" t="s">
        <v>131</v>
      </c>
      <c r="K72" s="98" t="s">
        <v>131</v>
      </c>
    </row>
    <row r="73" spans="1:11">
      <c r="A73" s="141" t="s">
        <v>411</v>
      </c>
      <c r="B73" s="137" t="s">
        <v>576</v>
      </c>
      <c r="C73" s="137" t="s">
        <v>583</v>
      </c>
      <c r="D73" s="138">
        <v>46029</v>
      </c>
      <c r="E73" s="138">
        <v>46057</v>
      </c>
      <c r="F73" s="138">
        <f>D73+36</f>
        <v>46065</v>
      </c>
      <c r="G73" s="138">
        <v>45707</v>
      </c>
      <c r="H73" s="138">
        <v>46073</v>
      </c>
      <c r="I73" s="127">
        <v>10994.36</v>
      </c>
      <c r="J73" s="108">
        <v>4387.28</v>
      </c>
      <c r="K73" s="126">
        <v>46073</v>
      </c>
    </row>
    <row r="74" spans="1:11">
      <c r="A74" s="136" t="s">
        <v>106</v>
      </c>
      <c r="B74" s="137" t="s">
        <v>576</v>
      </c>
      <c r="C74" s="221" t="s">
        <v>577</v>
      </c>
      <c r="D74" s="137" t="s">
        <v>131</v>
      </c>
      <c r="E74" s="138">
        <v>46057</v>
      </c>
      <c r="F74" s="137" t="s">
        <v>131</v>
      </c>
      <c r="G74" s="138">
        <v>46065</v>
      </c>
      <c r="H74" s="138">
        <v>46066</v>
      </c>
      <c r="I74" s="108">
        <v>5101.18</v>
      </c>
      <c r="J74" s="108">
        <v>983.64</v>
      </c>
      <c r="K74" s="30">
        <v>46066</v>
      </c>
    </row>
    <row r="75" spans="1:11">
      <c r="A75" s="136" t="s">
        <v>632</v>
      </c>
      <c r="B75" s="137" t="s">
        <v>579</v>
      </c>
      <c r="C75" s="137" t="s">
        <v>577</v>
      </c>
      <c r="D75" s="137" t="s">
        <v>131</v>
      </c>
      <c r="E75" s="138">
        <v>46059</v>
      </c>
      <c r="F75" s="137" t="s">
        <v>131</v>
      </c>
      <c r="G75" s="138">
        <v>46065</v>
      </c>
      <c r="H75" s="138">
        <v>46068</v>
      </c>
      <c r="I75" s="108">
        <v>308.18</v>
      </c>
      <c r="J75" s="108" t="s">
        <v>131</v>
      </c>
      <c r="K75" s="98" t="s">
        <v>131</v>
      </c>
    </row>
    <row r="76" spans="1:11">
      <c r="A76" s="136" t="s">
        <v>366</v>
      </c>
      <c r="B76" s="137" t="s">
        <v>576</v>
      </c>
      <c r="C76" s="137" t="s">
        <v>577</v>
      </c>
      <c r="D76" s="137"/>
      <c r="E76" s="138">
        <v>46063</v>
      </c>
      <c r="F76" s="137" t="s">
        <v>131</v>
      </c>
      <c r="G76" s="138">
        <v>46072</v>
      </c>
      <c r="H76" s="138">
        <v>46072</v>
      </c>
      <c r="I76" s="108">
        <v>9766.61</v>
      </c>
      <c r="J76" s="108">
        <v>3645.94</v>
      </c>
      <c r="K76" s="30">
        <v>46073</v>
      </c>
    </row>
    <row r="77" spans="1:11">
      <c r="A77" s="136" t="s">
        <v>633</v>
      </c>
      <c r="B77" s="137" t="s">
        <v>576</v>
      </c>
      <c r="C77" s="137" t="s">
        <v>577</v>
      </c>
      <c r="D77" s="137"/>
      <c r="E77" s="138">
        <v>46073</v>
      </c>
      <c r="F77" s="137" t="s">
        <v>131</v>
      </c>
      <c r="G77" s="138">
        <v>46079</v>
      </c>
      <c r="H77" s="138">
        <v>46080</v>
      </c>
      <c r="I77" s="108">
        <v>7267.16</v>
      </c>
      <c r="J77" s="108">
        <v>1627.87</v>
      </c>
      <c r="K77" s="30">
        <v>46083</v>
      </c>
    </row>
    <row r="78" spans="1:11">
      <c r="A78" s="136" t="s">
        <v>487</v>
      </c>
      <c r="B78" s="137" t="s">
        <v>576</v>
      </c>
      <c r="C78" s="137" t="s">
        <v>583</v>
      </c>
      <c r="D78" s="138">
        <v>46045</v>
      </c>
      <c r="E78" s="137" t="s">
        <v>131</v>
      </c>
      <c r="F78" s="138">
        <v>46080</v>
      </c>
      <c r="G78" s="138">
        <v>46087</v>
      </c>
      <c r="H78" s="138">
        <v>46087</v>
      </c>
      <c r="I78" s="108">
        <v>5826.33</v>
      </c>
      <c r="J78" s="108">
        <v>232.58</v>
      </c>
      <c r="K78" s="30">
        <v>46090</v>
      </c>
    </row>
    <row r="79" spans="1:11">
      <c r="A79" s="136" t="s">
        <v>386</v>
      </c>
      <c r="B79" s="137" t="s">
        <v>576</v>
      </c>
      <c r="C79" s="137" t="s">
        <v>583</v>
      </c>
      <c r="D79" s="138">
        <v>46058</v>
      </c>
      <c r="E79" s="138">
        <v>44998</v>
      </c>
      <c r="F79" s="138">
        <v>44998</v>
      </c>
      <c r="G79" s="222">
        <v>46100</v>
      </c>
      <c r="H79" s="138">
        <v>46101</v>
      </c>
      <c r="I79" s="108">
        <v>5747.07</v>
      </c>
      <c r="J79" s="108">
        <v>2781.98</v>
      </c>
      <c r="K79" s="30">
        <v>46104</v>
      </c>
    </row>
    <row r="80" spans="1:11" ht="14.45" customHeight="1">
      <c r="A80" s="136" t="s">
        <v>634</v>
      </c>
      <c r="B80" s="137" t="s">
        <v>576</v>
      </c>
      <c r="C80" s="137" t="s">
        <v>583</v>
      </c>
      <c r="D80" s="138">
        <f>E80-30</f>
        <v>44968</v>
      </c>
      <c r="E80" s="138">
        <v>44998</v>
      </c>
      <c r="F80" s="138">
        <v>44998</v>
      </c>
      <c r="G80" s="222">
        <v>46100</v>
      </c>
      <c r="H80" s="138">
        <v>46101</v>
      </c>
      <c r="I80" s="108">
        <v>2896.62</v>
      </c>
      <c r="J80" s="108">
        <v>517.53</v>
      </c>
      <c r="K80" s="30">
        <v>46104</v>
      </c>
    </row>
    <row r="81" spans="1:11" ht="15.6" customHeight="1">
      <c r="A81" s="136" t="s">
        <v>635</v>
      </c>
      <c r="B81" s="137" t="s">
        <v>576</v>
      </c>
      <c r="C81" s="137" t="s">
        <v>583</v>
      </c>
      <c r="D81" s="138">
        <v>46055</v>
      </c>
      <c r="E81" s="138">
        <v>44998</v>
      </c>
      <c r="F81" s="138">
        <v>44998</v>
      </c>
      <c r="G81" s="222">
        <v>46100</v>
      </c>
      <c r="H81" s="138">
        <v>46101</v>
      </c>
      <c r="I81" s="108">
        <v>4174.3500000000004</v>
      </c>
      <c r="J81" s="108">
        <v>2556.21</v>
      </c>
      <c r="K81" s="30">
        <v>46104</v>
      </c>
    </row>
    <row r="82" spans="1:11" ht="15.6" customHeight="1">
      <c r="A82" s="136" t="s">
        <v>635</v>
      </c>
      <c r="B82" s="137" t="s">
        <v>636</v>
      </c>
      <c r="C82" s="137"/>
      <c r="D82" s="138"/>
      <c r="E82" s="138"/>
      <c r="F82" s="138"/>
      <c r="G82" s="222">
        <v>46107</v>
      </c>
      <c r="H82" s="222">
        <v>46107</v>
      </c>
      <c r="I82" s="108">
        <v>1400</v>
      </c>
      <c r="J82" s="108">
        <v>0</v>
      </c>
      <c r="K82" s="98" t="s">
        <v>131</v>
      </c>
    </row>
    <row r="83" spans="1:11" ht="13.9" customHeight="1">
      <c r="A83" s="136" t="s">
        <v>637</v>
      </c>
      <c r="B83" s="137" t="s">
        <v>576</v>
      </c>
      <c r="C83" s="137" t="s">
        <v>583</v>
      </c>
      <c r="D83" s="138">
        <v>46069</v>
      </c>
      <c r="E83" s="138">
        <v>46099</v>
      </c>
      <c r="F83" s="138">
        <v>46099</v>
      </c>
      <c r="G83" s="222">
        <v>46107</v>
      </c>
      <c r="H83" s="138">
        <v>46108</v>
      </c>
      <c r="I83" s="108">
        <v>4332.8999999999996</v>
      </c>
      <c r="J83" s="108">
        <v>733.27</v>
      </c>
      <c r="K83" s="30">
        <v>46108</v>
      </c>
    </row>
    <row r="84" spans="1:11">
      <c r="A84" s="136" t="s">
        <v>638</v>
      </c>
      <c r="B84" s="223" t="s">
        <v>574</v>
      </c>
      <c r="C84" s="137" t="s">
        <v>131</v>
      </c>
      <c r="D84" s="137"/>
      <c r="E84" s="138">
        <v>46098</v>
      </c>
      <c r="F84" s="137"/>
      <c r="G84" s="222">
        <v>46107</v>
      </c>
      <c r="H84" s="138">
        <v>46107</v>
      </c>
      <c r="I84" s="108">
        <v>1480.23</v>
      </c>
      <c r="J84" s="108">
        <v>0</v>
      </c>
      <c r="K84" s="98" t="s">
        <v>131</v>
      </c>
    </row>
    <row r="85" spans="1:11">
      <c r="A85" s="136" t="s">
        <v>639</v>
      </c>
      <c r="B85" s="223" t="s">
        <v>574</v>
      </c>
      <c r="C85" s="137" t="s">
        <v>131</v>
      </c>
      <c r="D85" s="137"/>
      <c r="E85" s="138">
        <v>46098</v>
      </c>
      <c r="F85" s="137"/>
      <c r="G85" s="222">
        <v>46107</v>
      </c>
      <c r="H85" s="138">
        <v>46107</v>
      </c>
      <c r="I85" s="108">
        <v>1481.16</v>
      </c>
      <c r="J85" s="108">
        <v>0</v>
      </c>
      <c r="K85" s="98" t="s">
        <v>131</v>
      </c>
    </row>
    <row r="86" spans="1:11">
      <c r="A86" s="136" t="s">
        <v>151</v>
      </c>
      <c r="B86" s="137" t="s">
        <v>576</v>
      </c>
      <c r="C86" s="137" t="s">
        <v>577</v>
      </c>
      <c r="D86" s="137"/>
      <c r="E86" s="138">
        <v>46098</v>
      </c>
      <c r="F86" s="137"/>
      <c r="G86" s="222">
        <v>46107</v>
      </c>
      <c r="H86" s="138">
        <v>46107</v>
      </c>
      <c r="I86" s="108">
        <v>5744.26</v>
      </c>
      <c r="J86" s="108">
        <v>1199.17</v>
      </c>
      <c r="K86" s="30">
        <v>46108</v>
      </c>
    </row>
    <row r="87" spans="1:11">
      <c r="A87" s="136" t="s">
        <v>640</v>
      </c>
      <c r="B87" s="137" t="s">
        <v>576</v>
      </c>
      <c r="C87" s="137" t="s">
        <v>577</v>
      </c>
      <c r="D87" s="137"/>
      <c r="E87" s="138">
        <v>46098</v>
      </c>
      <c r="F87" s="137"/>
      <c r="G87" s="222">
        <v>46107</v>
      </c>
      <c r="H87" s="138">
        <v>46107</v>
      </c>
      <c r="I87" s="108">
        <v>8048.06</v>
      </c>
      <c r="J87" s="108">
        <v>1103.57</v>
      </c>
      <c r="K87" s="30">
        <v>46108</v>
      </c>
    </row>
    <row r="88" spans="1:11">
      <c r="A88" s="136" t="s">
        <v>59</v>
      </c>
      <c r="B88" s="137" t="s">
        <v>576</v>
      </c>
      <c r="C88" s="137" t="s">
        <v>583</v>
      </c>
      <c r="D88" s="138">
        <v>46071</v>
      </c>
      <c r="E88" s="138">
        <v>46101</v>
      </c>
      <c r="F88" s="138">
        <v>46101</v>
      </c>
      <c r="G88" s="222">
        <v>46107</v>
      </c>
      <c r="H88" s="138">
        <v>46108</v>
      </c>
      <c r="I88" s="108">
        <v>4909.3500000000004</v>
      </c>
      <c r="J88" s="108">
        <v>886.57</v>
      </c>
      <c r="K88" s="30">
        <v>46111</v>
      </c>
    </row>
    <row r="89" spans="1:11">
      <c r="A89" s="136" t="s">
        <v>114</v>
      </c>
      <c r="B89" s="137" t="s">
        <v>576</v>
      </c>
      <c r="C89" s="137" t="s">
        <v>583</v>
      </c>
      <c r="D89" s="138">
        <v>46074</v>
      </c>
      <c r="E89" s="138">
        <v>46104</v>
      </c>
      <c r="F89" s="138">
        <v>46104</v>
      </c>
      <c r="G89" s="222">
        <v>46107</v>
      </c>
      <c r="H89" s="138">
        <v>46113</v>
      </c>
      <c r="I89" s="108">
        <v>4938.0600000000004</v>
      </c>
      <c r="J89" s="108">
        <v>779.28</v>
      </c>
      <c r="K89" s="30">
        <v>46113</v>
      </c>
    </row>
    <row r="90" spans="1:11">
      <c r="A90" s="136" t="s">
        <v>247</v>
      </c>
      <c r="B90" s="227" t="s">
        <v>1070</v>
      </c>
      <c r="C90" s="137"/>
      <c r="D90" s="137"/>
      <c r="E90" s="138">
        <v>46114</v>
      </c>
      <c r="F90" s="137"/>
      <c r="G90" s="222">
        <v>45756</v>
      </c>
      <c r="H90" s="138">
        <v>46122</v>
      </c>
      <c r="I90" s="108">
        <v>0</v>
      </c>
      <c r="J90" s="108">
        <v>0</v>
      </c>
      <c r="K90" s="98"/>
    </row>
    <row r="91" spans="1:11">
      <c r="A91" s="136" t="s">
        <v>254</v>
      </c>
      <c r="B91" s="227" t="s">
        <v>1070</v>
      </c>
      <c r="C91" s="137"/>
      <c r="D91" s="137"/>
      <c r="E91" s="138">
        <v>46119</v>
      </c>
      <c r="F91" s="137"/>
      <c r="G91" s="138">
        <v>46128</v>
      </c>
      <c r="H91" s="138">
        <v>46128</v>
      </c>
      <c r="I91" s="108">
        <v>0</v>
      </c>
      <c r="J91" s="108">
        <v>0</v>
      </c>
      <c r="K91" s="98"/>
    </row>
    <row r="92" spans="1:11">
      <c r="A92" s="136" t="s">
        <v>293</v>
      </c>
      <c r="B92" s="137" t="s">
        <v>641</v>
      </c>
      <c r="C92" s="138"/>
      <c r="D92" s="137"/>
      <c r="E92" s="138">
        <v>45767</v>
      </c>
      <c r="F92" s="138"/>
      <c r="G92" s="222">
        <v>46135</v>
      </c>
      <c r="H92" s="222">
        <v>46141</v>
      </c>
      <c r="I92" s="108">
        <v>0</v>
      </c>
      <c r="J92" s="108">
        <v>0</v>
      </c>
      <c r="K92" s="98"/>
    </row>
    <row r="93" spans="1:11">
      <c r="A93" s="136" t="s">
        <v>278</v>
      </c>
      <c r="B93" s="137" t="s">
        <v>641</v>
      </c>
      <c r="C93" s="137"/>
      <c r="D93" s="137"/>
      <c r="E93" s="138">
        <v>45769</v>
      </c>
      <c r="F93" s="137"/>
      <c r="G93" s="138">
        <v>46142</v>
      </c>
      <c r="H93" s="138">
        <v>46142</v>
      </c>
      <c r="I93" s="108">
        <v>831.55</v>
      </c>
      <c r="J93" s="108">
        <v>0</v>
      </c>
      <c r="K93" s="98"/>
    </row>
    <row r="94" spans="1:11">
      <c r="A94" s="136" t="s">
        <v>18</v>
      </c>
      <c r="B94" s="137" t="s">
        <v>585</v>
      </c>
      <c r="C94" s="137"/>
      <c r="D94" s="137"/>
      <c r="E94" s="138">
        <v>45769</v>
      </c>
      <c r="F94" s="137"/>
      <c r="G94" s="138">
        <v>46142</v>
      </c>
      <c r="H94" s="138">
        <v>46142</v>
      </c>
      <c r="I94" s="123">
        <v>2826.54</v>
      </c>
      <c r="J94" s="108"/>
      <c r="K94" s="98"/>
    </row>
    <row r="95" spans="1:11">
      <c r="A95" s="136" t="s">
        <v>18</v>
      </c>
      <c r="B95" s="137" t="s">
        <v>636</v>
      </c>
      <c r="C95" s="137"/>
      <c r="D95" s="137"/>
      <c r="E95" s="138">
        <v>45769</v>
      </c>
      <c r="F95" s="137"/>
      <c r="G95" s="138">
        <v>46119</v>
      </c>
      <c r="H95" s="138">
        <v>46119</v>
      </c>
      <c r="I95" s="128">
        <v>121.86</v>
      </c>
      <c r="J95" s="108"/>
      <c r="K95" s="98"/>
    </row>
    <row r="96" spans="1:11">
      <c r="A96" s="136" t="s">
        <v>252</v>
      </c>
      <c r="B96" s="137" t="s">
        <v>619</v>
      </c>
      <c r="C96" s="137"/>
      <c r="D96" s="137"/>
      <c r="E96" s="138">
        <v>46146</v>
      </c>
      <c r="F96" s="98"/>
      <c r="G96" s="30">
        <v>46149</v>
      </c>
      <c r="H96" s="30">
        <v>46155</v>
      </c>
      <c r="I96" s="123">
        <v>1267.75</v>
      </c>
      <c r="J96" s="108">
        <v>66.66</v>
      </c>
      <c r="K96" s="30">
        <v>46155</v>
      </c>
    </row>
    <row r="97" spans="1:11">
      <c r="A97" s="136" t="s">
        <v>642</v>
      </c>
      <c r="B97" s="137" t="s">
        <v>619</v>
      </c>
      <c r="C97" s="137"/>
      <c r="D97" s="137"/>
      <c r="E97" s="138">
        <v>46146</v>
      </c>
      <c r="F97" s="98"/>
      <c r="G97" s="30">
        <v>46149</v>
      </c>
      <c r="H97" s="30">
        <v>46155</v>
      </c>
      <c r="I97" s="108">
        <v>6478.77</v>
      </c>
      <c r="J97" s="108">
        <v>992.67</v>
      </c>
      <c r="K97" s="30">
        <v>46155</v>
      </c>
    </row>
    <row r="98" spans="1:11">
      <c r="A98" s="136" t="s">
        <v>184</v>
      </c>
      <c r="B98" s="137" t="s">
        <v>619</v>
      </c>
      <c r="C98" s="137" t="s">
        <v>577</v>
      </c>
      <c r="D98" s="137" t="s">
        <v>131</v>
      </c>
      <c r="E98" s="138">
        <v>46149</v>
      </c>
      <c r="F98" s="129" t="s">
        <v>131</v>
      </c>
      <c r="G98" s="130">
        <v>46156</v>
      </c>
      <c r="H98" s="130">
        <v>46157</v>
      </c>
      <c r="I98" s="131">
        <v>5349.57</v>
      </c>
      <c r="J98" s="131">
        <v>607.04</v>
      </c>
      <c r="K98" s="130">
        <v>46157</v>
      </c>
    </row>
    <row r="99" spans="1:11">
      <c r="A99" s="136" t="s">
        <v>49</v>
      </c>
      <c r="B99" s="137" t="s">
        <v>619</v>
      </c>
      <c r="C99" s="137" t="s">
        <v>583</v>
      </c>
      <c r="D99" s="138">
        <v>46119</v>
      </c>
      <c r="E99" s="138">
        <f>D99+30</f>
        <v>46149</v>
      </c>
      <c r="F99" s="130">
        <v>46149</v>
      </c>
      <c r="G99" s="130">
        <v>46156</v>
      </c>
      <c r="H99" s="130">
        <v>46157</v>
      </c>
      <c r="I99" s="131">
        <v>3378.91</v>
      </c>
      <c r="J99" s="131">
        <v>728.62</v>
      </c>
      <c r="K99" s="130">
        <v>46157</v>
      </c>
    </row>
    <row r="100" spans="1:11">
      <c r="A100" s="136" t="s">
        <v>398</v>
      </c>
      <c r="B100" s="137" t="s">
        <v>619</v>
      </c>
      <c r="C100" s="137" t="s">
        <v>583</v>
      </c>
      <c r="D100" s="138">
        <v>46114</v>
      </c>
      <c r="E100" s="138">
        <v>46150</v>
      </c>
      <c r="F100" s="130">
        <v>46150</v>
      </c>
      <c r="G100" s="130">
        <v>46156</v>
      </c>
      <c r="H100" s="130">
        <v>46157</v>
      </c>
      <c r="I100" s="131">
        <v>4734.17</v>
      </c>
      <c r="J100" s="131">
        <v>2201.66</v>
      </c>
      <c r="K100" s="130">
        <v>46160</v>
      </c>
    </row>
    <row r="101" spans="1:11">
      <c r="A101" s="136" t="s">
        <v>500</v>
      </c>
      <c r="B101" s="137" t="s">
        <v>619</v>
      </c>
      <c r="C101" s="137" t="s">
        <v>577</v>
      </c>
      <c r="D101" s="137"/>
      <c r="E101" s="138">
        <v>46157</v>
      </c>
      <c r="F101" s="137"/>
      <c r="G101" s="138">
        <v>45798</v>
      </c>
      <c r="H101" s="138">
        <v>46164</v>
      </c>
      <c r="I101" s="142">
        <v>7735.86</v>
      </c>
      <c r="J101" s="142">
        <v>1487.05</v>
      </c>
      <c r="K101" s="138">
        <v>46167</v>
      </c>
    </row>
    <row r="102" spans="1:11">
      <c r="A102" s="136" t="s">
        <v>182</v>
      </c>
      <c r="B102" s="137" t="s">
        <v>619</v>
      </c>
      <c r="C102" s="137" t="s">
        <v>577</v>
      </c>
      <c r="D102" s="137"/>
      <c r="E102" s="138">
        <v>46162</v>
      </c>
      <c r="F102" s="137"/>
      <c r="G102" s="138">
        <v>46170</v>
      </c>
      <c r="H102" s="138">
        <v>46171</v>
      </c>
      <c r="I102" s="142">
        <v>7320.7</v>
      </c>
      <c r="J102" s="142">
        <v>735.83</v>
      </c>
      <c r="K102" s="138">
        <v>46171</v>
      </c>
    </row>
    <row r="103" spans="1:11">
      <c r="A103" s="136" t="s">
        <v>281</v>
      </c>
      <c r="B103" s="227" t="s">
        <v>1070</v>
      </c>
      <c r="C103" s="137" t="s">
        <v>577</v>
      </c>
      <c r="D103" s="137"/>
      <c r="E103" s="138">
        <v>46174</v>
      </c>
      <c r="F103" s="137"/>
      <c r="G103" s="138">
        <v>46177</v>
      </c>
      <c r="H103" s="138">
        <v>46183</v>
      </c>
      <c r="I103" s="142">
        <v>577.42999999999995</v>
      </c>
      <c r="J103" s="142" t="s">
        <v>131</v>
      </c>
      <c r="K103" s="137" t="s">
        <v>131</v>
      </c>
    </row>
    <row r="104" spans="1:11">
      <c r="A104" s="162" t="s">
        <v>720</v>
      </c>
      <c r="B104" s="137" t="s">
        <v>619</v>
      </c>
      <c r="C104" s="137" t="s">
        <v>577</v>
      </c>
      <c r="D104" s="137"/>
      <c r="E104" s="138">
        <v>46177</v>
      </c>
      <c r="F104" s="137"/>
      <c r="G104" s="138">
        <v>46184</v>
      </c>
      <c r="H104" s="138">
        <v>46185</v>
      </c>
      <c r="I104" s="163">
        <v>7256.41</v>
      </c>
      <c r="J104" s="164">
        <v>2080.4699999999998</v>
      </c>
      <c r="K104" s="138">
        <v>46188</v>
      </c>
    </row>
    <row r="105" spans="1:11">
      <c r="A105" s="162" t="s">
        <v>721</v>
      </c>
      <c r="B105" s="137" t="s">
        <v>619</v>
      </c>
      <c r="C105" s="137" t="s">
        <v>577</v>
      </c>
      <c r="D105" s="137"/>
      <c r="E105" s="138">
        <v>46182</v>
      </c>
      <c r="F105" s="137"/>
      <c r="G105" s="138">
        <v>46191</v>
      </c>
      <c r="H105" s="138">
        <v>46191</v>
      </c>
      <c r="I105" s="142">
        <v>13380.09</v>
      </c>
      <c r="J105" s="142">
        <v>3148.37</v>
      </c>
      <c r="K105" s="138">
        <v>46192</v>
      </c>
    </row>
    <row r="106" spans="1:11">
      <c r="A106" s="176" t="s">
        <v>541</v>
      </c>
      <c r="B106" s="137" t="s">
        <v>619</v>
      </c>
      <c r="C106" s="137"/>
      <c r="D106" s="137"/>
      <c r="E106" s="138">
        <v>46178</v>
      </c>
      <c r="F106" s="138">
        <v>46208</v>
      </c>
      <c r="G106" s="138">
        <v>46212</v>
      </c>
      <c r="H106" s="138">
        <v>46188</v>
      </c>
      <c r="I106" s="142">
        <v>7136.07</v>
      </c>
      <c r="J106" s="142">
        <v>3581.11</v>
      </c>
      <c r="K106" s="137" t="s">
        <v>767</v>
      </c>
    </row>
    <row r="107" spans="1:11">
      <c r="A107" s="176" t="s">
        <v>214</v>
      </c>
      <c r="B107" s="137" t="s">
        <v>619</v>
      </c>
      <c r="C107" s="137"/>
      <c r="D107" s="137"/>
      <c r="E107" s="138">
        <v>46211</v>
      </c>
      <c r="F107" s="138"/>
      <c r="G107" s="138">
        <v>46219</v>
      </c>
      <c r="H107" s="138">
        <v>46220</v>
      </c>
      <c r="I107" s="142">
        <v>6171.23</v>
      </c>
      <c r="J107" s="142">
        <v>1048.83</v>
      </c>
      <c r="K107" s="138">
        <v>46220</v>
      </c>
    </row>
    <row r="108" spans="1:11">
      <c r="A108" s="176" t="s">
        <v>174</v>
      </c>
      <c r="B108" s="137" t="s">
        <v>619</v>
      </c>
      <c r="C108" s="137"/>
      <c r="D108" s="137"/>
      <c r="E108" s="138">
        <v>46211</v>
      </c>
      <c r="F108" s="138"/>
      <c r="G108" s="138">
        <v>46219</v>
      </c>
      <c r="H108" s="138">
        <v>46220</v>
      </c>
      <c r="I108" s="142">
        <v>7080.67</v>
      </c>
      <c r="J108" s="142">
        <v>1303.08</v>
      </c>
      <c r="K108" s="138">
        <v>45855</v>
      </c>
    </row>
    <row r="109" spans="1:11">
      <c r="A109" s="176" t="s">
        <v>536</v>
      </c>
      <c r="B109" s="137" t="s">
        <v>579</v>
      </c>
      <c r="C109" s="137"/>
      <c r="D109" s="137"/>
      <c r="E109" s="138">
        <v>46211</v>
      </c>
      <c r="F109" s="138"/>
      <c r="G109" s="138">
        <v>46219</v>
      </c>
      <c r="H109" s="138">
        <v>46220</v>
      </c>
      <c r="I109" s="142">
        <v>4495.43</v>
      </c>
      <c r="J109" s="142">
        <v>0</v>
      </c>
      <c r="K109" s="137"/>
    </row>
    <row r="110" spans="1:11">
      <c r="A110" s="153" t="s">
        <v>414</v>
      </c>
      <c r="B110" s="180" t="s">
        <v>769</v>
      </c>
      <c r="C110" s="137"/>
      <c r="D110" s="137"/>
      <c r="E110" s="138">
        <v>46213</v>
      </c>
      <c r="F110" s="138"/>
      <c r="G110" s="138">
        <v>46219</v>
      </c>
      <c r="H110" s="138">
        <v>46220</v>
      </c>
      <c r="I110" s="142">
        <v>0</v>
      </c>
      <c r="J110" s="142">
        <v>0</v>
      </c>
      <c r="K110" s="137"/>
    </row>
    <row r="111" spans="1:11">
      <c r="A111" s="153" t="s">
        <v>768</v>
      </c>
      <c r="B111" s="180" t="s">
        <v>769</v>
      </c>
      <c r="C111" s="137"/>
      <c r="D111" s="137"/>
      <c r="E111" s="138">
        <v>46213</v>
      </c>
      <c r="F111" s="137"/>
      <c r="G111" s="138">
        <v>46219</v>
      </c>
      <c r="H111" s="138">
        <v>46220</v>
      </c>
      <c r="I111" s="142">
        <v>1714.04</v>
      </c>
      <c r="J111" s="142">
        <v>0</v>
      </c>
      <c r="K111" s="137"/>
    </row>
    <row r="112" spans="1:11" ht="15" customHeight="1">
      <c r="A112" s="153" t="s">
        <v>218</v>
      </c>
      <c r="B112" s="200" t="s">
        <v>888</v>
      </c>
      <c r="C112" s="137"/>
      <c r="D112" s="137"/>
      <c r="E112" s="138">
        <v>46217</v>
      </c>
      <c r="F112" s="137"/>
      <c r="G112" s="138">
        <v>46226</v>
      </c>
      <c r="H112" s="138">
        <v>46226</v>
      </c>
      <c r="I112" s="142">
        <v>1487.93</v>
      </c>
      <c r="J112" s="142"/>
      <c r="K112" s="137"/>
    </row>
    <row r="113" spans="1:11">
      <c r="A113" s="205" t="s">
        <v>208</v>
      </c>
      <c r="B113" s="137" t="s">
        <v>897</v>
      </c>
      <c r="C113" s="137"/>
      <c r="D113" s="137"/>
      <c r="E113" s="138">
        <v>46235</v>
      </c>
      <c r="F113" s="137"/>
      <c r="G113" s="138">
        <v>46240</v>
      </c>
      <c r="H113" s="138">
        <v>46244</v>
      </c>
      <c r="I113" s="142">
        <v>9195.7099999999991</v>
      </c>
      <c r="J113" s="142">
        <v>1315.39</v>
      </c>
      <c r="K113" s="138">
        <v>46245</v>
      </c>
    </row>
    <row r="114" spans="1:11" ht="15" customHeight="1">
      <c r="A114" s="136" t="s">
        <v>923</v>
      </c>
      <c r="B114" s="137" t="s">
        <v>897</v>
      </c>
      <c r="C114" s="137"/>
      <c r="D114" s="137"/>
      <c r="E114" s="138">
        <v>46237</v>
      </c>
      <c r="F114" s="137"/>
      <c r="G114" s="138">
        <v>46240</v>
      </c>
      <c r="H114" s="138">
        <v>46246</v>
      </c>
      <c r="I114" s="142">
        <v>5333.65</v>
      </c>
      <c r="J114" s="142">
        <v>616.74</v>
      </c>
      <c r="K114" s="138">
        <v>46247</v>
      </c>
    </row>
    <row r="115" spans="1:11">
      <c r="A115" s="136" t="s">
        <v>925</v>
      </c>
      <c r="B115" s="227" t="s">
        <v>1070</v>
      </c>
      <c r="C115" s="137"/>
      <c r="D115" s="137"/>
      <c r="E115" s="138">
        <v>46237</v>
      </c>
      <c r="F115" s="137"/>
      <c r="G115" s="138">
        <v>46240</v>
      </c>
      <c r="H115" s="138">
        <v>46246</v>
      </c>
      <c r="I115" s="142">
        <v>548.78</v>
      </c>
      <c r="J115" s="142">
        <v>0</v>
      </c>
      <c r="K115" s="137">
        <v>0</v>
      </c>
    </row>
    <row r="116" spans="1:11" ht="13.9" customHeight="1">
      <c r="A116" s="136" t="s">
        <v>924</v>
      </c>
      <c r="B116" s="137" t="s">
        <v>1072</v>
      </c>
      <c r="C116" s="137"/>
      <c r="D116" s="137"/>
      <c r="E116" s="138">
        <v>46238</v>
      </c>
      <c r="F116" s="137"/>
      <c r="G116" s="138">
        <v>46240</v>
      </c>
      <c r="H116" s="138">
        <v>46239</v>
      </c>
      <c r="I116" s="142">
        <v>293.26</v>
      </c>
      <c r="J116" s="142">
        <v>0</v>
      </c>
      <c r="K116" s="137">
        <v>0</v>
      </c>
    </row>
    <row r="117" spans="1:11" ht="16.899999999999999" customHeight="1">
      <c r="A117" s="153" t="s">
        <v>943</v>
      </c>
      <c r="B117" s="227" t="s">
        <v>897</v>
      </c>
      <c r="C117" s="227"/>
      <c r="D117" s="227"/>
      <c r="E117" s="222">
        <v>46239</v>
      </c>
      <c r="F117" s="227"/>
      <c r="G117" s="222">
        <v>46247</v>
      </c>
      <c r="H117" s="222">
        <v>46248</v>
      </c>
      <c r="I117" s="228">
        <v>6280.06</v>
      </c>
      <c r="J117" s="229">
        <v>1040.71</v>
      </c>
      <c r="K117" s="222">
        <v>46248</v>
      </c>
    </row>
    <row r="118" spans="1:11">
      <c r="A118" s="153" t="s">
        <v>926</v>
      </c>
      <c r="B118" s="227" t="s">
        <v>897</v>
      </c>
      <c r="C118" s="227"/>
      <c r="D118" s="227"/>
      <c r="E118" s="222">
        <v>46239</v>
      </c>
      <c r="F118" s="227"/>
      <c r="G118" s="222">
        <v>46247</v>
      </c>
      <c r="H118" s="138">
        <v>46248</v>
      </c>
      <c r="I118" s="142">
        <v>18249.16</v>
      </c>
      <c r="J118" s="142">
        <v>3968.5</v>
      </c>
      <c r="K118" s="138">
        <v>46248</v>
      </c>
    </row>
    <row r="119" spans="1:11" ht="13.9" customHeight="1">
      <c r="A119" s="153" t="s">
        <v>886</v>
      </c>
      <c r="B119" s="227" t="s">
        <v>898</v>
      </c>
      <c r="C119" s="227"/>
      <c r="D119" s="222">
        <v>46204</v>
      </c>
      <c r="E119" s="222">
        <v>46237</v>
      </c>
      <c r="F119" s="222">
        <v>46243</v>
      </c>
      <c r="G119" s="222">
        <v>46247</v>
      </c>
      <c r="H119" s="222">
        <v>46252</v>
      </c>
      <c r="I119" s="142">
        <v>5185.72</v>
      </c>
      <c r="J119" s="142">
        <v>2937.54</v>
      </c>
      <c r="K119" s="138">
        <v>46253</v>
      </c>
    </row>
    <row r="120" spans="1:11">
      <c r="A120" s="153" t="s">
        <v>299</v>
      </c>
      <c r="B120" s="227" t="s">
        <v>1072</v>
      </c>
      <c r="C120" s="227"/>
      <c r="D120" s="222"/>
      <c r="E120" s="222">
        <v>46246</v>
      </c>
      <c r="F120" s="222"/>
      <c r="G120" s="222">
        <v>46254</v>
      </c>
      <c r="H120" s="222">
        <v>46255</v>
      </c>
      <c r="I120" s="142">
        <v>735.33</v>
      </c>
      <c r="J120" s="142">
        <v>0</v>
      </c>
      <c r="K120" s="138"/>
    </row>
    <row r="121" spans="1:11">
      <c r="A121" s="153" t="s">
        <v>931</v>
      </c>
      <c r="B121" s="227" t="s">
        <v>1071</v>
      </c>
      <c r="C121" s="227"/>
      <c r="D121" s="227"/>
      <c r="E121" s="222">
        <v>46246</v>
      </c>
      <c r="F121" s="227"/>
      <c r="G121" s="222">
        <v>46254</v>
      </c>
      <c r="H121" s="222">
        <v>46255</v>
      </c>
      <c r="I121" s="142">
        <v>813.31</v>
      </c>
      <c r="J121" s="142">
        <v>0</v>
      </c>
      <c r="K121" s="137"/>
    </row>
    <row r="122" spans="1:11" ht="13.9" customHeight="1">
      <c r="A122" s="153" t="s">
        <v>951</v>
      </c>
      <c r="B122" s="227" t="s">
        <v>1070</v>
      </c>
      <c r="C122" s="227"/>
      <c r="D122" s="227"/>
      <c r="E122" s="222">
        <v>46246</v>
      </c>
      <c r="F122" s="137"/>
      <c r="G122" s="222">
        <v>46254</v>
      </c>
      <c r="H122" s="222">
        <v>46255</v>
      </c>
      <c r="I122" s="142">
        <v>0</v>
      </c>
      <c r="J122" s="142">
        <v>0</v>
      </c>
      <c r="K122" s="137"/>
    </row>
    <row r="123" spans="1:11" ht="13.9" customHeight="1">
      <c r="A123" s="153" t="s">
        <v>928</v>
      </c>
      <c r="B123" s="227" t="s">
        <v>1070</v>
      </c>
      <c r="C123" s="227"/>
      <c r="D123" s="227"/>
      <c r="E123" s="222">
        <v>46247</v>
      </c>
      <c r="F123" s="137"/>
      <c r="G123" s="222">
        <v>46254</v>
      </c>
      <c r="H123" s="222">
        <v>46255</v>
      </c>
      <c r="I123" s="142">
        <v>0</v>
      </c>
      <c r="J123" s="142">
        <v>0</v>
      </c>
      <c r="K123" s="137"/>
    </row>
    <row r="124" spans="1:11" ht="13.9" customHeight="1">
      <c r="A124" s="153" t="s">
        <v>952</v>
      </c>
      <c r="B124" s="227" t="s">
        <v>627</v>
      </c>
      <c r="C124" s="227"/>
      <c r="D124" s="227"/>
      <c r="E124" s="222">
        <v>46248</v>
      </c>
      <c r="F124" s="137"/>
      <c r="G124" s="222">
        <v>46254</v>
      </c>
      <c r="H124" s="222">
        <v>46255</v>
      </c>
      <c r="I124" s="142">
        <v>2780.53</v>
      </c>
      <c r="J124" s="142">
        <v>0</v>
      </c>
      <c r="K124" s="137"/>
    </row>
    <row r="125" spans="1:11" ht="13.9" customHeight="1">
      <c r="A125" s="153" t="s">
        <v>953</v>
      </c>
      <c r="B125" s="227" t="s">
        <v>627</v>
      </c>
      <c r="C125" s="227"/>
      <c r="D125" s="227"/>
      <c r="E125" s="222">
        <v>46248</v>
      </c>
      <c r="F125" s="137"/>
      <c r="G125" s="222">
        <v>46254</v>
      </c>
      <c r="H125" s="222">
        <v>46255</v>
      </c>
      <c r="I125" s="142">
        <v>3286.11</v>
      </c>
      <c r="J125" s="142">
        <v>0</v>
      </c>
      <c r="K125" s="137"/>
    </row>
    <row r="126" spans="1:11" ht="13.9" customHeight="1">
      <c r="A126" s="153" t="s">
        <v>419</v>
      </c>
      <c r="B126" s="227" t="s">
        <v>897</v>
      </c>
      <c r="C126" s="227"/>
      <c r="D126" s="227"/>
      <c r="E126" s="222">
        <v>46248</v>
      </c>
      <c r="F126" s="137"/>
      <c r="G126" s="222">
        <v>46254</v>
      </c>
      <c r="H126" s="222">
        <v>46255</v>
      </c>
      <c r="I126" s="142">
        <v>5280.84</v>
      </c>
      <c r="J126" s="142">
        <v>3098.95</v>
      </c>
      <c r="K126" s="138">
        <v>46258</v>
      </c>
    </row>
    <row r="127" spans="1:11" ht="13.9" customHeight="1">
      <c r="A127" s="153" t="s">
        <v>954</v>
      </c>
      <c r="B127" s="227" t="s">
        <v>898</v>
      </c>
      <c r="C127" s="227"/>
      <c r="D127" s="227"/>
      <c r="E127" s="222">
        <v>46248</v>
      </c>
      <c r="F127" s="137"/>
      <c r="G127" s="222">
        <v>46254</v>
      </c>
      <c r="H127" s="222">
        <v>46255</v>
      </c>
      <c r="I127" s="142">
        <v>8628.5300000000007</v>
      </c>
      <c r="J127" s="142">
        <v>4199.0600000000004</v>
      </c>
      <c r="K127" s="138">
        <v>46197</v>
      </c>
    </row>
    <row r="128" spans="1:11" ht="15" customHeight="1">
      <c r="A128" s="153" t="s">
        <v>730</v>
      </c>
      <c r="B128" s="227" t="s">
        <v>1068</v>
      </c>
      <c r="C128" s="137"/>
      <c r="D128" s="137"/>
      <c r="E128" s="138">
        <v>46251</v>
      </c>
      <c r="F128" s="137"/>
      <c r="G128" s="222">
        <v>46254</v>
      </c>
      <c r="H128" s="222">
        <v>46255</v>
      </c>
      <c r="I128" s="142">
        <v>1782.12</v>
      </c>
      <c r="J128" s="142">
        <v>114.14</v>
      </c>
      <c r="K128" s="138">
        <v>46258</v>
      </c>
    </row>
    <row r="129" spans="1:11" ht="13.9" customHeight="1">
      <c r="A129" s="153" t="s">
        <v>229</v>
      </c>
      <c r="B129" s="227" t="s">
        <v>897</v>
      </c>
      <c r="C129" s="227"/>
      <c r="D129" s="227"/>
      <c r="E129" s="222">
        <v>46252</v>
      </c>
      <c r="F129" s="227"/>
      <c r="G129" s="222">
        <v>46261</v>
      </c>
      <c r="H129" s="222">
        <v>46263</v>
      </c>
      <c r="I129" s="229">
        <v>6475.98</v>
      </c>
      <c r="J129" s="229">
        <v>971.46</v>
      </c>
      <c r="K129" s="222">
        <v>46262</v>
      </c>
    </row>
    <row r="130" spans="1:11">
      <c r="A130" s="153" t="s">
        <v>982</v>
      </c>
      <c r="B130" s="227" t="s">
        <v>1073</v>
      </c>
      <c r="C130" s="227"/>
      <c r="D130" s="227"/>
      <c r="E130" s="222">
        <v>46253</v>
      </c>
      <c r="F130" s="227"/>
      <c r="G130" s="222">
        <v>46261</v>
      </c>
      <c r="H130" s="222">
        <v>46263</v>
      </c>
      <c r="I130" s="229">
        <v>966.66</v>
      </c>
      <c r="J130" s="229">
        <v>0</v>
      </c>
      <c r="K130" s="227"/>
    </row>
    <row r="131" spans="1:11">
      <c r="A131" s="153" t="s">
        <v>955</v>
      </c>
      <c r="B131" s="227" t="s">
        <v>897</v>
      </c>
      <c r="C131" s="227"/>
      <c r="D131" s="227"/>
      <c r="E131" s="222">
        <v>46253</v>
      </c>
      <c r="F131" s="227"/>
      <c r="G131" s="222">
        <v>46261</v>
      </c>
      <c r="H131" s="222">
        <v>46263</v>
      </c>
      <c r="I131" s="229">
        <v>8710.74</v>
      </c>
      <c r="J131" s="229">
        <v>1242.6600000000001</v>
      </c>
      <c r="K131" s="222">
        <v>46262</v>
      </c>
    </row>
    <row r="132" spans="1:11">
      <c r="A132" s="153" t="s">
        <v>974</v>
      </c>
      <c r="B132" s="227" t="s">
        <v>1070</v>
      </c>
      <c r="C132" s="227"/>
      <c r="D132" s="227"/>
      <c r="E132" s="222">
        <v>46252</v>
      </c>
      <c r="F132" s="227"/>
      <c r="G132" s="222">
        <v>46261</v>
      </c>
      <c r="H132" s="222">
        <v>46263</v>
      </c>
      <c r="I132" s="229">
        <v>0</v>
      </c>
      <c r="J132" s="229"/>
      <c r="K132" s="227"/>
    </row>
    <row r="133" spans="1:11">
      <c r="A133" s="136" t="s">
        <v>907</v>
      </c>
      <c r="B133" s="227" t="s">
        <v>627</v>
      </c>
      <c r="C133" s="137"/>
      <c r="D133" s="137"/>
      <c r="E133" s="138">
        <v>46259</v>
      </c>
      <c r="F133" s="138"/>
      <c r="G133" s="138">
        <v>46261</v>
      </c>
      <c r="H133" s="138">
        <v>46268</v>
      </c>
      <c r="I133" s="142">
        <v>1757.45</v>
      </c>
      <c r="J133" s="142">
        <v>0</v>
      </c>
      <c r="K133" s="137"/>
    </row>
    <row r="134" spans="1:11">
      <c r="A134" s="136" t="s">
        <v>984</v>
      </c>
      <c r="B134" s="227" t="s">
        <v>897</v>
      </c>
      <c r="C134" s="137"/>
      <c r="D134" s="138">
        <v>46235</v>
      </c>
      <c r="E134" s="138">
        <v>46265</v>
      </c>
      <c r="F134" s="138">
        <v>46265</v>
      </c>
      <c r="G134" s="138">
        <v>46235</v>
      </c>
      <c r="H134" s="138">
        <v>46274</v>
      </c>
      <c r="I134" s="142">
        <v>7321.42</v>
      </c>
      <c r="J134" s="142">
        <v>940.33</v>
      </c>
      <c r="K134" s="138">
        <v>46275</v>
      </c>
    </row>
    <row r="135" spans="1:11">
      <c r="A135" s="136" t="s">
        <v>985</v>
      </c>
      <c r="B135" s="227" t="s">
        <v>1070</v>
      </c>
      <c r="C135" s="137"/>
      <c r="D135" s="137"/>
      <c r="E135" s="138">
        <v>46265</v>
      </c>
      <c r="F135" s="138"/>
      <c r="G135" s="138">
        <v>46235</v>
      </c>
      <c r="H135" s="138">
        <v>46274</v>
      </c>
      <c r="I135" s="142">
        <v>6713.78</v>
      </c>
      <c r="J135" s="142">
        <v>786.65</v>
      </c>
      <c r="K135" s="138">
        <v>46275</v>
      </c>
    </row>
    <row r="136" spans="1:11">
      <c r="A136" s="136" t="s">
        <v>889</v>
      </c>
      <c r="B136" s="227" t="s">
        <v>897</v>
      </c>
      <c r="C136" s="137"/>
      <c r="D136" s="138">
        <v>46232</v>
      </c>
      <c r="E136" s="138">
        <v>46265</v>
      </c>
      <c r="F136" s="138">
        <v>46265</v>
      </c>
      <c r="G136" s="138">
        <v>46235</v>
      </c>
      <c r="H136" s="138">
        <v>46274</v>
      </c>
      <c r="I136" s="142">
        <v>9528.11</v>
      </c>
      <c r="J136" s="142">
        <v>2763.73</v>
      </c>
      <c r="K136" s="138">
        <v>46275</v>
      </c>
    </row>
    <row r="137" spans="1:11">
      <c r="A137" s="136" t="s">
        <v>339</v>
      </c>
      <c r="B137" s="227" t="s">
        <v>897</v>
      </c>
      <c r="C137" s="137"/>
      <c r="D137" s="138">
        <v>46232</v>
      </c>
      <c r="E137" s="138">
        <v>46265</v>
      </c>
      <c r="F137" s="138">
        <v>46265</v>
      </c>
      <c r="G137" s="138">
        <v>46235</v>
      </c>
      <c r="H137" s="138">
        <v>46274</v>
      </c>
      <c r="I137" s="142">
        <v>7034.78</v>
      </c>
      <c r="J137" s="142">
        <v>5906.85</v>
      </c>
      <c r="K137" s="138">
        <v>46275</v>
      </c>
    </row>
    <row r="138" spans="1:11">
      <c r="A138" s="136" t="s">
        <v>959</v>
      </c>
      <c r="B138" s="227" t="s">
        <v>1070</v>
      </c>
      <c r="C138" s="137"/>
      <c r="D138" s="137"/>
      <c r="E138" s="138">
        <v>46261</v>
      </c>
      <c r="F138" s="138"/>
      <c r="G138" s="138">
        <v>46268</v>
      </c>
      <c r="H138" s="138">
        <v>46269</v>
      </c>
      <c r="I138" s="142">
        <v>1386.53</v>
      </c>
      <c r="J138" s="142">
        <v>0</v>
      </c>
      <c r="K138" s="137"/>
    </row>
    <row r="139" spans="1:11">
      <c r="A139" s="261" t="s">
        <v>987</v>
      </c>
      <c r="B139" s="227" t="s">
        <v>897</v>
      </c>
      <c r="C139" s="137"/>
      <c r="D139" s="137"/>
      <c r="E139" s="138">
        <v>46261</v>
      </c>
      <c r="F139" s="138"/>
      <c r="G139" s="138">
        <v>46268</v>
      </c>
      <c r="H139" s="138">
        <v>46269</v>
      </c>
      <c r="I139" s="142">
        <v>11958.13</v>
      </c>
      <c r="J139" s="142">
        <v>2887.93</v>
      </c>
      <c r="K139" s="138">
        <v>46269</v>
      </c>
    </row>
    <row r="140" spans="1:11">
      <c r="A140" s="261" t="s">
        <v>988</v>
      </c>
      <c r="B140" s="227" t="s">
        <v>897</v>
      </c>
      <c r="C140" s="137"/>
      <c r="D140" s="138">
        <v>46224</v>
      </c>
      <c r="E140" s="138">
        <v>46261</v>
      </c>
      <c r="F140" s="138">
        <v>46261</v>
      </c>
      <c r="G140" s="138">
        <v>46268</v>
      </c>
      <c r="H140" s="138">
        <v>46269</v>
      </c>
      <c r="I140" s="142">
        <v>5000</v>
      </c>
      <c r="J140" s="142">
        <v>6954.78</v>
      </c>
      <c r="K140" s="138">
        <v>46269</v>
      </c>
    </row>
    <row r="141" spans="1:11" s="260" customFormat="1">
      <c r="A141" s="274" t="s">
        <v>996</v>
      </c>
      <c r="B141" s="227" t="s">
        <v>1073</v>
      </c>
      <c r="C141" s="137"/>
      <c r="D141" s="138"/>
      <c r="E141" s="138">
        <v>46266</v>
      </c>
      <c r="F141" s="138"/>
      <c r="G141" s="138">
        <v>46275</v>
      </c>
      <c r="H141" s="138">
        <v>47372</v>
      </c>
      <c r="I141" s="142">
        <v>450</v>
      </c>
      <c r="J141" s="142" t="s">
        <v>131</v>
      </c>
      <c r="K141" s="138" t="s">
        <v>131</v>
      </c>
    </row>
    <row r="142" spans="1:11">
      <c r="A142" s="275" t="s">
        <v>287</v>
      </c>
      <c r="B142" s="227" t="s">
        <v>897</v>
      </c>
      <c r="C142" s="137"/>
      <c r="D142" s="138"/>
      <c r="E142" s="138">
        <v>46267</v>
      </c>
      <c r="F142" s="138"/>
      <c r="G142" s="138">
        <v>46275</v>
      </c>
      <c r="H142" s="138">
        <v>46276</v>
      </c>
      <c r="I142" s="142">
        <v>4081.44</v>
      </c>
      <c r="J142" s="142">
        <v>666.13</v>
      </c>
      <c r="K142" s="138">
        <v>46276</v>
      </c>
    </row>
    <row r="143" spans="1:11" ht="15.6" customHeight="1">
      <c r="A143" s="315" t="s">
        <v>452</v>
      </c>
      <c r="B143" s="137" t="s">
        <v>897</v>
      </c>
      <c r="C143" s="137"/>
      <c r="D143" s="138">
        <v>46237</v>
      </c>
      <c r="E143" s="138">
        <v>46268</v>
      </c>
      <c r="F143" s="138">
        <f>D143+38</f>
        <v>46275</v>
      </c>
      <c r="G143" s="138">
        <v>46282</v>
      </c>
      <c r="H143" s="138">
        <v>46283</v>
      </c>
      <c r="I143" s="142">
        <v>4389.25</v>
      </c>
      <c r="J143" s="142">
        <v>3112.09</v>
      </c>
      <c r="K143" s="138">
        <v>46286</v>
      </c>
    </row>
    <row r="144" spans="1:11">
      <c r="A144" s="11" t="s">
        <v>962</v>
      </c>
      <c r="B144" s="277" t="s">
        <v>1069</v>
      </c>
      <c r="C144" s="6"/>
      <c r="D144" s="7"/>
      <c r="E144" s="7">
        <v>46280</v>
      </c>
      <c r="F144" s="6"/>
      <c r="G144" s="7">
        <v>46289</v>
      </c>
      <c r="H144" s="7">
        <v>46290</v>
      </c>
      <c r="I144" s="8">
        <v>3596.62</v>
      </c>
      <c r="J144" s="8">
        <v>267.05</v>
      </c>
      <c r="K144" s="7">
        <v>46290</v>
      </c>
    </row>
    <row r="145" spans="1:11">
      <c r="A145" s="278" t="s">
        <v>1066</v>
      </c>
      <c r="B145" s="277" t="s">
        <v>1074</v>
      </c>
      <c r="C145" s="6"/>
      <c r="D145" s="6"/>
      <c r="E145" s="7">
        <v>46280</v>
      </c>
      <c r="F145" s="6"/>
      <c r="G145" s="7">
        <v>46289</v>
      </c>
      <c r="H145" s="7">
        <v>46290</v>
      </c>
      <c r="I145" s="8">
        <v>39.04</v>
      </c>
      <c r="J145" s="8" t="s">
        <v>131</v>
      </c>
      <c r="K145" s="7">
        <v>46290</v>
      </c>
    </row>
    <row r="146" spans="1:11">
      <c r="A146" s="11" t="s">
        <v>1058</v>
      </c>
      <c r="B146" s="12" t="s">
        <v>1070</v>
      </c>
      <c r="C146" s="6"/>
      <c r="D146" s="6"/>
      <c r="E146" s="7">
        <v>46282</v>
      </c>
      <c r="F146" s="6"/>
      <c r="G146" s="6"/>
      <c r="H146" s="6"/>
      <c r="I146" s="8">
        <v>0</v>
      </c>
      <c r="J146" s="8" t="s">
        <v>131</v>
      </c>
      <c r="K146" s="6" t="s">
        <v>131</v>
      </c>
    </row>
    <row r="147" spans="1:11">
      <c r="A147" s="10" t="s">
        <v>201</v>
      </c>
      <c r="B147" s="6" t="s">
        <v>897</v>
      </c>
      <c r="C147" s="6"/>
      <c r="D147" s="7"/>
      <c r="E147" s="7">
        <v>46263</v>
      </c>
      <c r="F147" s="6"/>
      <c r="G147" s="7">
        <v>46303</v>
      </c>
      <c r="H147" s="6"/>
      <c r="I147" s="8">
        <v>12901.39</v>
      </c>
      <c r="J147" s="8">
        <v>1846.07</v>
      </c>
      <c r="K147" s="7">
        <v>46304</v>
      </c>
    </row>
    <row r="148" spans="1:11">
      <c r="A148" s="11" t="s">
        <v>234</v>
      </c>
      <c r="B148" s="6" t="s">
        <v>897</v>
      </c>
      <c r="C148" s="6"/>
      <c r="D148" s="7">
        <v>46265</v>
      </c>
      <c r="E148" s="7">
        <v>46295</v>
      </c>
      <c r="F148" s="7">
        <v>46295</v>
      </c>
      <c r="G148" s="7">
        <v>46296</v>
      </c>
      <c r="H148" s="6"/>
      <c r="I148" s="8">
        <v>8462.41</v>
      </c>
      <c r="J148" s="8">
        <v>1418.47</v>
      </c>
      <c r="K148" s="7">
        <v>46304</v>
      </c>
    </row>
  </sheetData>
  <autoFilter ref="A2:K146" xr:uid="{00000000-0009-0000-0000-000005000000}"/>
  <mergeCells count="1">
    <mergeCell ref="A1:K1"/>
  </mergeCells>
  <pageMargins left="0.25" right="0.25" top="0.75" bottom="0.75" header="0.3" footer="0.3"/>
  <pageSetup paperSize="9" scale="62" fitToHeight="0" orientation="landscape" horizontalDpi="4294967293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40"/>
  <sheetViews>
    <sheetView tabSelected="1" topLeftCell="A20" zoomScale="130" zoomScaleNormal="130" workbookViewId="0">
      <selection activeCell="B27" sqref="B27"/>
    </sheetView>
  </sheetViews>
  <sheetFormatPr defaultRowHeight="15"/>
  <cols>
    <col min="1" max="1" width="50.7109375" customWidth="1"/>
    <col min="2" max="2" width="13.5703125" bestFit="1" customWidth="1"/>
    <col min="3" max="3" width="24.5703125" bestFit="1" customWidth="1"/>
    <col min="4" max="4" width="11.42578125" bestFit="1" customWidth="1"/>
    <col min="5" max="5" width="8.7109375" bestFit="1" customWidth="1"/>
  </cols>
  <sheetData>
    <row r="1" spans="1:5">
      <c r="A1" s="132"/>
      <c r="B1" s="132"/>
      <c r="C1" s="132"/>
      <c r="D1" s="132"/>
      <c r="E1" s="132"/>
    </row>
    <row r="2" spans="1:5">
      <c r="A2" s="133" t="s">
        <v>643</v>
      </c>
      <c r="B2" s="133"/>
      <c r="C2" s="132"/>
      <c r="D2" s="132"/>
      <c r="E2" s="132"/>
    </row>
    <row r="3" spans="1:5">
      <c r="A3" s="132"/>
      <c r="B3" s="132"/>
      <c r="C3" s="132"/>
      <c r="D3" s="132"/>
      <c r="E3" s="132"/>
    </row>
    <row r="4" spans="1:5">
      <c r="A4" s="288" t="s">
        <v>644</v>
      </c>
      <c r="B4" s="280" t="s">
        <v>1082</v>
      </c>
      <c r="C4" s="280" t="s">
        <v>645</v>
      </c>
      <c r="D4" s="280" t="s">
        <v>646</v>
      </c>
      <c r="E4" s="280" t="s">
        <v>647</v>
      </c>
    </row>
    <row r="5" spans="1:5">
      <c r="A5" s="294" t="s">
        <v>715</v>
      </c>
      <c r="B5" s="94" t="s">
        <v>13</v>
      </c>
      <c r="C5" s="295">
        <v>38387</v>
      </c>
      <c r="D5" s="295"/>
      <c r="E5" s="94"/>
    </row>
    <row r="6" spans="1:5">
      <c r="A6" s="294" t="s">
        <v>648</v>
      </c>
      <c r="B6" s="94" t="s">
        <v>13</v>
      </c>
      <c r="C6" s="295">
        <v>36232</v>
      </c>
      <c r="D6" s="295"/>
      <c r="E6" s="94"/>
    </row>
    <row r="7" spans="1:5">
      <c r="A7" s="294" t="s">
        <v>779</v>
      </c>
      <c r="B7" s="94" t="s">
        <v>13</v>
      </c>
      <c r="C7" s="295">
        <v>38164</v>
      </c>
      <c r="D7" s="295"/>
      <c r="E7" s="94"/>
    </row>
    <row r="8" spans="1:5">
      <c r="A8" s="294" t="s">
        <v>649</v>
      </c>
      <c r="B8" s="94" t="s">
        <v>13</v>
      </c>
      <c r="C8" s="295">
        <v>33390</v>
      </c>
      <c r="D8" s="295"/>
      <c r="E8" s="94"/>
    </row>
    <row r="9" spans="1:5">
      <c r="A9" s="294" t="s">
        <v>783</v>
      </c>
      <c r="B9" s="94" t="s">
        <v>13</v>
      </c>
      <c r="C9" s="295">
        <v>35432</v>
      </c>
      <c r="D9" s="295"/>
      <c r="E9" s="94"/>
    </row>
    <row r="10" spans="1:5">
      <c r="A10" s="294" t="s">
        <v>788</v>
      </c>
      <c r="B10" s="94" t="s">
        <v>13</v>
      </c>
      <c r="C10" s="295">
        <v>34554</v>
      </c>
      <c r="D10" s="295"/>
      <c r="E10" s="94"/>
    </row>
    <row r="11" spans="1:5">
      <c r="A11" s="289" t="s">
        <v>1083</v>
      </c>
      <c r="B11" s="281" t="s">
        <v>37</v>
      </c>
      <c r="C11" s="283" t="s">
        <v>1092</v>
      </c>
      <c r="D11" s="94"/>
      <c r="E11" s="94"/>
    </row>
    <row r="12" spans="1:5">
      <c r="A12" s="294" t="s">
        <v>651</v>
      </c>
      <c r="B12" s="94" t="s">
        <v>13</v>
      </c>
      <c r="C12" s="295">
        <v>38956</v>
      </c>
      <c r="D12" s="295"/>
      <c r="E12" s="94"/>
    </row>
    <row r="13" spans="1:5">
      <c r="A13" s="293" t="s">
        <v>1096</v>
      </c>
      <c r="B13" s="266" t="s">
        <v>1097</v>
      </c>
      <c r="C13" s="286">
        <v>31134</v>
      </c>
      <c r="D13" s="94"/>
      <c r="E13" s="94"/>
    </row>
    <row r="14" spans="1:5">
      <c r="A14" s="322" t="s">
        <v>660</v>
      </c>
      <c r="B14" s="194" t="s">
        <v>13</v>
      </c>
      <c r="C14" s="323">
        <v>37500</v>
      </c>
      <c r="D14" s="323" t="s">
        <v>1106</v>
      </c>
      <c r="E14" s="194">
        <v>1</v>
      </c>
    </row>
    <row r="15" spans="1:5">
      <c r="A15" s="294" t="s">
        <v>702</v>
      </c>
      <c r="B15" s="94" t="s">
        <v>13</v>
      </c>
      <c r="C15" s="295">
        <v>32657</v>
      </c>
      <c r="D15" s="295"/>
      <c r="E15" s="94"/>
    </row>
    <row r="16" spans="1:5">
      <c r="A16" s="294" t="s">
        <v>1045</v>
      </c>
      <c r="B16" s="94" t="s">
        <v>13</v>
      </c>
      <c r="C16" s="295">
        <v>31493</v>
      </c>
      <c r="D16" s="295"/>
      <c r="E16" s="94"/>
    </row>
    <row r="17" spans="1:5">
      <c r="A17" s="294" t="s">
        <v>707</v>
      </c>
      <c r="B17" s="94" t="s">
        <v>13</v>
      </c>
      <c r="C17" s="295">
        <v>33610</v>
      </c>
      <c r="D17" s="295"/>
      <c r="E17" s="94"/>
    </row>
    <row r="18" spans="1:5">
      <c r="A18" s="294" t="s">
        <v>795</v>
      </c>
      <c r="B18" s="94" t="s">
        <v>13</v>
      </c>
      <c r="C18" s="295">
        <v>35087</v>
      </c>
      <c r="D18" s="295"/>
      <c r="E18" s="94"/>
    </row>
    <row r="19" spans="1:5">
      <c r="A19" s="294" t="s">
        <v>1004</v>
      </c>
      <c r="B19" s="94" t="s">
        <v>13</v>
      </c>
      <c r="C19" s="295">
        <v>35370</v>
      </c>
      <c r="D19" s="295"/>
      <c r="E19" s="94"/>
    </row>
    <row r="20" spans="1:5">
      <c r="A20" s="294" t="s">
        <v>797</v>
      </c>
      <c r="B20" s="94" t="s">
        <v>13</v>
      </c>
      <c r="C20" s="295">
        <v>37033</v>
      </c>
      <c r="D20" s="295"/>
      <c r="E20" s="94"/>
    </row>
    <row r="21" spans="1:5">
      <c r="A21" s="294" t="s">
        <v>1075</v>
      </c>
      <c r="B21" s="94" t="s">
        <v>13</v>
      </c>
      <c r="C21" s="295">
        <v>35876</v>
      </c>
      <c r="D21" s="295"/>
      <c r="E21" s="94"/>
    </row>
    <row r="22" spans="1:5">
      <c r="A22" s="289" t="s">
        <v>1084</v>
      </c>
      <c r="B22" s="281" t="s">
        <v>37</v>
      </c>
      <c r="C22" s="283" t="s">
        <v>1093</v>
      </c>
      <c r="D22" s="94"/>
      <c r="E22" s="94"/>
    </row>
    <row r="23" spans="1:5">
      <c r="A23" s="294" t="s">
        <v>1006</v>
      </c>
      <c r="B23" s="94" t="s">
        <v>13</v>
      </c>
      <c r="C23" s="295">
        <v>30864</v>
      </c>
      <c r="D23" s="295"/>
      <c r="E23" s="94"/>
    </row>
    <row r="24" spans="1:5">
      <c r="A24" s="294" t="s">
        <v>801</v>
      </c>
      <c r="B24" s="94" t="s">
        <v>13</v>
      </c>
      <c r="C24" s="295">
        <v>37321</v>
      </c>
      <c r="D24" s="295"/>
      <c r="E24" s="94"/>
    </row>
    <row r="25" spans="1:5">
      <c r="A25" s="294" t="s">
        <v>652</v>
      </c>
      <c r="B25" s="94" t="s">
        <v>13</v>
      </c>
      <c r="C25" s="295">
        <v>39082</v>
      </c>
      <c r="D25" s="295"/>
      <c r="E25" s="94"/>
    </row>
    <row r="26" spans="1:5">
      <c r="A26" s="322" t="s">
        <v>839</v>
      </c>
      <c r="B26" s="194" t="s">
        <v>13</v>
      </c>
      <c r="C26" s="323">
        <v>34944</v>
      </c>
      <c r="D26" s="323" t="s">
        <v>1106</v>
      </c>
      <c r="E26" s="194">
        <v>2</v>
      </c>
    </row>
    <row r="27" spans="1:5">
      <c r="A27" s="289" t="s">
        <v>1085</v>
      </c>
      <c r="B27" s="281" t="s">
        <v>37</v>
      </c>
      <c r="C27" s="283">
        <v>34416</v>
      </c>
      <c r="D27" s="94" t="s">
        <v>1169</v>
      </c>
      <c r="E27" s="94">
        <v>23</v>
      </c>
    </row>
    <row r="28" spans="1:5">
      <c r="A28" s="294" t="s">
        <v>1037</v>
      </c>
      <c r="B28" s="94" t="s">
        <v>13</v>
      </c>
      <c r="C28" s="295">
        <v>37411</v>
      </c>
      <c r="D28" s="295"/>
      <c r="E28" s="94"/>
    </row>
    <row r="29" spans="1:5">
      <c r="A29" s="294" t="s">
        <v>653</v>
      </c>
      <c r="B29" s="94" t="s">
        <v>13</v>
      </c>
      <c r="C29" s="295">
        <v>38027</v>
      </c>
      <c r="D29" s="295"/>
      <c r="E29" s="94"/>
    </row>
    <row r="30" spans="1:5">
      <c r="A30" s="294" t="s">
        <v>654</v>
      </c>
      <c r="B30" s="94" t="s">
        <v>13</v>
      </c>
      <c r="C30" s="295">
        <v>34649</v>
      </c>
      <c r="D30" s="295"/>
      <c r="E30" s="94"/>
    </row>
    <row r="31" spans="1:5">
      <c r="A31" s="294" t="s">
        <v>655</v>
      </c>
      <c r="B31" s="94" t="s">
        <v>13</v>
      </c>
      <c r="C31" s="295">
        <v>35229</v>
      </c>
      <c r="D31" s="295"/>
      <c r="E31" s="94"/>
    </row>
    <row r="32" spans="1:5">
      <c r="A32" s="294" t="s">
        <v>656</v>
      </c>
      <c r="B32" s="94" t="s">
        <v>13</v>
      </c>
      <c r="C32" s="295">
        <v>33843</v>
      </c>
      <c r="D32" s="295"/>
      <c r="E32" s="94"/>
    </row>
    <row r="33" spans="1:5">
      <c r="A33" s="289" t="s">
        <v>1086</v>
      </c>
      <c r="B33" s="281" t="s">
        <v>37</v>
      </c>
      <c r="C33" s="283" t="s">
        <v>1094</v>
      </c>
      <c r="D33" s="94"/>
      <c r="E33" s="94"/>
    </row>
    <row r="34" spans="1:5">
      <c r="A34" s="294" t="s">
        <v>811</v>
      </c>
      <c r="B34" s="94" t="s">
        <v>13</v>
      </c>
      <c r="C34" s="295">
        <v>34485</v>
      </c>
      <c r="D34" s="295"/>
      <c r="E34" s="94"/>
    </row>
    <row r="35" spans="1:5">
      <c r="A35" s="364" t="s">
        <v>659</v>
      </c>
      <c r="B35" s="144" t="s">
        <v>13</v>
      </c>
      <c r="C35" s="365">
        <v>37530</v>
      </c>
      <c r="D35" s="365" t="s">
        <v>1139</v>
      </c>
      <c r="E35" s="366">
        <v>1</v>
      </c>
    </row>
    <row r="36" spans="1:5">
      <c r="A36" s="294" t="s">
        <v>658</v>
      </c>
      <c r="B36" s="94" t="s">
        <v>13</v>
      </c>
      <c r="C36" s="295">
        <v>37447</v>
      </c>
      <c r="D36" s="295"/>
      <c r="E36" s="94"/>
    </row>
    <row r="37" spans="1:5">
      <c r="A37" s="293" t="s">
        <v>1101</v>
      </c>
      <c r="B37" s="266" t="s">
        <v>1102</v>
      </c>
      <c r="C37" s="266" t="s">
        <v>1103</v>
      </c>
      <c r="D37" s="94"/>
      <c r="E37" s="94"/>
    </row>
    <row r="38" spans="1:5">
      <c r="A38" s="294" t="s">
        <v>815</v>
      </c>
      <c r="B38" s="94" t="s">
        <v>13</v>
      </c>
      <c r="C38" s="295">
        <v>29966</v>
      </c>
      <c r="D38" s="295"/>
      <c r="E38" s="94"/>
    </row>
    <row r="39" spans="1:5">
      <c r="A39" s="364" t="s">
        <v>1039</v>
      </c>
      <c r="B39" s="144" t="s">
        <v>13</v>
      </c>
      <c r="C39" s="365">
        <v>36071</v>
      </c>
      <c r="D39" s="365" t="s">
        <v>1139</v>
      </c>
      <c r="E39" s="366">
        <v>3</v>
      </c>
    </row>
    <row r="40" spans="1:5">
      <c r="A40" s="322" t="s">
        <v>682</v>
      </c>
      <c r="B40" s="194" t="s">
        <v>13</v>
      </c>
      <c r="C40" s="323">
        <v>36041</v>
      </c>
      <c r="D40" s="323" t="s">
        <v>1106</v>
      </c>
      <c r="E40" s="194">
        <v>3</v>
      </c>
    </row>
    <row r="41" spans="1:5">
      <c r="A41" s="294" t="s">
        <v>818</v>
      </c>
      <c r="B41" s="94" t="s">
        <v>13</v>
      </c>
      <c r="C41" s="295">
        <v>35016</v>
      </c>
      <c r="D41" s="295"/>
      <c r="E41" s="94"/>
    </row>
    <row r="42" spans="1:5">
      <c r="A42" s="294" t="s">
        <v>1076</v>
      </c>
      <c r="B42" s="94" t="s">
        <v>13</v>
      </c>
      <c r="C42" s="295">
        <v>37789</v>
      </c>
      <c r="D42" s="295"/>
      <c r="E42" s="94"/>
    </row>
    <row r="43" spans="1:5">
      <c r="A43" s="364" t="s">
        <v>813</v>
      </c>
      <c r="B43" s="144" t="s">
        <v>13</v>
      </c>
      <c r="C43" s="365">
        <v>38265</v>
      </c>
      <c r="D43" s="365" t="s">
        <v>1139</v>
      </c>
      <c r="E43" s="366">
        <v>5</v>
      </c>
    </row>
    <row r="44" spans="1:5">
      <c r="A44" s="293" t="s">
        <v>1099</v>
      </c>
      <c r="B44" s="266" t="s">
        <v>1104</v>
      </c>
      <c r="C44" s="266" t="s">
        <v>1100</v>
      </c>
      <c r="D44" s="94"/>
      <c r="E44" s="94"/>
    </row>
    <row r="45" spans="1:5">
      <c r="A45" s="331" t="s">
        <v>1136</v>
      </c>
      <c r="B45" s="266" t="s">
        <v>13</v>
      </c>
      <c r="C45" s="286">
        <v>42284</v>
      </c>
      <c r="D45" s="295" t="s">
        <v>1139</v>
      </c>
      <c r="E45" s="330">
        <v>7</v>
      </c>
    </row>
    <row r="46" spans="1:5">
      <c r="A46" s="294" t="s">
        <v>662</v>
      </c>
      <c r="B46" s="94" t="s">
        <v>13</v>
      </c>
      <c r="C46" s="295">
        <v>38589</v>
      </c>
      <c r="D46" s="295"/>
      <c r="E46" s="94"/>
    </row>
    <row r="47" spans="1:5">
      <c r="A47" s="294" t="s">
        <v>1012</v>
      </c>
      <c r="B47" s="94" t="s">
        <v>13</v>
      </c>
      <c r="C47" s="295">
        <v>35774</v>
      </c>
      <c r="D47" s="295"/>
      <c r="E47" s="94"/>
    </row>
    <row r="48" spans="1:5">
      <c r="A48" s="294" t="s">
        <v>1077</v>
      </c>
      <c r="B48" s="94" t="s">
        <v>13</v>
      </c>
      <c r="C48" s="295">
        <v>34071</v>
      </c>
      <c r="D48" s="295"/>
      <c r="E48" s="94"/>
    </row>
    <row r="49" spans="1:5">
      <c r="A49" s="294" t="s">
        <v>664</v>
      </c>
      <c r="B49" s="94" t="s">
        <v>13</v>
      </c>
      <c r="C49" s="295">
        <v>37977</v>
      </c>
      <c r="D49" s="295"/>
      <c r="E49" s="94"/>
    </row>
    <row r="50" spans="1:5">
      <c r="A50" s="293" t="s">
        <v>1098</v>
      </c>
      <c r="B50" s="266" t="s">
        <v>1105</v>
      </c>
      <c r="C50" s="286">
        <v>28085</v>
      </c>
      <c r="D50" s="94"/>
      <c r="E50" s="94"/>
    </row>
    <row r="51" spans="1:5">
      <c r="A51" s="294" t="s">
        <v>665</v>
      </c>
      <c r="B51" s="94" t="s">
        <v>13</v>
      </c>
      <c r="C51" s="295">
        <v>28810</v>
      </c>
      <c r="D51" s="295"/>
      <c r="E51" s="94"/>
    </row>
    <row r="52" spans="1:5">
      <c r="A52" s="294" t="s">
        <v>666</v>
      </c>
      <c r="B52" s="94" t="s">
        <v>13</v>
      </c>
      <c r="C52" s="295">
        <v>37598</v>
      </c>
      <c r="D52" s="295"/>
      <c r="E52" s="94"/>
    </row>
    <row r="53" spans="1:5">
      <c r="A53" s="294" t="s">
        <v>667</v>
      </c>
      <c r="B53" s="94" t="s">
        <v>13</v>
      </c>
      <c r="C53" s="295">
        <v>39139</v>
      </c>
      <c r="D53" s="295"/>
      <c r="E53" s="94"/>
    </row>
    <row r="54" spans="1:5">
      <c r="A54" s="294" t="s">
        <v>668</v>
      </c>
      <c r="B54" s="94" t="s">
        <v>13</v>
      </c>
      <c r="C54" s="295">
        <v>34379</v>
      </c>
      <c r="D54" s="295"/>
      <c r="E54" s="94"/>
    </row>
    <row r="55" spans="1:5">
      <c r="A55" s="291" t="s">
        <v>669</v>
      </c>
      <c r="B55" s="282" t="s">
        <v>37</v>
      </c>
      <c r="C55" s="285">
        <v>33443</v>
      </c>
      <c r="D55" s="94"/>
      <c r="E55" s="94"/>
    </row>
    <row r="56" spans="1:5">
      <c r="A56" s="294" t="s">
        <v>826</v>
      </c>
      <c r="B56" s="94" t="s">
        <v>13</v>
      </c>
      <c r="C56" s="295">
        <v>37329</v>
      </c>
      <c r="D56" s="295"/>
      <c r="E56" s="94"/>
    </row>
    <row r="57" spans="1:5">
      <c r="A57" s="294" t="s">
        <v>1078</v>
      </c>
      <c r="B57" s="94" t="s">
        <v>13</v>
      </c>
      <c r="C57" s="295">
        <v>36703</v>
      </c>
      <c r="D57" s="295"/>
      <c r="E57" s="94"/>
    </row>
    <row r="58" spans="1:5">
      <c r="A58" s="294" t="s">
        <v>829</v>
      </c>
      <c r="B58" s="94" t="s">
        <v>13</v>
      </c>
      <c r="C58" s="295">
        <v>38837</v>
      </c>
      <c r="D58" s="295"/>
      <c r="E58" s="94"/>
    </row>
    <row r="59" spans="1:5">
      <c r="A59" s="294" t="s">
        <v>831</v>
      </c>
      <c r="B59" s="94" t="s">
        <v>13</v>
      </c>
      <c r="C59" s="295">
        <v>34734</v>
      </c>
      <c r="D59" s="295"/>
      <c r="E59" s="94"/>
    </row>
    <row r="60" spans="1:5">
      <c r="A60" s="294" t="s">
        <v>832</v>
      </c>
      <c r="B60" s="94" t="s">
        <v>13</v>
      </c>
      <c r="C60" s="295">
        <v>35244</v>
      </c>
      <c r="D60" s="295"/>
      <c r="E60" s="94"/>
    </row>
    <row r="61" spans="1:5">
      <c r="A61" s="291" t="s">
        <v>834</v>
      </c>
      <c r="B61" s="281" t="s">
        <v>37</v>
      </c>
      <c r="C61" s="284">
        <v>37047</v>
      </c>
      <c r="D61" s="94"/>
      <c r="E61" s="94"/>
    </row>
    <row r="62" spans="1:5">
      <c r="A62" s="294" t="s">
        <v>672</v>
      </c>
      <c r="B62" s="94" t="s">
        <v>13</v>
      </c>
      <c r="C62" s="295">
        <v>30636</v>
      </c>
      <c r="D62" s="295"/>
      <c r="E62" s="94"/>
    </row>
    <row r="63" spans="1:5">
      <c r="A63" s="294" t="s">
        <v>673</v>
      </c>
      <c r="B63" s="94" t="s">
        <v>13</v>
      </c>
      <c r="C63" s="295">
        <v>36807</v>
      </c>
      <c r="D63" s="295" t="s">
        <v>1139</v>
      </c>
      <c r="E63" s="329">
        <v>8</v>
      </c>
    </row>
    <row r="64" spans="1:5">
      <c r="A64" s="294" t="s">
        <v>674</v>
      </c>
      <c r="B64" s="94" t="s">
        <v>13</v>
      </c>
      <c r="C64" s="295">
        <v>37831</v>
      </c>
      <c r="D64" s="295"/>
      <c r="E64" s="94"/>
    </row>
    <row r="65" spans="1:7">
      <c r="A65" s="322" t="s">
        <v>714</v>
      </c>
      <c r="B65" s="194" t="s">
        <v>13</v>
      </c>
      <c r="C65" s="323">
        <v>36406</v>
      </c>
      <c r="D65" s="323" t="s">
        <v>1106</v>
      </c>
      <c r="E65" s="194">
        <v>3</v>
      </c>
    </row>
    <row r="66" spans="1:7">
      <c r="A66" s="290" t="s">
        <v>675</v>
      </c>
      <c r="B66" s="266" t="s">
        <v>1097</v>
      </c>
      <c r="C66" s="287">
        <v>29437</v>
      </c>
      <c r="D66" s="94"/>
      <c r="E66" s="94"/>
    </row>
    <row r="67" spans="1:7">
      <c r="A67" s="294" t="s">
        <v>838</v>
      </c>
      <c r="B67" s="94" t="s">
        <v>13</v>
      </c>
      <c r="C67" s="295">
        <v>30762</v>
      </c>
      <c r="D67" s="295"/>
      <c r="E67" s="94"/>
    </row>
    <row r="68" spans="1:7">
      <c r="A68" s="290" t="s">
        <v>692</v>
      </c>
      <c r="B68" s="324" t="s">
        <v>37</v>
      </c>
      <c r="C68" s="287">
        <v>36412</v>
      </c>
      <c r="D68" s="323" t="s">
        <v>1106</v>
      </c>
      <c r="E68" s="194">
        <v>9</v>
      </c>
    </row>
    <row r="69" spans="1:7">
      <c r="A69" s="294" t="s">
        <v>677</v>
      </c>
      <c r="B69" s="94" t="s">
        <v>13</v>
      </c>
      <c r="C69" s="295">
        <v>31843</v>
      </c>
      <c r="D69" s="295"/>
      <c r="E69" s="94"/>
    </row>
    <row r="70" spans="1:7">
      <c r="A70" s="294" t="s">
        <v>1010</v>
      </c>
      <c r="B70" s="94" t="s">
        <v>13</v>
      </c>
      <c r="C70" s="295">
        <v>36815</v>
      </c>
      <c r="D70" s="295" t="s">
        <v>1139</v>
      </c>
      <c r="E70" s="329">
        <v>16</v>
      </c>
      <c r="G70" s="316" t="s">
        <v>597</v>
      </c>
    </row>
    <row r="71" spans="1:7">
      <c r="A71" s="291" t="s">
        <v>741</v>
      </c>
      <c r="B71" s="281" t="s">
        <v>37</v>
      </c>
      <c r="C71" s="283">
        <v>31226</v>
      </c>
      <c r="D71" s="94"/>
      <c r="E71" s="94"/>
    </row>
    <row r="72" spans="1:7">
      <c r="A72" s="294" t="s">
        <v>1043</v>
      </c>
      <c r="B72" s="94" t="s">
        <v>13</v>
      </c>
      <c r="C72" s="295">
        <v>28536</v>
      </c>
      <c r="D72" s="295"/>
      <c r="E72" s="94"/>
    </row>
    <row r="73" spans="1:7">
      <c r="A73" s="294" t="s">
        <v>678</v>
      </c>
      <c r="B73" s="94" t="s">
        <v>13</v>
      </c>
      <c r="C73" s="295">
        <v>35829</v>
      </c>
      <c r="D73" s="295"/>
      <c r="E73" s="94"/>
    </row>
    <row r="74" spans="1:7">
      <c r="A74" s="294" t="s">
        <v>841</v>
      </c>
      <c r="B74" s="94" t="s">
        <v>13</v>
      </c>
      <c r="C74" s="295">
        <v>38324</v>
      </c>
      <c r="D74" s="295"/>
      <c r="E74" s="94"/>
    </row>
    <row r="75" spans="1:7">
      <c r="A75" s="294" t="s">
        <v>679</v>
      </c>
      <c r="B75" s="94" t="s">
        <v>13</v>
      </c>
      <c r="C75" s="295">
        <v>33681</v>
      </c>
      <c r="D75" s="295"/>
      <c r="E75" s="94"/>
    </row>
    <row r="76" spans="1:7">
      <c r="A76" s="294" t="s">
        <v>681</v>
      </c>
      <c r="B76" s="94" t="s">
        <v>13</v>
      </c>
      <c r="C76" s="295">
        <v>31150</v>
      </c>
      <c r="D76" s="295"/>
      <c r="E76" s="94"/>
    </row>
    <row r="77" spans="1:7">
      <c r="A77" s="322" t="s">
        <v>791</v>
      </c>
      <c r="B77" s="194" t="s">
        <v>13</v>
      </c>
      <c r="C77" s="323">
        <v>25091</v>
      </c>
      <c r="D77" s="323" t="s">
        <v>1106</v>
      </c>
      <c r="E77" s="194">
        <v>10</v>
      </c>
    </row>
    <row r="78" spans="1:7">
      <c r="A78" s="289" t="s">
        <v>1087</v>
      </c>
      <c r="B78" s="281" t="s">
        <v>37</v>
      </c>
      <c r="C78" s="283" t="s">
        <v>1095</v>
      </c>
      <c r="D78" s="94"/>
      <c r="E78" s="94"/>
    </row>
    <row r="79" spans="1:7">
      <c r="A79" s="294" t="s">
        <v>683</v>
      </c>
      <c r="B79" s="94" t="s">
        <v>13</v>
      </c>
      <c r="C79" s="295">
        <v>35804</v>
      </c>
      <c r="D79" s="295"/>
      <c r="E79" s="94"/>
    </row>
    <row r="80" spans="1:7">
      <c r="A80" s="294" t="s">
        <v>764</v>
      </c>
      <c r="B80" s="94" t="s">
        <v>13</v>
      </c>
      <c r="C80" s="295">
        <v>36653</v>
      </c>
      <c r="D80" s="295"/>
      <c r="E80" s="94"/>
    </row>
    <row r="81" spans="1:5">
      <c r="A81" s="294" t="s">
        <v>685</v>
      </c>
      <c r="B81" s="94" t="s">
        <v>13</v>
      </c>
      <c r="C81" s="295">
        <v>36734</v>
      </c>
      <c r="D81" s="295"/>
      <c r="E81" s="94"/>
    </row>
    <row r="82" spans="1:5">
      <c r="A82" s="294" t="s">
        <v>847</v>
      </c>
      <c r="B82" s="94" t="s">
        <v>13</v>
      </c>
      <c r="C82" s="295">
        <v>30828</v>
      </c>
      <c r="D82" s="295"/>
      <c r="E82" s="94"/>
    </row>
    <row r="83" spans="1:5">
      <c r="A83" s="294" t="s">
        <v>849</v>
      </c>
      <c r="B83" s="94" t="s">
        <v>13</v>
      </c>
      <c r="C83" s="295">
        <v>37004</v>
      </c>
      <c r="D83" s="295"/>
      <c r="E83" s="94"/>
    </row>
    <row r="84" spans="1:5">
      <c r="A84" s="291" t="s">
        <v>850</v>
      </c>
      <c r="B84" s="281" t="s">
        <v>37</v>
      </c>
      <c r="C84" s="284">
        <v>35989</v>
      </c>
      <c r="D84" s="94"/>
      <c r="E84" s="94"/>
    </row>
    <row r="85" spans="1:5">
      <c r="A85" s="294" t="s">
        <v>686</v>
      </c>
      <c r="B85" s="94" t="s">
        <v>13</v>
      </c>
      <c r="C85" s="295">
        <v>36381</v>
      </c>
      <c r="D85" s="295"/>
      <c r="E85" s="94"/>
    </row>
    <row r="86" spans="1:5">
      <c r="A86" s="294" t="s">
        <v>687</v>
      </c>
      <c r="B86" s="94" t="s">
        <v>13</v>
      </c>
      <c r="C86" s="295">
        <v>36899</v>
      </c>
      <c r="D86" s="295"/>
      <c r="E86" s="94"/>
    </row>
    <row r="87" spans="1:5">
      <c r="A87" s="294" t="s">
        <v>765</v>
      </c>
      <c r="B87" s="94" t="s">
        <v>13</v>
      </c>
      <c r="C87" s="295">
        <v>37133</v>
      </c>
      <c r="D87" s="295"/>
      <c r="E87" s="94"/>
    </row>
    <row r="88" spans="1:5">
      <c r="A88" s="294" t="s">
        <v>688</v>
      </c>
      <c r="B88" s="94" t="s">
        <v>13</v>
      </c>
      <c r="C88" s="295">
        <v>35522</v>
      </c>
      <c r="D88" s="295"/>
      <c r="E88" s="94"/>
    </row>
    <row r="89" spans="1:5">
      <c r="A89" s="294" t="s">
        <v>855</v>
      </c>
      <c r="B89" s="94" t="s">
        <v>13</v>
      </c>
      <c r="C89" s="295">
        <v>36707</v>
      </c>
      <c r="D89" s="295"/>
      <c r="E89" s="94"/>
    </row>
    <row r="90" spans="1:5">
      <c r="A90" s="294" t="s">
        <v>689</v>
      </c>
      <c r="B90" s="94" t="s">
        <v>13</v>
      </c>
      <c r="C90" s="295">
        <v>24225</v>
      </c>
      <c r="D90" s="295"/>
      <c r="E90" s="94"/>
    </row>
    <row r="91" spans="1:5">
      <c r="A91" s="294" t="s">
        <v>857</v>
      </c>
      <c r="B91" s="94" t="s">
        <v>13</v>
      </c>
      <c r="C91" s="295">
        <v>32097</v>
      </c>
      <c r="D91" s="295"/>
      <c r="E91" s="94"/>
    </row>
    <row r="92" spans="1:5">
      <c r="A92" s="325" t="s">
        <v>1091</v>
      </c>
      <c r="B92" s="326" t="s">
        <v>37</v>
      </c>
      <c r="C92" s="327">
        <v>36790</v>
      </c>
      <c r="D92" s="323" t="s">
        <v>1106</v>
      </c>
      <c r="E92" s="194">
        <v>21</v>
      </c>
    </row>
    <row r="93" spans="1:5">
      <c r="A93" s="294" t="s">
        <v>859</v>
      </c>
      <c r="B93" s="94" t="s">
        <v>13</v>
      </c>
      <c r="C93" s="295">
        <v>38360</v>
      </c>
      <c r="D93" s="295"/>
      <c r="E93" s="94"/>
    </row>
    <row r="94" spans="1:5">
      <c r="A94" s="294" t="s">
        <v>680</v>
      </c>
      <c r="B94" s="94" t="s">
        <v>13</v>
      </c>
      <c r="C94" s="295">
        <v>26800</v>
      </c>
      <c r="D94" s="295"/>
      <c r="E94" s="94"/>
    </row>
    <row r="95" spans="1:5">
      <c r="A95" s="294" t="s">
        <v>861</v>
      </c>
      <c r="B95" s="94" t="s">
        <v>13</v>
      </c>
      <c r="C95" s="295">
        <v>31722</v>
      </c>
      <c r="D95" s="295"/>
      <c r="E95" s="94"/>
    </row>
    <row r="96" spans="1:5">
      <c r="A96" s="294" t="s">
        <v>1015</v>
      </c>
      <c r="B96" s="94" t="s">
        <v>13</v>
      </c>
      <c r="C96" s="295">
        <v>32323</v>
      </c>
      <c r="D96" s="295"/>
      <c r="E96" s="94"/>
    </row>
    <row r="97" spans="1:6">
      <c r="A97" s="289" t="s">
        <v>1089</v>
      </c>
      <c r="B97" s="281" t="s">
        <v>37</v>
      </c>
      <c r="C97" s="283">
        <v>34603</v>
      </c>
      <c r="D97" s="295" t="s">
        <v>1106</v>
      </c>
      <c r="E97" s="94">
        <v>26</v>
      </c>
    </row>
    <row r="98" spans="1:6">
      <c r="A98" s="294" t="s">
        <v>1079</v>
      </c>
      <c r="B98" s="94" t="s">
        <v>13</v>
      </c>
      <c r="C98" s="295">
        <v>37597</v>
      </c>
      <c r="D98" s="295"/>
      <c r="E98" s="94"/>
    </row>
    <row r="99" spans="1:6">
      <c r="A99" s="294" t="s">
        <v>693</v>
      </c>
      <c r="B99" s="94" t="s">
        <v>13</v>
      </c>
      <c r="C99" s="295">
        <v>34699</v>
      </c>
      <c r="D99" s="295"/>
      <c r="E99" s="94"/>
    </row>
    <row r="100" spans="1:6">
      <c r="A100" s="294" t="s">
        <v>865</v>
      </c>
      <c r="B100" s="94" t="s">
        <v>13</v>
      </c>
      <c r="C100" s="295">
        <v>30535</v>
      </c>
      <c r="D100" s="295"/>
      <c r="E100" s="94"/>
    </row>
    <row r="101" spans="1:6" ht="25.5">
      <c r="A101" s="294" t="s">
        <v>663</v>
      </c>
      <c r="B101" s="94" t="s">
        <v>13</v>
      </c>
      <c r="C101" s="295">
        <v>37755</v>
      </c>
      <c r="D101" s="295"/>
      <c r="E101" s="94"/>
    </row>
    <row r="102" spans="1:6">
      <c r="A102" s="294" t="s">
        <v>694</v>
      </c>
      <c r="B102" s="94" t="s">
        <v>13</v>
      </c>
      <c r="C102" s="295">
        <v>35425</v>
      </c>
      <c r="D102" s="295"/>
      <c r="E102" s="94"/>
    </row>
    <row r="103" spans="1:6">
      <c r="A103" s="294" t="s">
        <v>1080</v>
      </c>
      <c r="B103" s="94" t="s">
        <v>13</v>
      </c>
      <c r="C103" s="295">
        <v>30646</v>
      </c>
      <c r="D103" s="295"/>
      <c r="E103" s="94"/>
      <c r="F103" s="134"/>
    </row>
    <row r="104" spans="1:6">
      <c r="A104" s="294" t="s">
        <v>866</v>
      </c>
      <c r="B104" s="94" t="s">
        <v>13</v>
      </c>
      <c r="C104" s="295">
        <v>36503</v>
      </c>
      <c r="D104" s="295"/>
      <c r="E104" s="94"/>
      <c r="F104" s="134"/>
    </row>
    <row r="105" spans="1:6">
      <c r="A105" s="292" t="s">
        <v>1090</v>
      </c>
      <c r="B105" s="266" t="s">
        <v>37</v>
      </c>
      <c r="C105" s="286">
        <v>35223</v>
      </c>
      <c r="D105" s="94"/>
      <c r="E105" s="94"/>
      <c r="F105" s="134"/>
    </row>
    <row r="106" spans="1:6">
      <c r="A106" s="294" t="s">
        <v>696</v>
      </c>
      <c r="B106" s="94" t="s">
        <v>13</v>
      </c>
      <c r="C106" s="295">
        <v>31074</v>
      </c>
      <c r="D106" s="295"/>
      <c r="E106" s="94"/>
      <c r="F106" s="134"/>
    </row>
    <row r="107" spans="1:6">
      <c r="A107" s="294" t="s">
        <v>697</v>
      </c>
      <c r="B107" s="94" t="s">
        <v>13</v>
      </c>
      <c r="C107" s="295">
        <v>34115</v>
      </c>
      <c r="D107" s="295"/>
      <c r="E107" s="94"/>
      <c r="F107" s="134"/>
    </row>
    <row r="108" spans="1:6">
      <c r="A108" s="294" t="s">
        <v>868</v>
      </c>
      <c r="B108" s="94" t="s">
        <v>13</v>
      </c>
      <c r="C108" s="295">
        <v>37015</v>
      </c>
      <c r="D108" s="295"/>
      <c r="E108" s="94"/>
      <c r="F108" s="134"/>
    </row>
    <row r="109" spans="1:6">
      <c r="A109" s="294" t="s">
        <v>870</v>
      </c>
      <c r="B109" s="94" t="s">
        <v>13</v>
      </c>
      <c r="C109" s="295">
        <v>36570</v>
      </c>
      <c r="D109" s="295"/>
      <c r="E109" s="94"/>
      <c r="F109" s="134"/>
    </row>
    <row r="110" spans="1:6">
      <c r="A110" s="294" t="s">
        <v>698</v>
      </c>
      <c r="B110" s="94" t="s">
        <v>13</v>
      </c>
      <c r="C110" s="295">
        <v>31404</v>
      </c>
      <c r="D110" s="295"/>
      <c r="E110" s="94"/>
      <c r="F110" s="134"/>
    </row>
    <row r="111" spans="1:6">
      <c r="A111" s="294" t="s">
        <v>699</v>
      </c>
      <c r="B111" s="94" t="s">
        <v>13</v>
      </c>
      <c r="C111" s="295">
        <v>35744</v>
      </c>
      <c r="D111" s="295"/>
      <c r="E111" s="94"/>
      <c r="F111" s="134"/>
    </row>
    <row r="112" spans="1:6">
      <c r="A112" s="294" t="s">
        <v>661</v>
      </c>
      <c r="B112" s="94" t="s">
        <v>13</v>
      </c>
      <c r="C112" s="295">
        <v>37545</v>
      </c>
      <c r="D112" s="295" t="s">
        <v>1139</v>
      </c>
      <c r="E112" s="329">
        <v>16</v>
      </c>
      <c r="F112" s="134"/>
    </row>
    <row r="113" spans="1:6">
      <c r="A113" s="294" t="s">
        <v>1017</v>
      </c>
      <c r="B113" s="94" t="s">
        <v>13</v>
      </c>
      <c r="C113" s="295">
        <v>33167</v>
      </c>
      <c r="D113" s="295" t="s">
        <v>1139</v>
      </c>
      <c r="E113" s="329">
        <v>21</v>
      </c>
      <c r="F113" s="134"/>
    </row>
    <row r="114" spans="1:6">
      <c r="A114" s="294" t="s">
        <v>700</v>
      </c>
      <c r="B114" s="94" t="s">
        <v>13</v>
      </c>
      <c r="C114" s="295">
        <v>32177</v>
      </c>
      <c r="D114" s="295"/>
      <c r="E114" s="94"/>
      <c r="F114" s="134"/>
    </row>
    <row r="115" spans="1:6">
      <c r="A115" s="294" t="s">
        <v>874</v>
      </c>
      <c r="B115" s="94" t="s">
        <v>13</v>
      </c>
      <c r="C115" s="295">
        <v>32319</v>
      </c>
      <c r="D115" s="295"/>
      <c r="E115" s="94"/>
      <c r="F115" s="134"/>
    </row>
    <row r="116" spans="1:6">
      <c r="A116" s="289" t="s">
        <v>1088</v>
      </c>
      <c r="B116" s="281" t="s">
        <v>37</v>
      </c>
      <c r="C116" s="283">
        <v>24164</v>
      </c>
      <c r="D116" s="94"/>
      <c r="E116" s="94"/>
      <c r="F116" s="134"/>
    </row>
    <row r="117" spans="1:6">
      <c r="A117" s="294" t="s">
        <v>875</v>
      </c>
      <c r="B117" s="94" t="s">
        <v>13</v>
      </c>
      <c r="C117" s="295">
        <v>32119</v>
      </c>
      <c r="D117" s="295"/>
      <c r="E117" s="94"/>
      <c r="F117" s="134"/>
    </row>
    <row r="118" spans="1:6">
      <c r="A118" s="294" t="s">
        <v>657</v>
      </c>
      <c r="B118" s="94" t="s">
        <v>13</v>
      </c>
      <c r="C118" s="295">
        <v>35926</v>
      </c>
      <c r="D118" s="295"/>
      <c r="E118" s="94"/>
      <c r="F118" s="134"/>
    </row>
    <row r="119" spans="1:6">
      <c r="A119" s="294" t="s">
        <v>877</v>
      </c>
      <c r="B119" s="94" t="s">
        <v>13</v>
      </c>
      <c r="C119" s="295">
        <v>35645</v>
      </c>
      <c r="D119" s="295"/>
      <c r="E119" s="94"/>
    </row>
    <row r="120" spans="1:6">
      <c r="A120" s="294" t="s">
        <v>704</v>
      </c>
      <c r="B120" s="94" t="s">
        <v>13</v>
      </c>
      <c r="C120" s="295">
        <v>30712</v>
      </c>
      <c r="D120" s="295"/>
      <c r="E120" s="94"/>
    </row>
    <row r="121" spans="1:6">
      <c r="A121" s="294" t="s">
        <v>705</v>
      </c>
      <c r="B121" s="94" t="s">
        <v>13</v>
      </c>
      <c r="C121" s="295">
        <v>36211</v>
      </c>
      <c r="D121" s="295"/>
      <c r="E121" s="94"/>
      <c r="F121" s="187"/>
    </row>
    <row r="122" spans="1:6">
      <c r="A122" s="294" t="s">
        <v>1041</v>
      </c>
      <c r="B122" s="94" t="s">
        <v>13</v>
      </c>
      <c r="C122" s="295">
        <v>35360</v>
      </c>
      <c r="D122" s="295" t="s">
        <v>1139</v>
      </c>
      <c r="E122" s="329">
        <v>22</v>
      </c>
      <c r="F122" s="187"/>
    </row>
    <row r="123" spans="1:6">
      <c r="A123" s="294" t="s">
        <v>1081</v>
      </c>
      <c r="B123" s="94" t="s">
        <v>13</v>
      </c>
      <c r="C123" s="295">
        <v>34724</v>
      </c>
      <c r="D123" s="295"/>
      <c r="E123" s="94"/>
      <c r="F123" s="187"/>
    </row>
    <row r="124" spans="1:6">
      <c r="A124" s="294" t="s">
        <v>880</v>
      </c>
      <c r="B124" s="94" t="s">
        <v>13</v>
      </c>
      <c r="C124" s="295">
        <v>38747</v>
      </c>
      <c r="D124" s="295"/>
      <c r="E124" s="94"/>
      <c r="F124" s="187"/>
    </row>
    <row r="125" spans="1:6">
      <c r="A125" s="328" t="s">
        <v>706</v>
      </c>
      <c r="B125" s="266" t="s">
        <v>13</v>
      </c>
      <c r="C125" s="295">
        <v>35154</v>
      </c>
      <c r="D125" s="295"/>
      <c r="E125" s="266"/>
    </row>
    <row r="126" spans="1:6" ht="16.5">
      <c r="A126" s="346" t="s">
        <v>1159</v>
      </c>
      <c r="B126" s="357" t="s">
        <v>37</v>
      </c>
      <c r="C126" s="357">
        <v>32004</v>
      </c>
      <c r="D126" s="295" t="s">
        <v>1157</v>
      </c>
      <c r="E126" s="266">
        <v>15</v>
      </c>
    </row>
    <row r="127" spans="1:6">
      <c r="A127" s="266" t="s">
        <v>1135</v>
      </c>
      <c r="B127" s="266" t="s">
        <v>13</v>
      </c>
      <c r="C127" s="286">
        <v>37069</v>
      </c>
      <c r="D127" s="295"/>
      <c r="E127" s="266"/>
    </row>
    <row r="128" spans="1:6">
      <c r="A128" s="348" t="s">
        <v>1138</v>
      </c>
      <c r="B128" s="348" t="s">
        <v>13</v>
      </c>
      <c r="C128" s="349">
        <v>38647</v>
      </c>
      <c r="D128" s="350" t="s">
        <v>1139</v>
      </c>
      <c r="E128" s="351">
        <v>22</v>
      </c>
    </row>
    <row r="129" spans="1:5">
      <c r="A129" s="150" t="s">
        <v>1137</v>
      </c>
      <c r="B129" s="319" t="s">
        <v>13</v>
      </c>
      <c r="C129" s="352">
        <v>33125</v>
      </c>
      <c r="D129" s="353"/>
      <c r="E129" s="319"/>
    </row>
    <row r="130" spans="1:5">
      <c r="A130" s="356" t="s">
        <v>872</v>
      </c>
      <c r="B130" s="348" t="s">
        <v>13</v>
      </c>
      <c r="C130" s="350">
        <v>36457</v>
      </c>
      <c r="D130" s="350" t="s">
        <v>1139</v>
      </c>
      <c r="E130" s="351">
        <v>24</v>
      </c>
    </row>
    <row r="131" spans="1:5">
      <c r="A131" s="354" t="s">
        <v>1153</v>
      </c>
      <c r="B131" s="319" t="s">
        <v>13</v>
      </c>
      <c r="C131" s="355">
        <v>36276</v>
      </c>
      <c r="D131" s="319" t="s">
        <v>1156</v>
      </c>
      <c r="E131" s="319">
        <v>26</v>
      </c>
    </row>
    <row r="132" spans="1:5">
      <c r="A132" s="354" t="s">
        <v>1154</v>
      </c>
      <c r="B132" s="319" t="s">
        <v>13</v>
      </c>
      <c r="C132" s="355">
        <v>34208</v>
      </c>
      <c r="D132" s="319" t="s">
        <v>1157</v>
      </c>
      <c r="E132" s="319">
        <v>27</v>
      </c>
    </row>
    <row r="133" spans="1:5">
      <c r="A133" s="150" t="s">
        <v>1155</v>
      </c>
      <c r="B133" s="319" t="s">
        <v>13</v>
      </c>
      <c r="C133" s="355">
        <v>38605</v>
      </c>
      <c r="D133" s="319" t="s">
        <v>1158</v>
      </c>
      <c r="E133" s="319">
        <v>10</v>
      </c>
    </row>
    <row r="134" spans="1:5" ht="16.5">
      <c r="A134" s="346" t="s">
        <v>1159</v>
      </c>
      <c r="B134" s="357" t="s">
        <v>37</v>
      </c>
      <c r="C134" s="357">
        <v>32004</v>
      </c>
      <c r="D134" s="319" t="s">
        <v>1157</v>
      </c>
      <c r="E134" s="319">
        <v>15</v>
      </c>
    </row>
    <row r="140" spans="1:5">
      <c r="C140" s="1"/>
      <c r="D140" s="1"/>
      <c r="E140" s="1"/>
    </row>
  </sheetData>
  <autoFilter ref="A4:E134" xr:uid="{00000000-0001-0000-0600-000000000000}">
    <sortState xmlns:xlrd2="http://schemas.microsoft.com/office/spreadsheetml/2017/richdata2" ref="A35:E129">
      <sortCondition ref="E4:E129"/>
    </sortState>
  </autoFilter>
  <pageMargins left="0.70078740157480324" right="0.70078740157480324" top="0.75196850393700787" bottom="0.75196850393700787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3BE49-F480-4E10-A246-DF5E3BEE6F36}">
  <sheetPr filterMode="1"/>
  <dimension ref="A1:F126"/>
  <sheetViews>
    <sheetView zoomScale="130" zoomScaleNormal="130" workbookViewId="0">
      <selection activeCell="C145" sqref="C145"/>
    </sheetView>
  </sheetViews>
  <sheetFormatPr defaultColWidth="9.85546875" defaultRowHeight="16.5" customHeight="1"/>
  <cols>
    <col min="1" max="1" width="44.140625" style="179" bestFit="1" customWidth="1"/>
    <col min="2" max="2" width="51.140625" style="179" bestFit="1" customWidth="1"/>
    <col min="3" max="3" width="20.85546875" style="184" bestFit="1" customWidth="1"/>
    <col min="4" max="4" width="9.85546875" style="184"/>
    <col min="5" max="5" width="44.42578125" style="179" bestFit="1" customWidth="1"/>
    <col min="6" max="16384" width="9.85546875" style="179"/>
  </cols>
  <sheetData>
    <row r="1" spans="1:5" ht="16.5" customHeight="1">
      <c r="A1" s="182" t="s">
        <v>882</v>
      </c>
      <c r="B1" s="182" t="s">
        <v>883</v>
      </c>
      <c r="C1" s="183" t="s">
        <v>884</v>
      </c>
      <c r="D1" s="183" t="s">
        <v>887</v>
      </c>
      <c r="E1" s="181" t="s">
        <v>885</v>
      </c>
    </row>
    <row r="2" spans="1:5" customFormat="1" ht="15" hidden="1">
      <c r="A2" s="231" t="s">
        <v>715</v>
      </c>
      <c r="B2" s="232" t="s">
        <v>775</v>
      </c>
      <c r="C2" s="233">
        <v>46162</v>
      </c>
      <c r="D2" s="204" t="str">
        <f t="shared" ref="D2:D59" ca="1" si="0">IF(C2="","",YEAR(TODAY())-YEAR(C2)-(DATE(YEAR(TODAY()),MONTH(C2),DAY(C2))&gt;TODAY())&amp;" ano"&amp;IF(YEAR(TODAY())-YEAR(C2)-(DATE(YEAR(TODAY()),MONTH(C2),DAY(C2))&gt;TODAY())&lt;&gt;1,"s",""))</f>
        <v>0 anos</v>
      </c>
      <c r="E2" s="234" t="s">
        <v>776</v>
      </c>
    </row>
    <row r="3" spans="1:5" ht="16.5" hidden="1" customHeight="1">
      <c r="A3" s="231" t="s">
        <v>870</v>
      </c>
      <c r="B3" s="232" t="s">
        <v>871</v>
      </c>
      <c r="C3" s="233">
        <v>45502</v>
      </c>
      <c r="D3" s="204" t="str">
        <f t="shared" ca="1" si="0"/>
        <v>2 anos</v>
      </c>
      <c r="E3" s="234" t="s">
        <v>800</v>
      </c>
    </row>
    <row r="4" spans="1:5" customFormat="1" ht="15" hidden="1">
      <c r="A4" s="231" t="s">
        <v>779</v>
      </c>
      <c r="B4" s="232" t="s">
        <v>775</v>
      </c>
      <c r="C4" s="233">
        <v>46189</v>
      </c>
      <c r="D4" s="204" t="str">
        <f t="shared" ca="1" si="0"/>
        <v>0 anos</v>
      </c>
      <c r="E4" s="234" t="s">
        <v>776</v>
      </c>
    </row>
    <row r="5" spans="1:5" customFormat="1" ht="15" hidden="1">
      <c r="A5" s="231" t="s">
        <v>740</v>
      </c>
      <c r="B5" s="232" t="s">
        <v>780</v>
      </c>
      <c r="C5" s="233">
        <v>46185</v>
      </c>
      <c r="D5" s="204" t="str">
        <f t="shared" ca="1" si="0"/>
        <v>0 anos</v>
      </c>
      <c r="E5" s="234" t="s">
        <v>781</v>
      </c>
    </row>
    <row r="6" spans="1:5" customFormat="1" ht="15" hidden="1">
      <c r="A6" s="231" t="s">
        <v>649</v>
      </c>
      <c r="B6" s="232" t="s">
        <v>782</v>
      </c>
      <c r="C6" s="233">
        <v>46097</v>
      </c>
      <c r="D6" s="204" t="str">
        <f t="shared" ca="1" si="0"/>
        <v>0 anos</v>
      </c>
      <c r="E6" s="234" t="s">
        <v>776</v>
      </c>
    </row>
    <row r="7" spans="1:5" customFormat="1" ht="15" hidden="1">
      <c r="A7" s="231" t="s">
        <v>783</v>
      </c>
      <c r="B7" s="232" t="s">
        <v>777</v>
      </c>
      <c r="C7" s="233">
        <v>46141</v>
      </c>
      <c r="D7" s="204" t="str">
        <f t="shared" ca="1" si="0"/>
        <v>0 anos</v>
      </c>
      <c r="E7" s="234" t="s">
        <v>778</v>
      </c>
    </row>
    <row r="8" spans="1:5" customFormat="1" ht="15" hidden="1">
      <c r="A8" s="231" t="s">
        <v>650</v>
      </c>
      <c r="B8" s="232" t="s">
        <v>784</v>
      </c>
      <c r="C8" s="233">
        <v>44994</v>
      </c>
      <c r="D8" s="204" t="str">
        <f t="shared" ca="1" si="0"/>
        <v>3 anos</v>
      </c>
      <c r="E8" s="234" t="s">
        <v>785</v>
      </c>
    </row>
    <row r="9" spans="1:5" customFormat="1" ht="15" hidden="1">
      <c r="A9" s="231" t="s">
        <v>786</v>
      </c>
      <c r="B9" s="232" t="s">
        <v>787</v>
      </c>
      <c r="C9" s="233">
        <v>44985</v>
      </c>
      <c r="D9" s="204" t="str">
        <f t="shared" ca="1" si="0"/>
        <v>3 anos</v>
      </c>
      <c r="E9" s="234" t="s">
        <v>785</v>
      </c>
    </row>
    <row r="10" spans="1:5" customFormat="1" ht="15" hidden="1">
      <c r="A10" s="231" t="s">
        <v>788</v>
      </c>
      <c r="B10" s="232" t="s">
        <v>787</v>
      </c>
      <c r="C10" s="233">
        <v>45609</v>
      </c>
      <c r="D10" s="204" t="str">
        <f t="shared" ca="1" si="0"/>
        <v>1 ano</v>
      </c>
      <c r="E10" s="234" t="s">
        <v>785</v>
      </c>
    </row>
    <row r="11" spans="1:5" customFormat="1" ht="15" hidden="1">
      <c r="A11" s="231" t="s">
        <v>651</v>
      </c>
      <c r="B11" s="232" t="s">
        <v>789</v>
      </c>
      <c r="C11" s="233">
        <v>44601</v>
      </c>
      <c r="D11" s="204" t="str">
        <f t="shared" ca="1" si="0"/>
        <v>4 anos</v>
      </c>
      <c r="E11" s="234" t="s">
        <v>781</v>
      </c>
    </row>
    <row r="12" spans="1:5" customFormat="1" ht="15" hidden="1">
      <c r="A12" s="231" t="s">
        <v>791</v>
      </c>
      <c r="B12" s="232" t="s">
        <v>792</v>
      </c>
      <c r="C12" s="233">
        <v>44732</v>
      </c>
      <c r="D12" s="204" t="str">
        <f t="shared" ca="1" si="0"/>
        <v>4 anos</v>
      </c>
      <c r="E12" s="234" t="s">
        <v>781</v>
      </c>
    </row>
    <row r="13" spans="1:5" customFormat="1" ht="15" hidden="1">
      <c r="A13" s="231" t="s">
        <v>702</v>
      </c>
      <c r="B13" s="232" t="s">
        <v>793</v>
      </c>
      <c r="C13" s="233">
        <v>45628</v>
      </c>
      <c r="D13" s="204" t="str">
        <f t="shared" ca="1" si="0"/>
        <v>1 ano</v>
      </c>
      <c r="E13" s="234" t="s">
        <v>794</v>
      </c>
    </row>
    <row r="14" spans="1:5" customFormat="1" ht="15" hidden="1">
      <c r="A14" s="231" t="s">
        <v>707</v>
      </c>
      <c r="B14" s="232" t="s">
        <v>777</v>
      </c>
      <c r="C14" s="233">
        <v>46141</v>
      </c>
      <c r="D14" s="204" t="str">
        <f t="shared" ca="1" si="0"/>
        <v>0 anos</v>
      </c>
      <c r="E14" s="234" t="s">
        <v>778</v>
      </c>
    </row>
    <row r="15" spans="1:5" customFormat="1" ht="15" hidden="1">
      <c r="A15" s="231" t="s">
        <v>795</v>
      </c>
      <c r="B15" s="232" t="s">
        <v>796</v>
      </c>
      <c r="C15" s="233">
        <v>46203</v>
      </c>
      <c r="D15" s="204" t="str">
        <f t="shared" ca="1" si="0"/>
        <v>0 anos</v>
      </c>
      <c r="E15" s="234" t="s">
        <v>794</v>
      </c>
    </row>
    <row r="16" spans="1:5" customFormat="1" ht="15" hidden="1">
      <c r="A16" s="231" t="s">
        <v>797</v>
      </c>
      <c r="B16" s="232" t="s">
        <v>798</v>
      </c>
      <c r="C16" s="233">
        <v>46148</v>
      </c>
      <c r="D16" s="204" t="str">
        <f t="shared" ca="1" si="0"/>
        <v>0 anos</v>
      </c>
      <c r="E16" s="234" t="s">
        <v>790</v>
      </c>
    </row>
    <row r="17" spans="1:5" customFormat="1" ht="15" hidden="1">
      <c r="A17" s="231" t="s">
        <v>801</v>
      </c>
      <c r="B17" s="232" t="s">
        <v>802</v>
      </c>
      <c r="C17" s="233">
        <v>46127</v>
      </c>
      <c r="D17" s="204" t="str">
        <f t="shared" ca="1" si="0"/>
        <v>0 anos</v>
      </c>
      <c r="E17" s="234" t="s">
        <v>790</v>
      </c>
    </row>
    <row r="18" spans="1:5" customFormat="1" ht="15" hidden="1">
      <c r="A18" s="231" t="s">
        <v>652</v>
      </c>
      <c r="B18" s="232" t="s">
        <v>803</v>
      </c>
      <c r="C18" s="233">
        <v>45694</v>
      </c>
      <c r="D18" s="204" t="str">
        <f t="shared" ca="1" si="0"/>
        <v>1 ano</v>
      </c>
      <c r="E18" s="234" t="s">
        <v>804</v>
      </c>
    </row>
    <row r="19" spans="1:5" ht="16.5" hidden="1" customHeight="1">
      <c r="A19" s="231" t="s">
        <v>704</v>
      </c>
      <c r="B19" s="232" t="s">
        <v>777</v>
      </c>
      <c r="C19" s="233">
        <v>45841</v>
      </c>
      <c r="D19" s="204" t="str">
        <f t="shared" ca="1" si="0"/>
        <v>1 ano</v>
      </c>
      <c r="E19" s="234" t="s">
        <v>778</v>
      </c>
    </row>
    <row r="20" spans="1:5" customFormat="1" ht="15" hidden="1">
      <c r="A20" s="231" t="s">
        <v>653</v>
      </c>
      <c r="B20" s="232" t="s">
        <v>807</v>
      </c>
      <c r="C20" s="233">
        <v>45751</v>
      </c>
      <c r="D20" s="204" t="str">
        <f t="shared" ca="1" si="0"/>
        <v>1 ano</v>
      </c>
      <c r="E20" s="234" t="s">
        <v>804</v>
      </c>
    </row>
    <row r="21" spans="1:5" customFormat="1" ht="15" hidden="1">
      <c r="A21" s="231" t="s">
        <v>654</v>
      </c>
      <c r="B21" s="232" t="s">
        <v>808</v>
      </c>
      <c r="C21" s="233">
        <v>45013</v>
      </c>
      <c r="D21" s="204" t="str">
        <f t="shared" ca="1" si="0"/>
        <v>3 anos</v>
      </c>
      <c r="E21" s="234" t="s">
        <v>800</v>
      </c>
    </row>
    <row r="22" spans="1:5" customFormat="1" ht="13.5" hidden="1" customHeight="1">
      <c r="A22" s="248" t="s">
        <v>655</v>
      </c>
      <c r="B22" s="249" t="s">
        <v>809</v>
      </c>
      <c r="C22" s="233">
        <v>45538</v>
      </c>
      <c r="D22" s="204" t="str">
        <f t="shared" ca="1" si="0"/>
        <v>2 anos</v>
      </c>
      <c r="E22" s="250" t="s">
        <v>800</v>
      </c>
    </row>
    <row r="23" spans="1:5" customFormat="1" ht="15" hidden="1">
      <c r="A23" s="231" t="s">
        <v>656</v>
      </c>
      <c r="B23" s="232" t="s">
        <v>782</v>
      </c>
      <c r="C23" s="233">
        <v>46097</v>
      </c>
      <c r="D23" s="204" t="str">
        <f t="shared" ca="1" si="0"/>
        <v>0 anos</v>
      </c>
      <c r="E23" s="234" t="s">
        <v>776</v>
      </c>
    </row>
    <row r="24" spans="1:5" customFormat="1" ht="15" hidden="1">
      <c r="A24" s="231" t="s">
        <v>811</v>
      </c>
      <c r="B24" s="232" t="s">
        <v>812</v>
      </c>
      <c r="C24" s="233">
        <v>45817</v>
      </c>
      <c r="D24" s="204" t="str">
        <f t="shared" ca="1" si="0"/>
        <v>1 ano</v>
      </c>
      <c r="E24" s="234" t="s">
        <v>790</v>
      </c>
    </row>
    <row r="25" spans="1:5" customFormat="1" ht="15" hidden="1">
      <c r="A25" s="231" t="s">
        <v>813</v>
      </c>
      <c r="B25" s="232" t="s">
        <v>814</v>
      </c>
      <c r="C25" s="233">
        <v>46162</v>
      </c>
      <c r="D25" s="204" t="str">
        <f t="shared" ca="1" si="0"/>
        <v>0 anos</v>
      </c>
      <c r="E25" s="234" t="s">
        <v>800</v>
      </c>
    </row>
    <row r="26" spans="1:5" customFormat="1" ht="15" hidden="1">
      <c r="A26" s="231" t="s">
        <v>658</v>
      </c>
      <c r="B26" s="232" t="s">
        <v>792</v>
      </c>
      <c r="C26" s="233">
        <v>46135</v>
      </c>
      <c r="D26" s="204" t="str">
        <f t="shared" ca="1" si="0"/>
        <v>0 anos</v>
      </c>
      <c r="E26" s="234" t="s">
        <v>806</v>
      </c>
    </row>
    <row r="27" spans="1:5" customFormat="1" ht="18.75" hidden="1" customHeight="1">
      <c r="A27" s="231" t="s">
        <v>815</v>
      </c>
      <c r="B27" s="232" t="s">
        <v>816</v>
      </c>
      <c r="C27" s="233">
        <v>46042</v>
      </c>
      <c r="D27" s="204" t="str">
        <f t="shared" ca="1" si="0"/>
        <v>0 anos</v>
      </c>
      <c r="E27" s="234" t="s">
        <v>817</v>
      </c>
    </row>
    <row r="28" spans="1:5" customFormat="1" ht="15" hidden="1">
      <c r="A28" s="231" t="s">
        <v>659</v>
      </c>
      <c r="B28" s="232" t="s">
        <v>798</v>
      </c>
      <c r="C28" s="233">
        <v>45951</v>
      </c>
      <c r="D28" s="204" t="str">
        <f t="shared" ca="1" si="0"/>
        <v>0 anos</v>
      </c>
      <c r="E28" s="234" t="s">
        <v>790</v>
      </c>
    </row>
    <row r="29" spans="1:5" customFormat="1" ht="15" hidden="1">
      <c r="A29" s="231" t="s">
        <v>660</v>
      </c>
      <c r="B29" s="232" t="s">
        <v>777</v>
      </c>
      <c r="C29" s="233">
        <v>46120</v>
      </c>
      <c r="D29" s="204" t="str">
        <f t="shared" ca="1" si="0"/>
        <v>0 anos</v>
      </c>
      <c r="E29" s="234" t="s">
        <v>778</v>
      </c>
    </row>
    <row r="30" spans="1:5" customFormat="1" ht="15" hidden="1">
      <c r="A30" s="231" t="s">
        <v>818</v>
      </c>
      <c r="B30" s="232" t="s">
        <v>819</v>
      </c>
      <c r="C30" s="233">
        <v>45824</v>
      </c>
      <c r="D30" s="204" t="str">
        <f t="shared" ca="1" si="0"/>
        <v>1 ano</v>
      </c>
      <c r="E30" s="234" t="s">
        <v>817</v>
      </c>
    </row>
    <row r="31" spans="1:5" customFormat="1" ht="15" hidden="1">
      <c r="A31" s="231" t="s">
        <v>661</v>
      </c>
      <c r="B31" s="232" t="s">
        <v>820</v>
      </c>
      <c r="C31" s="233">
        <v>46065</v>
      </c>
      <c r="D31" s="204" t="str">
        <f t="shared" ca="1" si="0"/>
        <v>0 anos</v>
      </c>
      <c r="E31" s="234" t="s">
        <v>810</v>
      </c>
    </row>
    <row r="32" spans="1:5" customFormat="1" ht="15" hidden="1">
      <c r="A32" s="231" t="s">
        <v>662</v>
      </c>
      <c r="B32" s="232" t="s">
        <v>821</v>
      </c>
      <c r="C32" s="233">
        <v>46048</v>
      </c>
      <c r="D32" s="204" t="str">
        <f t="shared" ca="1" si="0"/>
        <v>0 anos</v>
      </c>
      <c r="E32" s="234" t="s">
        <v>817</v>
      </c>
    </row>
    <row r="33" spans="1:5" customFormat="1" ht="15" hidden="1">
      <c r="A33" s="231" t="s">
        <v>664</v>
      </c>
      <c r="B33" s="232" t="s">
        <v>799</v>
      </c>
      <c r="C33" s="233">
        <v>46129</v>
      </c>
      <c r="D33" s="204" t="str">
        <f t="shared" ca="1" si="0"/>
        <v>0 anos</v>
      </c>
      <c r="E33" s="234" t="s">
        <v>800</v>
      </c>
    </row>
    <row r="34" spans="1:5" customFormat="1" ht="15" hidden="1">
      <c r="A34" s="248" t="s">
        <v>665</v>
      </c>
      <c r="B34" s="249" t="s">
        <v>822</v>
      </c>
      <c r="C34" s="233">
        <v>45530</v>
      </c>
      <c r="D34" s="204" t="str">
        <f t="shared" ca="1" si="0"/>
        <v>2 anos</v>
      </c>
      <c r="E34" s="250" t="s">
        <v>776</v>
      </c>
    </row>
    <row r="35" spans="1:5" customFormat="1" ht="15" hidden="1">
      <c r="A35" s="231" t="s">
        <v>666</v>
      </c>
      <c r="B35" s="232" t="s">
        <v>823</v>
      </c>
      <c r="C35" s="233">
        <v>44659</v>
      </c>
      <c r="D35" s="204" t="str">
        <f t="shared" ca="1" si="0"/>
        <v>4 anos</v>
      </c>
      <c r="E35" s="234" t="s">
        <v>794</v>
      </c>
    </row>
    <row r="36" spans="1:5" customFormat="1" ht="15" hidden="1">
      <c r="A36" s="231" t="s">
        <v>667</v>
      </c>
      <c r="B36" s="232" t="s">
        <v>824</v>
      </c>
      <c r="C36" s="233">
        <v>45049</v>
      </c>
      <c r="D36" s="204" t="str">
        <f t="shared" ca="1" si="0"/>
        <v>3 anos</v>
      </c>
      <c r="E36" s="234" t="s">
        <v>776</v>
      </c>
    </row>
    <row r="37" spans="1:5" customFormat="1" ht="15" hidden="1">
      <c r="A37" s="248" t="s">
        <v>668</v>
      </c>
      <c r="B37" s="249" t="s">
        <v>803</v>
      </c>
      <c r="C37" s="233">
        <v>45901</v>
      </c>
      <c r="D37" s="204" t="str">
        <f t="shared" ca="1" si="0"/>
        <v>1 ano</v>
      </c>
      <c r="E37" s="250" t="s">
        <v>804</v>
      </c>
    </row>
    <row r="38" spans="1:5" customFormat="1" ht="15" hidden="1">
      <c r="A38" s="231" t="s">
        <v>669</v>
      </c>
      <c r="B38" s="232" t="s">
        <v>825</v>
      </c>
      <c r="C38" s="233">
        <v>44736</v>
      </c>
      <c r="D38" s="204" t="str">
        <f t="shared" ca="1" si="0"/>
        <v>4 anos</v>
      </c>
      <c r="E38" s="234" t="s">
        <v>800</v>
      </c>
    </row>
    <row r="39" spans="1:5" customFormat="1" ht="15" hidden="1">
      <c r="A39" s="231" t="s">
        <v>826</v>
      </c>
      <c r="B39" s="232" t="s">
        <v>827</v>
      </c>
      <c r="C39" s="233">
        <v>45754</v>
      </c>
      <c r="D39" s="204" t="str">
        <f t="shared" ca="1" si="0"/>
        <v>1 ano</v>
      </c>
      <c r="E39" s="234" t="s">
        <v>540</v>
      </c>
    </row>
    <row r="40" spans="1:5" customFormat="1" ht="15" hidden="1">
      <c r="A40" s="231" t="s">
        <v>671</v>
      </c>
      <c r="B40" s="232" t="s">
        <v>828</v>
      </c>
      <c r="C40" s="233">
        <v>46099</v>
      </c>
      <c r="D40" s="204" t="str">
        <f t="shared" ca="1" si="0"/>
        <v>0 anos</v>
      </c>
      <c r="E40" s="234" t="s">
        <v>794</v>
      </c>
    </row>
    <row r="41" spans="1:5" customFormat="1" ht="15" hidden="1">
      <c r="A41" s="231" t="s">
        <v>829</v>
      </c>
      <c r="B41" s="232" t="s">
        <v>830</v>
      </c>
      <c r="C41" s="233">
        <v>46188</v>
      </c>
      <c r="D41" s="204" t="str">
        <f t="shared" ca="1" si="0"/>
        <v>0 anos</v>
      </c>
      <c r="E41" s="234" t="s">
        <v>817</v>
      </c>
    </row>
    <row r="42" spans="1:5" customFormat="1" ht="15" hidden="1">
      <c r="A42" s="231" t="s">
        <v>831</v>
      </c>
      <c r="B42" s="232" t="s">
        <v>782</v>
      </c>
      <c r="C42" s="233">
        <v>46169</v>
      </c>
      <c r="D42" s="204" t="str">
        <f t="shared" ca="1" si="0"/>
        <v>0 anos</v>
      </c>
      <c r="E42" s="234" t="s">
        <v>776</v>
      </c>
    </row>
    <row r="43" spans="1:5" customFormat="1" ht="15" hidden="1">
      <c r="A43" s="231" t="s">
        <v>832</v>
      </c>
      <c r="B43" s="232" t="s">
        <v>833</v>
      </c>
      <c r="C43" s="233">
        <v>46044</v>
      </c>
      <c r="D43" s="204" t="str">
        <f t="shared" ca="1" si="0"/>
        <v>0 anos</v>
      </c>
      <c r="E43" s="234" t="s">
        <v>810</v>
      </c>
    </row>
    <row r="44" spans="1:5" customFormat="1" ht="15" hidden="1">
      <c r="A44" s="248" t="s">
        <v>834</v>
      </c>
      <c r="B44" s="249" t="s">
        <v>835</v>
      </c>
      <c r="C44" s="233">
        <v>45530</v>
      </c>
      <c r="D44" s="204" t="str">
        <f t="shared" ca="1" si="0"/>
        <v>2 anos</v>
      </c>
      <c r="E44" s="250" t="s">
        <v>800</v>
      </c>
    </row>
    <row r="45" spans="1:5" customFormat="1" ht="15" hidden="1">
      <c r="A45" s="231" t="s">
        <v>672</v>
      </c>
      <c r="B45" s="232" t="s">
        <v>782</v>
      </c>
      <c r="C45" s="233">
        <v>45273</v>
      </c>
      <c r="D45" s="204" t="str">
        <f t="shared" ca="1" si="0"/>
        <v>2 anos</v>
      </c>
      <c r="E45" s="234" t="s">
        <v>776</v>
      </c>
    </row>
    <row r="46" spans="1:5" customFormat="1" ht="15" hidden="1">
      <c r="A46" s="231" t="s">
        <v>673</v>
      </c>
      <c r="B46" s="232" t="s">
        <v>777</v>
      </c>
      <c r="C46" s="233">
        <v>46120</v>
      </c>
      <c r="D46" s="204" t="str">
        <f t="shared" ca="1" si="0"/>
        <v>0 anos</v>
      </c>
      <c r="E46" s="234" t="s">
        <v>778</v>
      </c>
    </row>
    <row r="47" spans="1:5" customFormat="1" ht="15" hidden="1">
      <c r="A47" s="231" t="s">
        <v>674</v>
      </c>
      <c r="B47" s="232" t="s">
        <v>836</v>
      </c>
      <c r="C47" s="233">
        <v>44634</v>
      </c>
      <c r="D47" s="204" t="str">
        <f t="shared" ca="1" si="0"/>
        <v>4 anos</v>
      </c>
      <c r="E47" s="234" t="s">
        <v>804</v>
      </c>
    </row>
    <row r="48" spans="1:5" customFormat="1" ht="15" hidden="1">
      <c r="A48" s="231" t="s">
        <v>714</v>
      </c>
      <c r="B48" s="232" t="s">
        <v>777</v>
      </c>
      <c r="C48" s="233">
        <v>46155</v>
      </c>
      <c r="D48" s="204" t="str">
        <f t="shared" ca="1" si="0"/>
        <v>0 anos</v>
      </c>
      <c r="E48" s="234" t="s">
        <v>837</v>
      </c>
    </row>
    <row r="49" spans="1:5" customFormat="1" ht="15" hidden="1">
      <c r="A49" s="231" t="s">
        <v>838</v>
      </c>
      <c r="B49" s="232" t="s">
        <v>816</v>
      </c>
      <c r="C49" s="233">
        <v>45817</v>
      </c>
      <c r="D49" s="204" t="str">
        <f t="shared" ca="1" si="0"/>
        <v>1 ano</v>
      </c>
      <c r="E49" s="234" t="s">
        <v>817</v>
      </c>
    </row>
    <row r="50" spans="1:5" customFormat="1" ht="15" hidden="1">
      <c r="A50" s="231" t="s">
        <v>839</v>
      </c>
      <c r="B50" s="232" t="s">
        <v>777</v>
      </c>
      <c r="C50" s="233">
        <v>46141</v>
      </c>
      <c r="D50" s="204" t="str">
        <f t="shared" ca="1" si="0"/>
        <v>0 anos</v>
      </c>
      <c r="E50" s="234" t="s">
        <v>778</v>
      </c>
    </row>
    <row r="51" spans="1:5" customFormat="1" ht="15" hidden="1">
      <c r="A51" s="231" t="s">
        <v>677</v>
      </c>
      <c r="B51" s="232" t="s">
        <v>803</v>
      </c>
      <c r="C51" s="233">
        <v>45751</v>
      </c>
      <c r="D51" s="204" t="str">
        <f t="shared" ca="1" si="0"/>
        <v>1 ano</v>
      </c>
      <c r="E51" s="234" t="s">
        <v>804</v>
      </c>
    </row>
    <row r="52" spans="1:5" customFormat="1" ht="15" hidden="1">
      <c r="A52" s="231" t="s">
        <v>741</v>
      </c>
      <c r="B52" s="232" t="s">
        <v>840</v>
      </c>
      <c r="C52" s="233">
        <v>46189</v>
      </c>
      <c r="D52" s="204" t="str">
        <f t="shared" ca="1" si="0"/>
        <v>0 anos</v>
      </c>
      <c r="E52" s="234" t="s">
        <v>540</v>
      </c>
    </row>
    <row r="53" spans="1:5" customFormat="1" ht="15" hidden="1">
      <c r="A53" s="231" t="s">
        <v>678</v>
      </c>
      <c r="B53" s="232" t="s">
        <v>816</v>
      </c>
      <c r="C53" s="233">
        <v>45684</v>
      </c>
      <c r="D53" s="204" t="str">
        <f t="shared" ca="1" si="0"/>
        <v>1 ano</v>
      </c>
      <c r="E53" s="234" t="s">
        <v>817</v>
      </c>
    </row>
    <row r="54" spans="1:5" customFormat="1" ht="15" hidden="1">
      <c r="A54" s="231" t="s">
        <v>841</v>
      </c>
      <c r="B54" s="232" t="s">
        <v>799</v>
      </c>
      <c r="C54" s="233">
        <v>46139</v>
      </c>
      <c r="D54" s="204" t="str">
        <f t="shared" ca="1" si="0"/>
        <v>0 anos</v>
      </c>
      <c r="E54" s="234" t="s">
        <v>806</v>
      </c>
    </row>
    <row r="55" spans="1:5" customFormat="1" ht="15" hidden="1">
      <c r="A55" s="231" t="s">
        <v>679</v>
      </c>
      <c r="B55" s="232" t="s">
        <v>842</v>
      </c>
      <c r="C55" s="233">
        <v>45617</v>
      </c>
      <c r="D55" s="204" t="str">
        <f t="shared" ca="1" si="0"/>
        <v>1 ano</v>
      </c>
      <c r="E55" s="234" t="s">
        <v>778</v>
      </c>
    </row>
    <row r="56" spans="1:5" customFormat="1" ht="15" hidden="1">
      <c r="A56" s="231" t="s">
        <v>681</v>
      </c>
      <c r="B56" s="232" t="s">
        <v>843</v>
      </c>
      <c r="C56" s="233">
        <v>45615</v>
      </c>
      <c r="D56" s="204" t="str">
        <f t="shared" ca="1" si="0"/>
        <v>1 ano</v>
      </c>
      <c r="E56" s="234" t="s">
        <v>778</v>
      </c>
    </row>
    <row r="57" spans="1:5" customFormat="1" ht="15" hidden="1">
      <c r="A57" s="231" t="s">
        <v>682</v>
      </c>
      <c r="B57" s="232" t="s">
        <v>844</v>
      </c>
      <c r="C57" s="233">
        <v>46065</v>
      </c>
      <c r="D57" s="204" t="str">
        <f t="shared" ca="1" si="0"/>
        <v>0 anos</v>
      </c>
      <c r="E57" s="234" t="s">
        <v>806</v>
      </c>
    </row>
    <row r="58" spans="1:5" customFormat="1" ht="15" hidden="1">
      <c r="A58" s="231" t="s">
        <v>683</v>
      </c>
      <c r="B58" s="232" t="s">
        <v>845</v>
      </c>
      <c r="C58" s="233">
        <v>46129</v>
      </c>
      <c r="D58" s="204" t="str">
        <f t="shared" ca="1" si="0"/>
        <v>0 anos</v>
      </c>
      <c r="E58" s="234" t="s">
        <v>800</v>
      </c>
    </row>
    <row r="59" spans="1:5" customFormat="1" ht="15" hidden="1">
      <c r="A59" s="231" t="s">
        <v>684</v>
      </c>
      <c r="B59" s="232" t="s">
        <v>816</v>
      </c>
      <c r="C59" s="233">
        <v>45607</v>
      </c>
      <c r="D59" s="204" t="str">
        <f t="shared" ca="1" si="0"/>
        <v>1 ano</v>
      </c>
      <c r="E59" s="234" t="s">
        <v>817</v>
      </c>
    </row>
    <row r="60" spans="1:5" ht="16.5" hidden="1" customHeight="1">
      <c r="A60" s="231" t="s">
        <v>686</v>
      </c>
      <c r="B60" s="232" t="s">
        <v>821</v>
      </c>
      <c r="C60" s="233">
        <v>45855</v>
      </c>
      <c r="D60" s="204" t="str">
        <f t="shared" ref="D60:D122" ca="1" si="1">IF(C60="","",YEAR(TODAY())-YEAR(C60)-(DATE(YEAR(TODAY()),MONTH(C60),DAY(C60))&gt;TODAY())&amp;" ano"&amp;IF(YEAR(TODAY())-YEAR(C60)-(DATE(YEAR(TODAY()),MONTH(C60),DAY(C60))&gt;TODAY())&lt;&gt;1,"s",""))</f>
        <v>1 ano</v>
      </c>
      <c r="E60" s="234" t="s">
        <v>817</v>
      </c>
    </row>
    <row r="61" spans="1:5" ht="16.5" hidden="1" customHeight="1">
      <c r="A61" s="231" t="s">
        <v>648</v>
      </c>
      <c r="B61" s="232" t="s">
        <v>777</v>
      </c>
      <c r="C61" s="233">
        <v>45866</v>
      </c>
      <c r="D61" s="204" t="str">
        <f t="shared" ca="1" si="1"/>
        <v>1 ano</v>
      </c>
      <c r="E61" s="234" t="s">
        <v>778</v>
      </c>
    </row>
    <row r="62" spans="1:5" customFormat="1" ht="15" hidden="1">
      <c r="A62" s="231" t="s">
        <v>685</v>
      </c>
      <c r="B62" s="232" t="s">
        <v>846</v>
      </c>
      <c r="C62" s="233">
        <v>45063</v>
      </c>
      <c r="D62" s="204" t="str">
        <f t="shared" ca="1" si="1"/>
        <v>3 anos</v>
      </c>
      <c r="E62" s="234" t="s">
        <v>778</v>
      </c>
    </row>
    <row r="63" spans="1:5" ht="16.5" hidden="1" customHeight="1">
      <c r="A63" s="231" t="s">
        <v>861</v>
      </c>
      <c r="B63" s="232" t="s">
        <v>862</v>
      </c>
      <c r="C63" s="233">
        <v>46204</v>
      </c>
      <c r="D63" s="204" t="str">
        <f t="shared" ca="1" si="1"/>
        <v>0 anos</v>
      </c>
      <c r="E63" s="234" t="s">
        <v>810</v>
      </c>
    </row>
    <row r="64" spans="1:5" customFormat="1" ht="15" hidden="1">
      <c r="A64" s="231" t="s">
        <v>849</v>
      </c>
      <c r="B64" s="232" t="s">
        <v>775</v>
      </c>
      <c r="C64" s="233">
        <v>46176</v>
      </c>
      <c r="D64" s="204" t="str">
        <f t="shared" ca="1" si="1"/>
        <v>0 anos</v>
      </c>
      <c r="E64" s="234" t="s">
        <v>776</v>
      </c>
    </row>
    <row r="65" spans="1:5" customFormat="1" ht="15" hidden="1">
      <c r="A65" s="231" t="s">
        <v>850</v>
      </c>
      <c r="B65" s="232" t="s">
        <v>851</v>
      </c>
      <c r="C65" s="233">
        <v>45614</v>
      </c>
      <c r="D65" s="204" t="str">
        <f t="shared" ca="1" si="1"/>
        <v>1 ano</v>
      </c>
      <c r="E65" s="234" t="s">
        <v>781</v>
      </c>
    </row>
    <row r="66" spans="1:5" ht="16.5" hidden="1" customHeight="1">
      <c r="A66" s="231" t="s">
        <v>766</v>
      </c>
      <c r="B66" s="232" t="s">
        <v>805</v>
      </c>
      <c r="C66" s="233">
        <v>46210</v>
      </c>
      <c r="D66" s="204" t="str">
        <f t="shared" ca="1" si="1"/>
        <v>0 anos</v>
      </c>
      <c r="E66" s="234" t="s">
        <v>806</v>
      </c>
    </row>
    <row r="67" spans="1:5" customFormat="1" ht="15" hidden="1">
      <c r="A67" s="231" t="s">
        <v>687</v>
      </c>
      <c r="B67" s="232" t="s">
        <v>852</v>
      </c>
      <c r="C67" s="233">
        <v>45813</v>
      </c>
      <c r="D67" s="204" t="str">
        <f t="shared" ca="1" si="1"/>
        <v>1 ano</v>
      </c>
      <c r="E67" s="234" t="s">
        <v>804</v>
      </c>
    </row>
    <row r="68" spans="1:5" ht="16.5" hidden="1" customHeight="1">
      <c r="A68" s="231" t="s">
        <v>764</v>
      </c>
      <c r="B68" s="232" t="s">
        <v>775</v>
      </c>
      <c r="C68" s="233">
        <v>46210</v>
      </c>
      <c r="D68" s="204" t="str">
        <f t="shared" ca="1" si="1"/>
        <v>0 anos</v>
      </c>
      <c r="E68" s="234" t="s">
        <v>776</v>
      </c>
    </row>
    <row r="69" spans="1:5" customFormat="1" ht="15" hidden="1">
      <c r="A69" s="231" t="s">
        <v>688</v>
      </c>
      <c r="B69" s="232" t="s">
        <v>854</v>
      </c>
      <c r="C69" s="233">
        <v>45953</v>
      </c>
      <c r="D69" s="204" t="str">
        <f t="shared" ca="1" si="1"/>
        <v>0 anos</v>
      </c>
      <c r="E69" s="234" t="s">
        <v>790</v>
      </c>
    </row>
    <row r="70" spans="1:5" customFormat="1" ht="15" hidden="1">
      <c r="A70" s="248" t="s">
        <v>855</v>
      </c>
      <c r="B70" s="249" t="s">
        <v>824</v>
      </c>
      <c r="C70" s="233">
        <v>45877</v>
      </c>
      <c r="D70" s="204" t="str">
        <f t="shared" ca="1" si="1"/>
        <v>1 ano</v>
      </c>
      <c r="E70" s="250" t="s">
        <v>776</v>
      </c>
    </row>
    <row r="71" spans="1:5" customFormat="1" ht="15" hidden="1">
      <c r="A71" s="231" t="s">
        <v>689</v>
      </c>
      <c r="B71" s="232" t="s">
        <v>856</v>
      </c>
      <c r="C71" s="233">
        <v>44323</v>
      </c>
      <c r="D71" s="204" t="str">
        <f t="shared" ca="1" si="1"/>
        <v>5 anos</v>
      </c>
      <c r="E71" s="234" t="s">
        <v>781</v>
      </c>
    </row>
    <row r="72" spans="1:5" customFormat="1" ht="15" hidden="1">
      <c r="A72" s="231" t="s">
        <v>857</v>
      </c>
      <c r="B72" s="232" t="s">
        <v>858</v>
      </c>
      <c r="C72" s="233">
        <v>46188</v>
      </c>
      <c r="D72" s="204" t="str">
        <f t="shared" ca="1" si="1"/>
        <v>0 anos</v>
      </c>
      <c r="E72" s="234" t="s">
        <v>817</v>
      </c>
    </row>
    <row r="73" spans="1:5" customFormat="1" ht="15" hidden="1">
      <c r="A73" s="231" t="s">
        <v>859</v>
      </c>
      <c r="B73" s="232" t="s">
        <v>777</v>
      </c>
      <c r="C73" s="233">
        <v>45973</v>
      </c>
      <c r="D73" s="204" t="str">
        <f t="shared" ca="1" si="1"/>
        <v>0 anos</v>
      </c>
      <c r="E73" s="234" t="s">
        <v>778</v>
      </c>
    </row>
    <row r="74" spans="1:5" customFormat="1" ht="15" hidden="1">
      <c r="A74" s="231" t="s">
        <v>680</v>
      </c>
      <c r="B74" s="232" t="s">
        <v>860</v>
      </c>
      <c r="C74" s="233">
        <v>44974</v>
      </c>
      <c r="D74" s="204" t="str">
        <f t="shared" ca="1" si="1"/>
        <v>3 anos</v>
      </c>
      <c r="E74" s="234" t="s">
        <v>781</v>
      </c>
    </row>
    <row r="75" spans="1:5" customFormat="1" ht="15" hidden="1">
      <c r="A75" s="231" t="s">
        <v>690</v>
      </c>
      <c r="B75" s="232" t="s">
        <v>863</v>
      </c>
      <c r="C75" s="233">
        <v>46129</v>
      </c>
      <c r="D75" s="204" t="str">
        <f t="shared" ca="1" si="1"/>
        <v>0 anos</v>
      </c>
      <c r="E75" s="234" t="s">
        <v>790</v>
      </c>
    </row>
    <row r="76" spans="1:5" customFormat="1" ht="15" hidden="1">
      <c r="A76" s="231" t="s">
        <v>691</v>
      </c>
      <c r="B76" s="232" t="s">
        <v>864</v>
      </c>
      <c r="C76" s="233">
        <v>46034</v>
      </c>
      <c r="D76" s="204" t="str">
        <f t="shared" ca="1" si="1"/>
        <v>0 anos</v>
      </c>
      <c r="E76" s="234" t="s">
        <v>790</v>
      </c>
    </row>
    <row r="77" spans="1:5" customFormat="1" ht="15" hidden="1">
      <c r="A77" s="231" t="s">
        <v>693</v>
      </c>
      <c r="B77" s="232" t="s">
        <v>782</v>
      </c>
      <c r="C77" s="233">
        <v>46097</v>
      </c>
      <c r="D77" s="204" t="str">
        <f t="shared" ca="1" si="1"/>
        <v>0 anos</v>
      </c>
      <c r="E77" s="234" t="s">
        <v>776</v>
      </c>
    </row>
    <row r="78" spans="1:5" customFormat="1" ht="15" hidden="1">
      <c r="A78" s="231" t="s">
        <v>865</v>
      </c>
      <c r="B78" s="232" t="s">
        <v>803</v>
      </c>
      <c r="C78" s="233">
        <v>45944</v>
      </c>
      <c r="D78" s="204" t="str">
        <f t="shared" ca="1" si="1"/>
        <v>0 anos</v>
      </c>
      <c r="E78" s="234" t="s">
        <v>804</v>
      </c>
    </row>
    <row r="79" spans="1:5" customFormat="1" ht="30" hidden="1">
      <c r="A79" s="231" t="s">
        <v>663</v>
      </c>
      <c r="B79" s="232" t="s">
        <v>777</v>
      </c>
      <c r="C79" s="233">
        <v>45671</v>
      </c>
      <c r="D79" s="204" t="str">
        <f t="shared" ca="1" si="1"/>
        <v>1 ano</v>
      </c>
      <c r="E79" s="234" t="s">
        <v>778</v>
      </c>
    </row>
    <row r="80" spans="1:5" customFormat="1" ht="15" hidden="1">
      <c r="A80" s="231" t="s">
        <v>694</v>
      </c>
      <c r="B80" s="232" t="s">
        <v>777</v>
      </c>
      <c r="C80" s="233">
        <v>45790</v>
      </c>
      <c r="D80" s="204" t="str">
        <f t="shared" ca="1" si="1"/>
        <v>1 ano</v>
      </c>
      <c r="E80" s="234" t="s">
        <v>778</v>
      </c>
    </row>
    <row r="81" spans="1:5" customFormat="1" ht="15" hidden="1">
      <c r="A81" s="231" t="s">
        <v>695</v>
      </c>
      <c r="B81" s="232" t="s">
        <v>782</v>
      </c>
      <c r="C81" s="233">
        <v>45979</v>
      </c>
      <c r="D81" s="204" t="str">
        <f t="shared" ca="1" si="1"/>
        <v>0 anos</v>
      </c>
      <c r="E81" s="234" t="s">
        <v>776</v>
      </c>
    </row>
    <row r="82" spans="1:5" customFormat="1" ht="15" hidden="1">
      <c r="A82" s="231" t="s">
        <v>866</v>
      </c>
      <c r="B82" s="232" t="s">
        <v>802</v>
      </c>
      <c r="C82" s="233">
        <v>45944</v>
      </c>
      <c r="D82" s="204" t="str">
        <f t="shared" ca="1" si="1"/>
        <v>0 anos</v>
      </c>
      <c r="E82" s="234" t="s">
        <v>790</v>
      </c>
    </row>
    <row r="83" spans="1:5" customFormat="1" ht="15" hidden="1">
      <c r="A83" s="235" t="s">
        <v>696</v>
      </c>
      <c r="B83" s="232" t="s">
        <v>789</v>
      </c>
      <c r="C83" s="233">
        <v>44158</v>
      </c>
      <c r="D83" s="189" t="str">
        <f t="shared" ca="1" si="1"/>
        <v>5 anos</v>
      </c>
      <c r="E83" s="232" t="s">
        <v>781</v>
      </c>
    </row>
    <row r="84" spans="1:5" customFormat="1" ht="15" hidden="1">
      <c r="A84" s="231" t="s">
        <v>697</v>
      </c>
      <c r="B84" s="232" t="s">
        <v>867</v>
      </c>
      <c r="C84" s="233">
        <v>44531</v>
      </c>
      <c r="D84" s="204" t="str">
        <f t="shared" ca="1" si="1"/>
        <v>4 anos</v>
      </c>
      <c r="E84" s="234" t="s">
        <v>785</v>
      </c>
    </row>
    <row r="85" spans="1:5" customFormat="1" ht="15" hidden="1">
      <c r="A85" s="231" t="s">
        <v>868</v>
      </c>
      <c r="B85" s="232" t="s">
        <v>869</v>
      </c>
      <c r="C85" s="233">
        <v>46162</v>
      </c>
      <c r="D85" s="204" t="str">
        <f t="shared" ca="1" si="1"/>
        <v>0 anos</v>
      </c>
      <c r="E85" s="234" t="s">
        <v>800</v>
      </c>
    </row>
    <row r="86" spans="1:5" ht="16.5" hidden="1" customHeight="1">
      <c r="A86" s="231" t="s">
        <v>847</v>
      </c>
      <c r="B86" s="232" t="s">
        <v>848</v>
      </c>
      <c r="C86" s="233">
        <v>46210</v>
      </c>
      <c r="D86" s="204" t="str">
        <f t="shared" ca="1" si="1"/>
        <v>0 anos</v>
      </c>
      <c r="E86" s="234" t="s">
        <v>810</v>
      </c>
    </row>
    <row r="87" spans="1:5" customFormat="1" ht="15" hidden="1">
      <c r="A87" s="231" t="s">
        <v>698</v>
      </c>
      <c r="B87" s="232" t="s">
        <v>784</v>
      </c>
      <c r="C87" s="233">
        <v>44524</v>
      </c>
      <c r="D87" s="204" t="str">
        <f t="shared" ca="1" si="1"/>
        <v>4 anos</v>
      </c>
      <c r="E87" s="234" t="s">
        <v>785</v>
      </c>
    </row>
    <row r="88" spans="1:5" customFormat="1" ht="15" hidden="1">
      <c r="A88" s="231" t="s">
        <v>699</v>
      </c>
      <c r="B88" s="232" t="s">
        <v>842</v>
      </c>
      <c r="C88" s="233">
        <v>45019</v>
      </c>
      <c r="D88" s="204" t="str">
        <f t="shared" ca="1" si="1"/>
        <v>3 anos</v>
      </c>
      <c r="E88" s="234" t="s">
        <v>778</v>
      </c>
    </row>
    <row r="89" spans="1:5" customFormat="1" ht="15" hidden="1">
      <c r="A89" s="231" t="s">
        <v>872</v>
      </c>
      <c r="B89" s="232" t="s">
        <v>821</v>
      </c>
      <c r="C89" s="233">
        <v>45944</v>
      </c>
      <c r="D89" s="204" t="str">
        <f t="shared" ca="1" si="1"/>
        <v>0 anos</v>
      </c>
      <c r="E89" s="234" t="s">
        <v>817</v>
      </c>
    </row>
    <row r="90" spans="1:5" customFormat="1" ht="15" hidden="1">
      <c r="A90" s="231" t="s">
        <v>700</v>
      </c>
      <c r="B90" s="232" t="s">
        <v>873</v>
      </c>
      <c r="C90" s="233">
        <v>46090</v>
      </c>
      <c r="D90" s="204" t="str">
        <f t="shared" ca="1" si="1"/>
        <v>0 anos</v>
      </c>
      <c r="E90" s="234" t="s">
        <v>810</v>
      </c>
    </row>
    <row r="91" spans="1:5" customFormat="1" ht="15" hidden="1">
      <c r="A91" s="231" t="s">
        <v>874</v>
      </c>
      <c r="B91" s="232" t="s">
        <v>777</v>
      </c>
      <c r="C91" s="233">
        <v>45958</v>
      </c>
      <c r="D91" s="204" t="str">
        <f t="shared" ca="1" si="1"/>
        <v>0 anos</v>
      </c>
      <c r="E91" s="234" t="s">
        <v>778</v>
      </c>
    </row>
    <row r="92" spans="1:5" customFormat="1" ht="15" hidden="1">
      <c r="A92" s="235" t="s">
        <v>875</v>
      </c>
      <c r="B92" s="232" t="s">
        <v>876</v>
      </c>
      <c r="C92" s="233">
        <v>45742</v>
      </c>
      <c r="D92" s="189" t="str">
        <f t="shared" ca="1" si="1"/>
        <v>1 ano</v>
      </c>
      <c r="E92" s="232" t="s">
        <v>804</v>
      </c>
    </row>
    <row r="93" spans="1:5" customFormat="1" ht="15" hidden="1">
      <c r="A93" s="231" t="s">
        <v>657</v>
      </c>
      <c r="B93" s="232" t="s">
        <v>802</v>
      </c>
      <c r="C93" s="233">
        <v>45951</v>
      </c>
      <c r="D93" s="204" t="str">
        <f t="shared" ca="1" si="1"/>
        <v>0 anos</v>
      </c>
      <c r="E93" s="232" t="s">
        <v>790</v>
      </c>
    </row>
    <row r="94" spans="1:5" customFormat="1" ht="15" hidden="1">
      <c r="A94" s="235" t="s">
        <v>877</v>
      </c>
      <c r="B94" s="232" t="s">
        <v>878</v>
      </c>
      <c r="C94" s="233">
        <v>45712</v>
      </c>
      <c r="D94" s="189" t="str">
        <f t="shared" ca="1" si="1"/>
        <v>1 ano</v>
      </c>
      <c r="E94" s="232" t="s">
        <v>879</v>
      </c>
    </row>
    <row r="95" spans="1:5" customFormat="1" ht="15" hidden="1">
      <c r="A95" s="235" t="s">
        <v>703</v>
      </c>
      <c r="B95" s="232" t="s">
        <v>782</v>
      </c>
      <c r="C95" s="233">
        <v>44320</v>
      </c>
      <c r="D95" s="189" t="str">
        <f t="shared" ca="1" si="1"/>
        <v>5 anos</v>
      </c>
      <c r="E95" s="232" t="s">
        <v>776</v>
      </c>
    </row>
    <row r="96" spans="1:5" ht="16.5" hidden="1" customHeight="1">
      <c r="A96" s="231" t="s">
        <v>765</v>
      </c>
      <c r="B96" s="232" t="s">
        <v>853</v>
      </c>
      <c r="C96" s="233">
        <v>46210</v>
      </c>
      <c r="D96" s="204" t="str">
        <f t="shared" ca="1" si="1"/>
        <v>0 anos</v>
      </c>
      <c r="E96" s="232" t="s">
        <v>790</v>
      </c>
    </row>
    <row r="97" spans="1:6" customFormat="1" ht="15" hidden="1">
      <c r="A97" s="235" t="s">
        <v>705</v>
      </c>
      <c r="B97" s="232" t="s">
        <v>775</v>
      </c>
      <c r="C97" s="233">
        <v>46097</v>
      </c>
      <c r="D97" s="204" t="str">
        <f t="shared" ca="1" si="1"/>
        <v>0 anos</v>
      </c>
      <c r="E97" s="232" t="s">
        <v>776</v>
      </c>
    </row>
    <row r="98" spans="1:6" customFormat="1" ht="15">
      <c r="A98" s="235" t="s">
        <v>880</v>
      </c>
      <c r="B98" s="232" t="s">
        <v>881</v>
      </c>
      <c r="C98" s="233">
        <v>45586</v>
      </c>
      <c r="D98" s="189" t="str">
        <f t="shared" ca="1" si="1"/>
        <v>1 ano</v>
      </c>
      <c r="E98" s="232" t="s">
        <v>790</v>
      </c>
    </row>
    <row r="99" spans="1:6" customFormat="1" ht="15" hidden="1">
      <c r="A99" s="304" t="s">
        <v>706</v>
      </c>
      <c r="B99" s="305" t="s">
        <v>827</v>
      </c>
      <c r="C99" s="306">
        <v>46093</v>
      </c>
      <c r="D99" s="307" t="str">
        <f t="shared" ca="1" si="1"/>
        <v>0 anos</v>
      </c>
      <c r="E99" s="305" t="s">
        <v>540</v>
      </c>
    </row>
    <row r="100" spans="1:6" ht="16.5" hidden="1" customHeight="1">
      <c r="A100" s="188" t="s">
        <v>890</v>
      </c>
      <c r="B100" s="188" t="s">
        <v>892</v>
      </c>
      <c r="C100" s="189">
        <v>46230</v>
      </c>
      <c r="D100" s="204" t="str">
        <f t="shared" ca="1" si="1"/>
        <v>0 anos</v>
      </c>
      <c r="E100" s="188" t="s">
        <v>442</v>
      </c>
    </row>
    <row r="101" spans="1:6" ht="16.5" hidden="1" customHeight="1">
      <c r="A101" s="188" t="s">
        <v>893</v>
      </c>
      <c r="B101" s="188" t="s">
        <v>14</v>
      </c>
      <c r="C101" s="189">
        <v>46230</v>
      </c>
      <c r="D101" s="204" t="str">
        <f t="shared" ca="1" si="1"/>
        <v>0 anos</v>
      </c>
      <c r="E101" s="188" t="s">
        <v>520</v>
      </c>
    </row>
    <row r="102" spans="1:6" ht="16.5" hidden="1" customHeight="1">
      <c r="A102" s="236" t="s">
        <v>912</v>
      </c>
      <c r="B102" s="188" t="s">
        <v>914</v>
      </c>
      <c r="C102" s="203">
        <v>46237</v>
      </c>
      <c r="D102" s="204" t="str">
        <f t="shared" ca="1" si="1"/>
        <v>0 anos</v>
      </c>
      <c r="E102" s="188" t="s">
        <v>921</v>
      </c>
      <c r="F102" s="186"/>
    </row>
    <row r="103" spans="1:6" ht="16.5" hidden="1" customHeight="1">
      <c r="A103" s="188" t="s">
        <v>915</v>
      </c>
      <c r="B103" s="188" t="s">
        <v>14</v>
      </c>
      <c r="C103" s="203">
        <v>46237</v>
      </c>
      <c r="D103" s="204" t="str">
        <f t="shared" ca="1" si="1"/>
        <v>0 anos</v>
      </c>
      <c r="E103" s="188" t="s">
        <v>520</v>
      </c>
      <c r="F103" s="186"/>
    </row>
    <row r="104" spans="1:6" ht="16.5" hidden="1" customHeight="1">
      <c r="A104" s="188" t="s">
        <v>917</v>
      </c>
      <c r="B104" s="188" t="s">
        <v>309</v>
      </c>
      <c r="C104" s="203">
        <v>46237</v>
      </c>
      <c r="D104" s="189" t="str">
        <f t="shared" ca="1" si="1"/>
        <v>0 anos</v>
      </c>
      <c r="E104" s="188" t="s">
        <v>922</v>
      </c>
      <c r="F104" s="186"/>
    </row>
    <row r="105" spans="1:6" ht="16.5" hidden="1" customHeight="1">
      <c r="A105" s="236" t="s">
        <v>933</v>
      </c>
      <c r="B105" s="188" t="s">
        <v>935</v>
      </c>
      <c r="C105" s="203">
        <v>46240</v>
      </c>
      <c r="D105" s="189" t="str">
        <f t="shared" ca="1" si="1"/>
        <v>0 anos</v>
      </c>
      <c r="E105" s="188" t="s">
        <v>439</v>
      </c>
    </row>
    <row r="106" spans="1:6" ht="16.5" hidden="1" customHeight="1">
      <c r="A106" s="188" t="s">
        <v>936</v>
      </c>
      <c r="B106" s="188" t="s">
        <v>938</v>
      </c>
      <c r="C106" s="203">
        <v>46240</v>
      </c>
      <c r="D106" s="189" t="str">
        <f t="shared" ca="1" si="1"/>
        <v>0 anos</v>
      </c>
      <c r="E106" s="188" t="s">
        <v>776</v>
      </c>
    </row>
    <row r="107" spans="1:6" ht="16.5" hidden="1" customHeight="1">
      <c r="A107" s="188" t="s">
        <v>959</v>
      </c>
      <c r="B107" s="188" t="s">
        <v>961</v>
      </c>
      <c r="C107" s="203">
        <v>46247</v>
      </c>
      <c r="D107" s="189" t="str">
        <f t="shared" ca="1" si="1"/>
        <v>0 anos</v>
      </c>
      <c r="E107" s="188" t="s">
        <v>810</v>
      </c>
    </row>
    <row r="108" spans="1:6" ht="16.5" hidden="1" customHeight="1">
      <c r="A108" s="188" t="s">
        <v>962</v>
      </c>
      <c r="B108" s="188" t="s">
        <v>935</v>
      </c>
      <c r="C108" s="203">
        <v>46252</v>
      </c>
      <c r="D108" s="189" t="str">
        <f t="shared" ca="1" si="1"/>
        <v>0 anos</v>
      </c>
      <c r="E108" s="188" t="s">
        <v>439</v>
      </c>
    </row>
    <row r="109" spans="1:6" ht="16.5" hidden="1" customHeight="1">
      <c r="A109" s="188" t="s">
        <v>964</v>
      </c>
      <c r="B109" s="188" t="s">
        <v>966</v>
      </c>
      <c r="C109" s="203">
        <v>46252</v>
      </c>
      <c r="D109" s="189" t="str">
        <f t="shared" ca="1" si="1"/>
        <v>0 anos</v>
      </c>
      <c r="E109" s="188" t="s">
        <v>785</v>
      </c>
    </row>
    <row r="110" spans="1:6" ht="16.5" hidden="1" customHeight="1">
      <c r="A110" s="188" t="s">
        <v>304</v>
      </c>
      <c r="B110" s="188" t="s">
        <v>914</v>
      </c>
      <c r="C110" s="203">
        <v>46254</v>
      </c>
      <c r="D110" s="189" t="str">
        <f t="shared" ca="1" si="1"/>
        <v>0 anos</v>
      </c>
      <c r="E110" s="188" t="s">
        <v>776</v>
      </c>
    </row>
    <row r="111" spans="1:6" ht="16.5" hidden="1" customHeight="1">
      <c r="A111" s="188" t="s">
        <v>970</v>
      </c>
      <c r="B111" s="188" t="s">
        <v>958</v>
      </c>
      <c r="C111" s="203">
        <v>46258</v>
      </c>
      <c r="D111" s="189" t="str">
        <f t="shared" ca="1" si="1"/>
        <v>0 anos</v>
      </c>
      <c r="E111" s="188" t="s">
        <v>776</v>
      </c>
    </row>
    <row r="112" spans="1:6" ht="16.5" hidden="1" customHeight="1">
      <c r="A112" s="188" t="s">
        <v>972</v>
      </c>
      <c r="B112" s="188" t="s">
        <v>958</v>
      </c>
      <c r="C112" s="203">
        <v>46258</v>
      </c>
      <c r="D112" s="189" t="str">
        <f t="shared" ca="1" si="1"/>
        <v>0 anos</v>
      </c>
      <c r="E112" s="188" t="s">
        <v>776</v>
      </c>
    </row>
    <row r="113" spans="1:5" ht="16.5" hidden="1" customHeight="1">
      <c r="A113" s="188" t="s">
        <v>975</v>
      </c>
      <c r="B113" s="188" t="s">
        <v>981</v>
      </c>
      <c r="C113" s="203">
        <v>46258</v>
      </c>
      <c r="D113" s="189" t="str">
        <f t="shared" ca="1" si="1"/>
        <v>0 anos</v>
      </c>
      <c r="E113" s="188" t="s">
        <v>785</v>
      </c>
    </row>
    <row r="114" spans="1:5" ht="16.5" hidden="1" customHeight="1">
      <c r="A114" s="188" t="s">
        <v>976</v>
      </c>
      <c r="B114" s="188" t="s">
        <v>958</v>
      </c>
      <c r="C114" s="203">
        <v>46258</v>
      </c>
      <c r="D114" s="189" t="str">
        <f t="shared" ca="1" si="1"/>
        <v>0 anos</v>
      </c>
      <c r="E114" s="188" t="s">
        <v>776</v>
      </c>
    </row>
    <row r="115" spans="1:5" ht="16.5" hidden="1" customHeight="1">
      <c r="A115" s="188" t="s">
        <v>980</v>
      </c>
      <c r="B115" s="188" t="s">
        <v>958</v>
      </c>
      <c r="C115" s="203">
        <v>46258</v>
      </c>
      <c r="D115" s="189" t="str">
        <f t="shared" ca="1" si="1"/>
        <v>0 anos</v>
      </c>
      <c r="E115" s="188" t="s">
        <v>776</v>
      </c>
    </row>
    <row r="116" spans="1:5" ht="16.5" hidden="1" customHeight="1">
      <c r="A116" s="23" t="s">
        <v>1056</v>
      </c>
      <c r="B116" s="188" t="s">
        <v>1116</v>
      </c>
      <c r="C116" s="302">
        <v>46280</v>
      </c>
      <c r="D116" s="189" t="str">
        <f t="shared" ca="1" si="1"/>
        <v>0 anos</v>
      </c>
      <c r="E116" s="188" t="s">
        <v>1114</v>
      </c>
    </row>
    <row r="117" spans="1:5" ht="16.5" hidden="1" customHeight="1">
      <c r="A117" s="23" t="s">
        <v>1059</v>
      </c>
      <c r="B117" s="188" t="s">
        <v>958</v>
      </c>
      <c r="C117" s="302">
        <v>46280</v>
      </c>
      <c r="D117" s="189" t="str">
        <f t="shared" ca="1" si="1"/>
        <v>0 anos</v>
      </c>
      <c r="E117" s="188" t="s">
        <v>1115</v>
      </c>
    </row>
    <row r="118" spans="1:5" ht="16.5" hidden="1" customHeight="1">
      <c r="A118" s="231" t="s">
        <v>1118</v>
      </c>
      <c r="B118" s="232" t="s">
        <v>1119</v>
      </c>
      <c r="C118" s="308">
        <v>43160</v>
      </c>
      <c r="D118" s="308" t="str">
        <f t="shared" ca="1" si="1"/>
        <v>8 anos</v>
      </c>
      <c r="E118" s="309"/>
    </row>
    <row r="119" spans="1:5" ht="16.5" hidden="1" customHeight="1">
      <c r="A119" s="188" t="s">
        <v>1135</v>
      </c>
      <c r="B119" s="188" t="s">
        <v>787</v>
      </c>
      <c r="C119" s="203">
        <v>46289</v>
      </c>
      <c r="D119" s="189" t="str">
        <f t="shared" ca="1" si="1"/>
        <v>0 anos</v>
      </c>
      <c r="E119" s="232" t="s">
        <v>785</v>
      </c>
    </row>
    <row r="120" spans="1:5" ht="16.5" hidden="1" customHeight="1">
      <c r="A120" s="188" t="s">
        <v>1138</v>
      </c>
      <c r="B120" s="188" t="s">
        <v>1141</v>
      </c>
      <c r="C120" s="203">
        <v>46289</v>
      </c>
      <c r="D120" s="189" t="str">
        <f t="shared" ca="1" si="1"/>
        <v>0 anos</v>
      </c>
      <c r="E120" s="332" t="s">
        <v>785</v>
      </c>
    </row>
    <row r="121" spans="1:5" ht="16.5" hidden="1" customHeight="1">
      <c r="A121" s="333" t="s">
        <v>1137</v>
      </c>
      <c r="B121" s="188" t="s">
        <v>1140</v>
      </c>
      <c r="C121" s="203">
        <v>46289</v>
      </c>
      <c r="D121" s="189" t="str">
        <f t="shared" ca="1" si="1"/>
        <v>0 anos</v>
      </c>
      <c r="E121" s="188" t="s">
        <v>1115</v>
      </c>
    </row>
    <row r="122" spans="1:5" ht="16.5" hidden="1" customHeight="1">
      <c r="A122" s="321" t="s">
        <v>1136</v>
      </c>
      <c r="B122" s="188" t="s">
        <v>1140</v>
      </c>
      <c r="C122" s="203">
        <v>46289</v>
      </c>
      <c r="D122" s="189" t="str">
        <f t="shared" ca="1" si="1"/>
        <v>0 anos</v>
      </c>
      <c r="E122" s="188" t="s">
        <v>1115</v>
      </c>
    </row>
    <row r="123" spans="1:5" ht="16.5" hidden="1" customHeight="1">
      <c r="A123" s="347" t="s">
        <v>1146</v>
      </c>
      <c r="B123" s="188" t="s">
        <v>1161</v>
      </c>
      <c r="C123" s="355">
        <v>46300</v>
      </c>
      <c r="D123" s="189" t="str">
        <f ca="1">IF(C123="","",YEAR(TODAY())-YEAR(C123)-(DATE(YEAR(TODAY()),MONTH(C123),DAY(C123))&gt;TODAY())&amp;" ano"&amp;IF(YEAR(TODAY())-YEAR(C123)-(DATE(YEAR(TODAY()),MONTH(C123),DAY(C123))&gt;TODAY())&lt;&gt;1,"s",""))</f>
        <v>0 anos</v>
      </c>
      <c r="E123" s="358" t="s">
        <v>1160</v>
      </c>
    </row>
    <row r="124" spans="1:5" ht="16.5" hidden="1" customHeight="1">
      <c r="A124" s="347" t="s">
        <v>1148</v>
      </c>
      <c r="B124" s="188" t="s">
        <v>1162</v>
      </c>
      <c r="C124" s="355">
        <v>46300</v>
      </c>
      <c r="D124" s="189" t="str">
        <f t="shared" ref="D124:D126" ca="1" si="2">IF(C124="","",YEAR(TODAY())-YEAR(C124)-(DATE(YEAR(TODAY()),MONTH(C124),DAY(C124))&gt;TODAY())&amp;" ano"&amp;IF(YEAR(TODAY())-YEAR(C124)-(DATE(YEAR(TODAY()),MONTH(C124),DAY(C124))&gt;TODAY())&lt;&gt;1,"s",""))</f>
        <v>0 anos</v>
      </c>
      <c r="E124" s="358" t="s">
        <v>1115</v>
      </c>
    </row>
    <row r="125" spans="1:5" ht="16.5" hidden="1" customHeight="1">
      <c r="A125" s="321" t="s">
        <v>1150</v>
      </c>
      <c r="B125" s="188" t="s">
        <v>1163</v>
      </c>
      <c r="C125" s="355">
        <v>46300</v>
      </c>
      <c r="D125" s="189" t="str">
        <f t="shared" ca="1" si="2"/>
        <v>0 anos</v>
      </c>
      <c r="E125" s="358" t="s">
        <v>800</v>
      </c>
    </row>
    <row r="126" spans="1:5" ht="16.5" hidden="1" customHeight="1">
      <c r="A126" s="346" t="s">
        <v>1144</v>
      </c>
      <c r="B126" s="188" t="s">
        <v>1164</v>
      </c>
      <c r="C126" s="357">
        <v>46286</v>
      </c>
      <c r="D126" s="189" t="str">
        <f t="shared" ca="1" si="2"/>
        <v>0 anos</v>
      </c>
      <c r="E126" s="358" t="s">
        <v>790</v>
      </c>
    </row>
  </sheetData>
  <autoFilter ref="A1:E126" xr:uid="{EAD3BE49-F480-4E10-A246-DF5E3BEE6F36}">
    <filterColumn colId="2">
      <filters>
        <dateGroupItem year="2026" month="10" dateTimeGrouping="month"/>
        <dateGroupItem year="2025" month="10" dateTimeGrouping="month"/>
        <dateGroupItem year="2024" month="10" dateTimeGrouping="month"/>
      </filters>
    </filterColumn>
    <filterColumn colId="3">
      <filters>
        <filter val="1 ano"/>
      </filters>
    </filterColumn>
    <sortState xmlns:xlrd2="http://schemas.microsoft.com/office/spreadsheetml/2017/richdata2" ref="A3:E101">
      <sortCondition ref="C1:C101"/>
    </sortState>
  </autoFilter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EE11-53D3-4E07-882B-7C5C02266C0E}">
  <dimension ref="A1:D14"/>
  <sheetViews>
    <sheetView workbookViewId="0">
      <selection activeCell="C19" sqref="C19"/>
    </sheetView>
  </sheetViews>
  <sheetFormatPr defaultRowHeight="15"/>
  <cols>
    <col min="1" max="1" width="3.28515625" bestFit="1" customWidth="1"/>
    <col min="2" max="2" width="35.5703125" customWidth="1"/>
    <col min="3" max="3" width="35.28515625" customWidth="1"/>
    <col min="4" max="4" width="26.5703125" customWidth="1"/>
  </cols>
  <sheetData>
    <row r="1" spans="1:4" ht="30">
      <c r="A1" s="195" t="s">
        <v>899</v>
      </c>
      <c r="B1" s="262" t="s">
        <v>997</v>
      </c>
      <c r="C1" s="195" t="s">
        <v>900</v>
      </c>
      <c r="D1" s="262" t="s">
        <v>998</v>
      </c>
    </row>
    <row r="2" spans="1:4">
      <c r="A2" s="264">
        <v>1</v>
      </c>
      <c r="B2" s="264" t="s">
        <v>790</v>
      </c>
      <c r="C2" s="264" t="s">
        <v>1123</v>
      </c>
      <c r="D2" s="375" t="s">
        <v>999</v>
      </c>
    </row>
    <row r="3" spans="1:4">
      <c r="A3" s="264">
        <v>2</v>
      </c>
      <c r="B3" s="264" t="s">
        <v>776</v>
      </c>
      <c r="C3" s="264" t="s">
        <v>911</v>
      </c>
      <c r="D3" s="375"/>
    </row>
    <row r="4" spans="1:4">
      <c r="A4" s="196">
        <v>3</v>
      </c>
      <c r="B4" s="196" t="s">
        <v>800</v>
      </c>
      <c r="C4" s="196" t="s">
        <v>901</v>
      </c>
      <c r="D4" s="376" t="s">
        <v>1003</v>
      </c>
    </row>
    <row r="5" spans="1:4">
      <c r="A5" s="196">
        <v>4</v>
      </c>
      <c r="B5" s="196" t="s">
        <v>879</v>
      </c>
      <c r="C5" s="196" t="s">
        <v>904</v>
      </c>
      <c r="D5" s="376"/>
    </row>
    <row r="6" spans="1:4">
      <c r="A6" s="264">
        <v>5</v>
      </c>
      <c r="B6" s="264" t="s">
        <v>806</v>
      </c>
      <c r="C6" s="264" t="s">
        <v>903</v>
      </c>
      <c r="D6" s="375" t="s">
        <v>1001</v>
      </c>
    </row>
    <row r="7" spans="1:4">
      <c r="A7" s="264">
        <v>6</v>
      </c>
      <c r="B7" s="264" t="s">
        <v>781</v>
      </c>
      <c r="C7" s="264" t="s">
        <v>986</v>
      </c>
      <c r="D7" s="375"/>
    </row>
    <row r="8" spans="1:4">
      <c r="A8" s="264">
        <v>7</v>
      </c>
      <c r="B8" s="264" t="s">
        <v>908</v>
      </c>
      <c r="C8" s="264" t="s">
        <v>909</v>
      </c>
      <c r="D8" s="375"/>
    </row>
    <row r="9" spans="1:4">
      <c r="A9" s="196">
        <v>8</v>
      </c>
      <c r="B9" s="196" t="s">
        <v>794</v>
      </c>
      <c r="C9" s="196" t="s">
        <v>910</v>
      </c>
      <c r="D9" s="376"/>
    </row>
    <row r="10" spans="1:4">
      <c r="A10" s="196">
        <v>9</v>
      </c>
      <c r="B10" s="196" t="s">
        <v>1122</v>
      </c>
      <c r="C10" s="263" t="s">
        <v>1002</v>
      </c>
      <c r="D10" s="376"/>
    </row>
    <row r="11" spans="1:4">
      <c r="A11" s="264">
        <v>10</v>
      </c>
      <c r="B11" s="264" t="s">
        <v>785</v>
      </c>
      <c r="C11" s="264" t="s">
        <v>902</v>
      </c>
      <c r="D11" s="375" t="s">
        <v>1000</v>
      </c>
    </row>
    <row r="12" spans="1:4">
      <c r="A12" s="264">
        <v>11</v>
      </c>
      <c r="B12" s="264" t="s">
        <v>439</v>
      </c>
      <c r="C12" s="264" t="s">
        <v>905</v>
      </c>
      <c r="D12" s="375"/>
    </row>
    <row r="13" spans="1:4">
      <c r="A13" s="264">
        <v>12</v>
      </c>
      <c r="B13" s="264" t="s">
        <v>540</v>
      </c>
      <c r="C13" s="264" t="s">
        <v>906</v>
      </c>
      <c r="D13" s="375"/>
    </row>
    <row r="14" spans="1:4">
      <c r="A14" s="264">
        <v>13</v>
      </c>
      <c r="B14" s="264" t="s">
        <v>520</v>
      </c>
      <c r="C14" s="264" t="s">
        <v>906</v>
      </c>
      <c r="D14" s="375"/>
    </row>
  </sheetData>
  <mergeCells count="5">
    <mergeCell ref="D2:D3"/>
    <mergeCell ref="D11:D14"/>
    <mergeCell ref="D6:D8"/>
    <mergeCell ref="D9:D10"/>
    <mergeCell ref="D4:D5"/>
  </mergeCells>
  <pageMargins left="0.511811024" right="0.511811024" top="0.78740157499999996" bottom="0.78740157499999996" header="0.31496062000000002" footer="0.31496062000000002"/>
  <pageSetup paperSize="9" orientation="landscape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1AE15-6822-4DA4-A9E4-45F7C82F67C0}">
  <dimension ref="A1:I60"/>
  <sheetViews>
    <sheetView topLeftCell="A46" zoomScale="130" zoomScaleNormal="130" workbookViewId="0">
      <selection activeCell="E7" sqref="E7"/>
    </sheetView>
  </sheetViews>
  <sheetFormatPr defaultRowHeight="15"/>
  <cols>
    <col min="1" max="1" width="39.85546875" customWidth="1"/>
    <col min="2" max="2" width="12.42578125" bestFit="1" customWidth="1"/>
    <col min="3" max="3" width="11" bestFit="1" customWidth="1"/>
    <col min="4" max="4" width="10.42578125" bestFit="1" customWidth="1"/>
  </cols>
  <sheetData>
    <row r="1" spans="1:9">
      <c r="A1" s="377" t="s">
        <v>1052</v>
      </c>
      <c r="B1" s="377"/>
      <c r="C1" s="377"/>
      <c r="D1" s="377"/>
      <c r="F1" s="377" t="s">
        <v>1107</v>
      </c>
      <c r="G1" s="377"/>
      <c r="H1" s="377"/>
      <c r="I1" s="377"/>
    </row>
    <row r="2" spans="1:9">
      <c r="A2" s="266" t="s">
        <v>944</v>
      </c>
      <c r="B2" s="266" t="s">
        <v>945</v>
      </c>
      <c r="C2" s="266" t="s">
        <v>946</v>
      </c>
      <c r="D2" s="266" t="s">
        <v>1047</v>
      </c>
    </row>
    <row r="3" spans="1:9">
      <c r="A3" s="269" t="s">
        <v>1037</v>
      </c>
      <c r="B3" s="270" t="s">
        <v>1038</v>
      </c>
      <c r="C3" s="271">
        <v>37411</v>
      </c>
      <c r="D3" s="271">
        <v>46237</v>
      </c>
    </row>
    <row r="4" spans="1:9">
      <c r="A4" s="269" t="s">
        <v>1039</v>
      </c>
      <c r="B4" s="270" t="s">
        <v>1040</v>
      </c>
      <c r="C4" s="271">
        <v>36071</v>
      </c>
      <c r="D4" s="271">
        <v>46237</v>
      </c>
    </row>
    <row r="5" spans="1:9">
      <c r="A5" s="269" t="s">
        <v>1041</v>
      </c>
      <c r="B5" s="270" t="s">
        <v>1042</v>
      </c>
      <c r="C5" s="271">
        <v>35360</v>
      </c>
      <c r="D5" s="271">
        <v>46237</v>
      </c>
    </row>
    <row r="6" spans="1:9">
      <c r="A6" s="269" t="s">
        <v>1043</v>
      </c>
      <c r="B6" s="270" t="s">
        <v>1044</v>
      </c>
      <c r="C6" s="271">
        <v>28536</v>
      </c>
      <c r="D6" s="271">
        <v>46240</v>
      </c>
    </row>
    <row r="7" spans="1:9">
      <c r="A7" s="269" t="s">
        <v>1045</v>
      </c>
      <c r="B7" s="270" t="s">
        <v>1046</v>
      </c>
      <c r="C7" s="271">
        <v>31493</v>
      </c>
      <c r="D7" s="271">
        <v>46240</v>
      </c>
    </row>
    <row r="8" spans="1:9">
      <c r="A8" s="269" t="s">
        <v>1008</v>
      </c>
      <c r="B8" s="270" t="s">
        <v>1009</v>
      </c>
      <c r="C8" s="271">
        <v>27146</v>
      </c>
      <c r="D8" s="271">
        <v>46252</v>
      </c>
    </row>
    <row r="9" spans="1:9">
      <c r="A9" s="269" t="s">
        <v>1006</v>
      </c>
      <c r="B9" s="270" t="s">
        <v>1007</v>
      </c>
      <c r="C9" s="271">
        <v>30864</v>
      </c>
      <c r="D9" s="271">
        <v>46252</v>
      </c>
    </row>
    <row r="10" spans="1:9">
      <c r="A10" s="269" t="s">
        <v>841</v>
      </c>
      <c r="B10" s="270" t="s">
        <v>1014</v>
      </c>
      <c r="C10" s="271">
        <v>38324</v>
      </c>
      <c r="D10" s="271">
        <v>46254</v>
      </c>
    </row>
    <row r="11" spans="1:9">
      <c r="A11" s="269" t="s">
        <v>1015</v>
      </c>
      <c r="B11" s="270" t="s">
        <v>1016</v>
      </c>
      <c r="C11" s="271">
        <v>32323</v>
      </c>
      <c r="D11" s="271">
        <v>46258</v>
      </c>
    </row>
    <row r="12" spans="1:9">
      <c r="A12" s="269" t="s">
        <v>1012</v>
      </c>
      <c r="B12" s="270" t="s">
        <v>1013</v>
      </c>
      <c r="C12" s="271">
        <v>35774</v>
      </c>
      <c r="D12" s="271">
        <v>46258</v>
      </c>
    </row>
    <row r="13" spans="1:9">
      <c r="A13" s="269" t="s">
        <v>1010</v>
      </c>
      <c r="B13" s="270" t="s">
        <v>1011</v>
      </c>
      <c r="C13" s="271">
        <v>36815</v>
      </c>
      <c r="D13" s="271">
        <v>46258</v>
      </c>
    </row>
    <row r="14" spans="1:9">
      <c r="A14" s="269" t="s">
        <v>1017</v>
      </c>
      <c r="B14" s="270" t="s">
        <v>1018</v>
      </c>
      <c r="C14" s="271">
        <v>33167</v>
      </c>
      <c r="D14" s="271">
        <v>46258</v>
      </c>
    </row>
    <row r="15" spans="1:9">
      <c r="A15" s="269" t="s">
        <v>1004</v>
      </c>
      <c r="B15" s="270" t="s">
        <v>1005</v>
      </c>
      <c r="C15" s="271">
        <v>35370</v>
      </c>
      <c r="D15" s="271">
        <v>46258</v>
      </c>
    </row>
    <row r="16" spans="1:9">
      <c r="A16" s="268"/>
      <c r="B16" s="268"/>
      <c r="C16" s="268"/>
      <c r="D16" s="268"/>
    </row>
    <row r="17" spans="1:4">
      <c r="A17" s="378" t="s">
        <v>1051</v>
      </c>
      <c r="B17" s="379"/>
      <c r="C17" s="268"/>
      <c r="D17" s="268"/>
    </row>
    <row r="18" spans="1:4">
      <c r="A18" s="94" t="s">
        <v>944</v>
      </c>
      <c r="B18" s="94" t="s">
        <v>947</v>
      </c>
      <c r="C18" s="268"/>
      <c r="D18" s="268"/>
    </row>
    <row r="19" spans="1:4">
      <c r="A19" s="272" t="s">
        <v>1048</v>
      </c>
      <c r="B19" s="273">
        <v>46208</v>
      </c>
      <c r="C19" s="268"/>
      <c r="D19" s="268"/>
    </row>
    <row r="20" spans="1:4">
      <c r="A20" s="272" t="s">
        <v>1050</v>
      </c>
      <c r="B20" s="273">
        <v>46211</v>
      </c>
      <c r="C20" s="268"/>
      <c r="D20" s="268"/>
    </row>
    <row r="21" spans="1:4">
      <c r="A21" s="272" t="s">
        <v>1049</v>
      </c>
      <c r="B21" s="273">
        <v>46211</v>
      </c>
      <c r="C21" s="268"/>
      <c r="D21" s="268"/>
    </row>
    <row r="22" spans="1:4">
      <c r="A22" s="272" t="s">
        <v>670</v>
      </c>
      <c r="B22" s="273">
        <v>46213</v>
      </c>
      <c r="C22" s="268"/>
      <c r="D22" s="268"/>
    </row>
    <row r="23" spans="1:4">
      <c r="A23" s="272" t="s">
        <v>676</v>
      </c>
      <c r="B23" s="273">
        <v>46213</v>
      </c>
      <c r="C23" s="268"/>
      <c r="D23" s="268"/>
    </row>
    <row r="24" spans="1:4">
      <c r="A24" s="272" t="s">
        <v>691</v>
      </c>
      <c r="B24" s="273">
        <v>46217</v>
      </c>
      <c r="C24" s="268"/>
      <c r="D24" s="268"/>
    </row>
    <row r="25" spans="1:4">
      <c r="A25" s="272" t="s">
        <v>701</v>
      </c>
      <c r="B25" s="273">
        <v>46211</v>
      </c>
      <c r="C25" s="268"/>
      <c r="D25" s="268"/>
    </row>
    <row r="26" spans="1:4">
      <c r="A26" s="268"/>
      <c r="B26" s="268"/>
      <c r="C26" s="268"/>
      <c r="D26" s="268"/>
    </row>
    <row r="27" spans="1:4">
      <c r="A27" s="378" t="s">
        <v>948</v>
      </c>
      <c r="B27" s="379"/>
      <c r="C27" s="268"/>
      <c r="D27" s="268"/>
    </row>
    <row r="28" spans="1:4">
      <c r="A28" s="268"/>
      <c r="B28" s="268"/>
      <c r="C28" s="268"/>
      <c r="D28" s="268"/>
    </row>
    <row r="29" spans="1:4">
      <c r="A29" s="268"/>
      <c r="B29" s="268"/>
      <c r="C29" s="268"/>
      <c r="D29" s="268"/>
    </row>
    <row r="30" spans="1:4">
      <c r="A30" s="265" t="s">
        <v>740</v>
      </c>
      <c r="B30" s="267">
        <v>46259</v>
      </c>
      <c r="C30" s="268"/>
      <c r="D30" s="268"/>
    </row>
    <row r="31" spans="1:4">
      <c r="A31" s="265" t="s">
        <v>650</v>
      </c>
      <c r="B31" s="267">
        <v>46239</v>
      </c>
      <c r="C31" s="268"/>
      <c r="D31" s="268"/>
    </row>
    <row r="32" spans="1:4">
      <c r="A32" s="265" t="s">
        <v>786</v>
      </c>
      <c r="B32" s="267">
        <v>46243</v>
      </c>
      <c r="C32" s="268"/>
      <c r="D32" s="268"/>
    </row>
    <row r="33" spans="1:4">
      <c r="A33" s="265" t="s">
        <v>1019</v>
      </c>
      <c r="B33" s="267">
        <v>46248</v>
      </c>
      <c r="C33" s="268"/>
      <c r="D33" s="268"/>
    </row>
    <row r="34" spans="1:4">
      <c r="A34" s="265" t="s">
        <v>1020</v>
      </c>
      <c r="B34" s="267">
        <v>46248</v>
      </c>
      <c r="C34" s="268"/>
      <c r="D34" s="268"/>
    </row>
    <row r="35" spans="1:4">
      <c r="A35" s="265" t="s">
        <v>1021</v>
      </c>
      <c r="B35" s="267">
        <v>46246</v>
      </c>
      <c r="C35" s="268"/>
      <c r="D35" s="268"/>
    </row>
    <row r="36" spans="1:4">
      <c r="A36" s="265" t="s">
        <v>766</v>
      </c>
      <c r="B36" s="267">
        <v>46265</v>
      </c>
      <c r="C36" s="268"/>
      <c r="D36" s="268"/>
    </row>
    <row r="37" spans="1:4">
      <c r="A37" s="265" t="s">
        <v>1022</v>
      </c>
      <c r="B37" s="267">
        <v>46246</v>
      </c>
      <c r="C37" s="268"/>
      <c r="D37" s="268"/>
    </row>
    <row r="38" spans="1:4">
      <c r="A38" s="265" t="s">
        <v>1023</v>
      </c>
      <c r="B38" s="267">
        <v>46261</v>
      </c>
      <c r="C38" s="268"/>
      <c r="D38" s="268"/>
    </row>
    <row r="39" spans="1:4">
      <c r="A39" s="265" t="s">
        <v>1024</v>
      </c>
      <c r="B39" s="267">
        <v>46253</v>
      </c>
      <c r="C39" s="268"/>
      <c r="D39" s="268"/>
    </row>
    <row r="40" spans="1:4">
      <c r="A40" s="265" t="s">
        <v>1025</v>
      </c>
      <c r="B40" s="267">
        <v>46248</v>
      </c>
      <c r="C40" s="268"/>
      <c r="D40" s="268"/>
    </row>
    <row r="41" spans="1:4">
      <c r="A41" s="265" t="s">
        <v>669</v>
      </c>
      <c r="B41" s="267">
        <v>46261</v>
      </c>
      <c r="C41" s="268"/>
      <c r="D41" s="268"/>
    </row>
    <row r="42" spans="1:4">
      <c r="A42" s="265" t="s">
        <v>834</v>
      </c>
      <c r="B42" s="267">
        <v>46265</v>
      </c>
      <c r="C42" s="268"/>
      <c r="D42" s="268"/>
    </row>
    <row r="43" spans="1:4">
      <c r="A43" s="265" t="s">
        <v>1026</v>
      </c>
      <c r="B43" s="267">
        <v>46253</v>
      </c>
      <c r="C43" s="268"/>
      <c r="D43" s="268"/>
    </row>
    <row r="44" spans="1:4">
      <c r="A44" s="265" t="s">
        <v>741</v>
      </c>
      <c r="B44" s="267">
        <v>46265</v>
      </c>
      <c r="C44" s="268"/>
      <c r="D44" s="268"/>
    </row>
    <row r="45" spans="1:4">
      <c r="A45" s="265" t="s">
        <v>1027</v>
      </c>
      <c r="B45" s="267">
        <v>46247</v>
      </c>
      <c r="C45" s="268"/>
      <c r="D45" s="268"/>
    </row>
    <row r="46" spans="1:4">
      <c r="A46" s="265" t="s">
        <v>841</v>
      </c>
      <c r="B46" s="267">
        <v>46253</v>
      </c>
      <c r="C46" s="268"/>
      <c r="D46" s="268"/>
    </row>
    <row r="47" spans="1:4">
      <c r="A47" s="265" t="s">
        <v>684</v>
      </c>
      <c r="B47" s="267">
        <v>46261</v>
      </c>
      <c r="C47" s="268"/>
      <c r="D47" s="268"/>
    </row>
    <row r="48" spans="1:4">
      <c r="A48" s="265" t="s">
        <v>1028</v>
      </c>
      <c r="B48" s="267">
        <v>46238</v>
      </c>
      <c r="C48" s="268"/>
      <c r="D48" s="268"/>
    </row>
    <row r="49" spans="1:4">
      <c r="A49" s="265" t="s">
        <v>850</v>
      </c>
      <c r="B49" s="267">
        <v>46265</v>
      </c>
      <c r="C49" s="268"/>
      <c r="D49" s="268"/>
    </row>
    <row r="50" spans="1:4">
      <c r="A50" s="265" t="s">
        <v>1029</v>
      </c>
      <c r="B50" s="267">
        <v>46235</v>
      </c>
      <c r="C50" s="268"/>
      <c r="D50" s="268"/>
    </row>
    <row r="51" spans="1:4">
      <c r="A51" s="265" t="s">
        <v>1030</v>
      </c>
      <c r="B51" s="267">
        <v>46248</v>
      </c>
      <c r="C51" s="268"/>
      <c r="D51" s="268"/>
    </row>
    <row r="52" spans="1:4">
      <c r="A52" s="265" t="s">
        <v>1031</v>
      </c>
      <c r="B52" s="267">
        <v>46248</v>
      </c>
      <c r="C52" s="268"/>
      <c r="D52" s="268"/>
    </row>
    <row r="53" spans="1:4">
      <c r="A53" s="265" t="s">
        <v>1032</v>
      </c>
      <c r="B53" s="267">
        <v>46237</v>
      </c>
      <c r="C53" s="268"/>
      <c r="D53" s="268"/>
    </row>
    <row r="54" spans="1:4">
      <c r="A54" s="265" t="s">
        <v>1033</v>
      </c>
      <c r="B54" s="267">
        <v>46237</v>
      </c>
      <c r="C54" s="268"/>
      <c r="D54" s="268"/>
    </row>
    <row r="55" spans="1:4">
      <c r="A55" s="265" t="s">
        <v>695</v>
      </c>
      <c r="B55" s="267">
        <v>46239</v>
      </c>
      <c r="C55" s="268"/>
      <c r="D55" s="268"/>
    </row>
    <row r="56" spans="1:4">
      <c r="A56" s="265" t="s">
        <v>1034</v>
      </c>
      <c r="B56" s="267">
        <v>46247</v>
      </c>
      <c r="C56" s="268"/>
      <c r="D56" s="268"/>
    </row>
    <row r="57" spans="1:4">
      <c r="A57" s="265" t="s">
        <v>1035</v>
      </c>
      <c r="B57" s="267">
        <v>46253</v>
      </c>
      <c r="C57" s="268"/>
      <c r="D57" s="268"/>
    </row>
    <row r="58" spans="1:4">
      <c r="A58" s="268"/>
      <c r="B58" s="268"/>
      <c r="C58" s="268"/>
      <c r="D58" s="268"/>
    </row>
    <row r="59" spans="1:4">
      <c r="A59" s="268"/>
      <c r="B59" s="268"/>
      <c r="C59" s="268"/>
      <c r="D59" s="268"/>
    </row>
    <row r="60" spans="1:4">
      <c r="A60" s="378" t="s">
        <v>1036</v>
      </c>
      <c r="B60" s="379"/>
      <c r="C60" s="268"/>
      <c r="D60" s="268"/>
    </row>
  </sheetData>
  <mergeCells count="5">
    <mergeCell ref="A1:D1"/>
    <mergeCell ref="A17:B17"/>
    <mergeCell ref="A27:B27"/>
    <mergeCell ref="A60:B60"/>
    <mergeCell ref="F1:I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Admissões</vt:lpstr>
      <vt:lpstr>Experiência 1</vt:lpstr>
      <vt:lpstr>Experiência 2</vt:lpstr>
      <vt:lpstr>Afastamentos</vt:lpstr>
      <vt:lpstr>Férias</vt:lpstr>
      <vt:lpstr>Rescisões</vt:lpstr>
      <vt:lpstr>Aniversariantes</vt:lpstr>
      <vt:lpstr>Aniversariantes T de Casa </vt:lpstr>
      <vt:lpstr>Gestores </vt:lpstr>
      <vt:lpstr>Sul América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Prime</dc:creator>
  <cp:keywords/>
  <dc:description/>
  <cp:lastModifiedBy>RH Ikli Tecnologia</cp:lastModifiedBy>
  <cp:revision>8</cp:revision>
  <cp:lastPrinted>2026-09-09T13:36:24Z</cp:lastPrinted>
  <dcterms:created xsi:type="dcterms:W3CDTF">2022-07-15T19:19:41Z</dcterms:created>
  <dcterms:modified xsi:type="dcterms:W3CDTF">2026-10-05T16:46:11Z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2024-12-30T15:15:38Z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96e1c0ac-158a-49c3-8ab3-0eb9eee344fb</vt:lpwstr>
  </property>
  <property fmtid="{D5CDD505-2E9C-101B-9397-08002B2CF9AE}" pid="7" name="MSIP_Label_defa4170-0d19-0005-0004-bc88714345d2_ActionId">
    <vt:lpwstr>a83d87bd-c2d8-4b4d-8b26-091795138968</vt:lpwstr>
  </property>
  <property fmtid="{D5CDD505-2E9C-101B-9397-08002B2CF9AE}" pid="8" name="MSIP_Label_defa4170-0d19-0005-0004-bc88714345d2_ContentBits">
    <vt:lpwstr>0</vt:lpwstr>
  </property>
</Properties>
</file>