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.shortcut-targets-by-id\1QnCWvQI4gx4iQBPLBf_cFCnIXo_RlBiU\Recursos Humanos\4. Benefícios e bonificações\"/>
    </mc:Choice>
  </mc:AlternateContent>
  <xr:revisionPtr revIDLastSave="0" documentId="13_ncr:1_{325D71C6-C70E-4310-9550-9DAB622C85EC}" xr6:coauthVersionLast="47" xr6:coauthVersionMax="47" xr10:uidLastSave="{00000000-0000-0000-0000-000000000000}"/>
  <bookViews>
    <workbookView xWindow="20370" yWindow="-120" windowWidth="29040" windowHeight="15720" firstSheet="18" activeTab="20" xr2:uid="{00000000-000D-0000-FFFF-FFFF00000000}"/>
  </bookViews>
  <sheets>
    <sheet name="01 2026" sheetId="1" r:id="rId1"/>
    <sheet name="01 2026 Proporcional" sheetId="2" r:id="rId2"/>
    <sheet name="02 2026" sheetId="3" r:id="rId3"/>
    <sheet name="02 2026 Proporcional" sheetId="4" r:id="rId4"/>
    <sheet name="03 2026" sheetId="5" r:id="rId5"/>
    <sheet name="03 2026 Proporcional" sheetId="6" r:id="rId6"/>
    <sheet name="04 2026" sheetId="7" r:id="rId7"/>
    <sheet name="04 2026 Proporcional" sheetId="8" r:id="rId8"/>
    <sheet name="05 2026" sheetId="9" r:id="rId9"/>
    <sheet name="05 2026 Propocional" sheetId="10" r:id="rId10"/>
    <sheet name="06 2026" sheetId="11" r:id="rId11"/>
    <sheet name="06  2026 proporcional" sheetId="12" r:id="rId12"/>
    <sheet name="07 2026" sheetId="13" r:id="rId13"/>
    <sheet name="07 2026 Proporcional" sheetId="14" r:id="rId14"/>
    <sheet name="08 2026" sheetId="15" r:id="rId15"/>
    <sheet name="08 2026 Proporcional " sheetId="16" r:id="rId16"/>
    <sheet name="09 2026" sheetId="17" r:id="rId17"/>
    <sheet name="09 2026 Proporcional " sheetId="18" r:id="rId18"/>
    <sheet name="10 - 2026" sheetId="21" r:id="rId19"/>
    <sheet name="10 2026 Proporcional " sheetId="23" r:id="rId20"/>
    <sheet name="11 - 2026" sheetId="24" r:id="rId21"/>
    <sheet name="11 2026 Proporcional " sheetId="25" r:id="rId22"/>
    <sheet name="10 2026" sheetId="19" state="hidden" r:id="rId23"/>
  </sheets>
  <definedNames>
    <definedName name="_xlnm._FilterDatabase" localSheetId="0" hidden="1">'01 2026'!$B$3:$G$101</definedName>
    <definedName name="_xlnm._FilterDatabase" localSheetId="2" hidden="1">'02 2026'!$B$3:$G$101</definedName>
    <definedName name="_xlnm._FilterDatabase" localSheetId="4" hidden="1">'03 2026'!$B$3:$H$97</definedName>
    <definedName name="_xlnm._FilterDatabase" localSheetId="6" hidden="1">'04 2026'!$B$3:$H$100</definedName>
    <definedName name="_xlnm._FilterDatabase" localSheetId="7" hidden="1">'04 2026 Proporcional'!$B$4:$J$4</definedName>
    <definedName name="_xlnm._FilterDatabase" localSheetId="8" hidden="1">'05 2026'!$C$3:$I$3</definedName>
    <definedName name="_xlnm._FilterDatabase" localSheetId="11" hidden="1">'06  2026 proporcional'!$B$1:$J$9</definedName>
    <definedName name="_xlnm._FilterDatabase" localSheetId="10" hidden="1">'06 2026'!$C$3:$I$109</definedName>
    <definedName name="_xlnm._FilterDatabase" localSheetId="12" hidden="1">'07 2026'!$C$3:$H$114</definedName>
    <definedName name="_xlnm._FilterDatabase" localSheetId="14" hidden="1">'08 2026'!$B$1:$G$129</definedName>
    <definedName name="_xlnm._FilterDatabase" localSheetId="16" hidden="1">'09 2026'!$B$3:$G$117</definedName>
    <definedName name="_xlnm._FilterDatabase" localSheetId="18" hidden="1">'10 - 2026'!$B$1:$G$105</definedName>
    <definedName name="_xlnm._FilterDatabase" localSheetId="22" hidden="1">'10 2026'!$B$3:$G$120</definedName>
    <definedName name="_xlnm._FilterDatabase" localSheetId="20" hidden="1">'11 - 2026'!$A$1:$F$1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eNS3qQp7PwKHpr/RkyxbqKPtRp+b9YhGL/75JUkyPHw="/>
    </ext>
  </extLst>
</workbook>
</file>

<file path=xl/calcChain.xml><?xml version="1.0" encoding="utf-8"?>
<calcChain xmlns="http://schemas.openxmlformats.org/spreadsheetml/2006/main">
  <c r="H3" i="25" l="1"/>
  <c r="H6" i="25"/>
  <c r="H4" i="25"/>
  <c r="G4" i="25"/>
  <c r="G5" i="25"/>
  <c r="G6" i="25" s="1"/>
  <c r="G3" i="25"/>
  <c r="E8" i="24"/>
  <c r="E10" i="24"/>
  <c r="E71" i="24"/>
  <c r="E60" i="24"/>
  <c r="E109" i="24"/>
  <c r="E108" i="24"/>
  <c r="E107" i="24"/>
  <c r="E106" i="24"/>
  <c r="E105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0" i="24"/>
  <c r="E69" i="24"/>
  <c r="E68" i="24"/>
  <c r="E67" i="24"/>
  <c r="E66" i="24"/>
  <c r="E65" i="24"/>
  <c r="E64" i="24"/>
  <c r="E63" i="24"/>
  <c r="E62" i="24"/>
  <c r="E61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6" i="24"/>
  <c r="E45" i="24"/>
  <c r="E44" i="24"/>
  <c r="E43" i="24"/>
  <c r="E42" i="24"/>
  <c r="E41" i="24"/>
  <c r="E40" i="24"/>
  <c r="E39" i="24"/>
  <c r="E37" i="24"/>
  <c r="E36" i="24"/>
  <c r="E35" i="24"/>
  <c r="E34" i="24"/>
  <c r="E33" i="24"/>
  <c r="E32" i="24"/>
  <c r="E31" i="24"/>
  <c r="E30" i="24"/>
  <c r="E29" i="24"/>
  <c r="E28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9" i="24"/>
  <c r="E7" i="24"/>
  <c r="E6" i="24"/>
  <c r="E5" i="24"/>
  <c r="E4" i="24"/>
  <c r="E3" i="24"/>
  <c r="E2" i="24"/>
  <c r="G23" i="18"/>
  <c r="G24" i="18"/>
  <c r="G25" i="18"/>
  <c r="G22" i="18"/>
  <c r="F22" i="18"/>
  <c r="F25" i="18"/>
  <c r="F24" i="18"/>
  <c r="F23" i="18"/>
  <c r="G113" i="21"/>
  <c r="F110" i="21"/>
  <c r="F111" i="21"/>
  <c r="F112" i="21"/>
  <c r="F109" i="21"/>
  <c r="F113" i="21" s="1"/>
  <c r="G114" i="21" s="1"/>
  <c r="H20" i="23"/>
  <c r="I20" i="23"/>
  <c r="I6" i="23"/>
  <c r="I7" i="23"/>
  <c r="I8" i="23"/>
  <c r="I5" i="23"/>
  <c r="H5" i="23"/>
  <c r="H6" i="23"/>
  <c r="H7" i="23"/>
  <c r="H8" i="23"/>
  <c r="H4" i="23"/>
  <c r="H7" i="18"/>
  <c r="I7" i="18"/>
  <c r="H8" i="18"/>
  <c r="I8" i="18"/>
  <c r="H9" i="18"/>
  <c r="I9" i="18"/>
  <c r="H10" i="18"/>
  <c r="I10" i="18"/>
  <c r="I20" i="18"/>
  <c r="G105" i="21"/>
  <c r="F91" i="21"/>
  <c r="F86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7" i="21"/>
  <c r="F88" i="21"/>
  <c r="F89" i="21"/>
  <c r="F90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2" i="21"/>
  <c r="B4" i="19"/>
  <c r="G124" i="19"/>
  <c r="F93" i="19"/>
  <c r="F108" i="19"/>
  <c r="F20" i="19"/>
  <c r="F44" i="19"/>
  <c r="F47" i="19"/>
  <c r="F24" i="19"/>
  <c r="F31" i="19"/>
  <c r="F35" i="19"/>
  <c r="F16" i="19"/>
  <c r="F69" i="19"/>
  <c r="F118" i="19"/>
  <c r="F67" i="19"/>
  <c r="F29" i="19"/>
  <c r="F123" i="19"/>
  <c r="F120" i="19"/>
  <c r="F119" i="19"/>
  <c r="F117" i="19"/>
  <c r="F116" i="19"/>
  <c r="F115" i="19"/>
  <c r="F114" i="19"/>
  <c r="F113" i="19"/>
  <c r="F112" i="19"/>
  <c r="F111" i="19"/>
  <c r="F110" i="19"/>
  <c r="F109" i="19"/>
  <c r="F107" i="19"/>
  <c r="F106" i="19"/>
  <c r="F105" i="19"/>
  <c r="F104" i="19"/>
  <c r="F103" i="19"/>
  <c r="F102" i="19"/>
  <c r="F101" i="19"/>
  <c r="F98" i="19"/>
  <c r="F97" i="19"/>
  <c r="F96" i="19"/>
  <c r="F95" i="19"/>
  <c r="F94" i="19"/>
  <c r="F92" i="19"/>
  <c r="F91" i="19"/>
  <c r="F90" i="19"/>
  <c r="F89" i="19"/>
  <c r="F88" i="19"/>
  <c r="F87" i="19"/>
  <c r="F86" i="19"/>
  <c r="F85" i="19"/>
  <c r="F84" i="19"/>
  <c r="F83" i="19"/>
  <c r="F82" i="19"/>
  <c r="F80" i="19"/>
  <c r="F79" i="19"/>
  <c r="F78" i="19"/>
  <c r="F77" i="19"/>
  <c r="F76" i="19"/>
  <c r="F75" i="19"/>
  <c r="F74" i="19"/>
  <c r="F73" i="19"/>
  <c r="F72" i="19"/>
  <c r="F71" i="19"/>
  <c r="F70" i="19"/>
  <c r="F61" i="19"/>
  <c r="F59" i="19"/>
  <c r="F66" i="19"/>
  <c r="F65" i="19"/>
  <c r="F64" i="19"/>
  <c r="F63" i="19"/>
  <c r="F60" i="19"/>
  <c r="F57" i="19"/>
  <c r="F62" i="19"/>
  <c r="F56" i="19"/>
  <c r="F55" i="19"/>
  <c r="F53" i="19"/>
  <c r="F52" i="19"/>
  <c r="F51" i="19"/>
  <c r="F50" i="19"/>
  <c r="F49" i="19"/>
  <c r="F48" i="19"/>
  <c r="F5" i="19"/>
  <c r="F46" i="19"/>
  <c r="F45" i="19"/>
  <c r="F4" i="19"/>
  <c r="F43" i="19"/>
  <c r="F42" i="19"/>
  <c r="F41" i="19"/>
  <c r="F40" i="19"/>
  <c r="F39" i="19"/>
  <c r="F38" i="19"/>
  <c r="F37" i="19"/>
  <c r="F34" i="19"/>
  <c r="F33" i="19"/>
  <c r="F32" i="19"/>
  <c r="F30" i="19"/>
  <c r="F27" i="19"/>
  <c r="F25" i="19"/>
  <c r="F21" i="19"/>
  <c r="F19" i="19"/>
  <c r="F18" i="19"/>
  <c r="F15" i="19"/>
  <c r="F14" i="19"/>
  <c r="F13" i="19"/>
  <c r="F12" i="19"/>
  <c r="F11" i="19"/>
  <c r="F10" i="19"/>
  <c r="F8" i="19"/>
  <c r="F7" i="19"/>
  <c r="F6" i="19"/>
  <c r="G117" i="17"/>
  <c r="F85" i="17"/>
  <c r="F98" i="17"/>
  <c r="F4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84" i="17"/>
  <c r="F104" i="17"/>
  <c r="J12" i="16"/>
  <c r="I12" i="16"/>
  <c r="I11" i="16"/>
  <c r="J10" i="16"/>
  <c r="I10" i="16"/>
  <c r="I5" i="16"/>
  <c r="I6" i="16"/>
  <c r="I4" i="16"/>
  <c r="F103" i="17"/>
  <c r="F102" i="17"/>
  <c r="F101" i="17"/>
  <c r="F100" i="17"/>
  <c r="F99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7" i="17"/>
  <c r="F66" i="17"/>
  <c r="F65" i="17"/>
  <c r="F64" i="17"/>
  <c r="F63" i="17"/>
  <c r="F62" i="17"/>
  <c r="F61" i="17"/>
  <c r="F60" i="17"/>
  <c r="F59" i="17"/>
  <c r="F58" i="17"/>
  <c r="F57" i="17"/>
  <c r="F55" i="17"/>
  <c r="F54" i="17"/>
  <c r="F53" i="17"/>
  <c r="F52" i="17"/>
  <c r="F51" i="17"/>
  <c r="F50" i="17"/>
  <c r="F49" i="17"/>
  <c r="F47" i="17"/>
  <c r="F46" i="17"/>
  <c r="F45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4" i="17"/>
  <c r="F23" i="17"/>
  <c r="F22" i="17"/>
  <c r="F21" i="17"/>
  <c r="F19" i="17"/>
  <c r="F18" i="17"/>
  <c r="F17" i="17"/>
  <c r="F16" i="17"/>
  <c r="F15" i="17"/>
  <c r="F13" i="17"/>
  <c r="F12" i="17"/>
  <c r="F11" i="17"/>
  <c r="F10" i="17"/>
  <c r="F9" i="17"/>
  <c r="F7" i="17"/>
  <c r="F6" i="17"/>
  <c r="F5" i="17"/>
  <c r="F4" i="17"/>
  <c r="G118" i="15"/>
  <c r="F116" i="15"/>
  <c r="F80" i="15"/>
  <c r="G28" i="15"/>
  <c r="G66" i="15"/>
  <c r="F28" i="15"/>
  <c r="F42" i="15"/>
  <c r="F44" i="15"/>
  <c r="F54" i="15"/>
  <c r="G54" i="15"/>
  <c r="G80" i="15"/>
  <c r="E31" i="15"/>
  <c r="F31" i="15" s="1"/>
  <c r="F4" i="15"/>
  <c r="F56" i="15"/>
  <c r="H12" i="14"/>
  <c r="F90" i="15"/>
  <c r="F91" i="15"/>
  <c r="H114" i="13"/>
  <c r="G114" i="13"/>
  <c r="F41" i="15"/>
  <c r="F115" i="15"/>
  <c r="F38" i="15"/>
  <c r="H14" i="14"/>
  <c r="H13" i="14"/>
  <c r="F67" i="15"/>
  <c r="F24" i="15"/>
  <c r="F34" i="15"/>
  <c r="F113" i="15"/>
  <c r="F66" i="15"/>
  <c r="F117" i="15"/>
  <c r="F8" i="15"/>
  <c r="F111" i="15"/>
  <c r="F61" i="15"/>
  <c r="F72" i="15"/>
  <c r="F95" i="15"/>
  <c r="F58" i="15"/>
  <c r="F63" i="15"/>
  <c r="F74" i="15"/>
  <c r="F104" i="15"/>
  <c r="F108" i="15"/>
  <c r="F100" i="15"/>
  <c r="F107" i="15"/>
  <c r="F109" i="15"/>
  <c r="F84" i="15"/>
  <c r="F87" i="15"/>
  <c r="F98" i="15"/>
  <c r="F26" i="15"/>
  <c r="F29" i="15"/>
  <c r="F60" i="15"/>
  <c r="F85" i="15"/>
  <c r="F81" i="15"/>
  <c r="F48" i="15"/>
  <c r="F68" i="15"/>
  <c r="F32" i="15"/>
  <c r="F17" i="15"/>
  <c r="F7" i="15"/>
  <c r="F112" i="15"/>
  <c r="F101" i="15"/>
  <c r="F19" i="15"/>
  <c r="F30" i="15"/>
  <c r="F57" i="15"/>
  <c r="F39" i="15"/>
  <c r="F52" i="15"/>
  <c r="F23" i="15"/>
  <c r="F25" i="15"/>
  <c r="F59" i="15"/>
  <c r="F12" i="15"/>
  <c r="F77" i="15"/>
  <c r="F70" i="15"/>
  <c r="F20" i="15"/>
  <c r="F27" i="15"/>
  <c r="F103" i="15"/>
  <c r="F53" i="15"/>
  <c r="F110" i="15"/>
  <c r="F47" i="15"/>
  <c r="F97" i="15"/>
  <c r="F11" i="15"/>
  <c r="F13" i="15"/>
  <c r="F76" i="15"/>
  <c r="F40" i="15"/>
  <c r="F14" i="15"/>
  <c r="F106" i="15"/>
  <c r="F21" i="15"/>
  <c r="F35" i="15"/>
  <c r="F105" i="15"/>
  <c r="F73" i="15"/>
  <c r="F55" i="15"/>
  <c r="F79" i="15"/>
  <c r="F37" i="15"/>
  <c r="F71" i="15"/>
  <c r="F65" i="15"/>
  <c r="F96" i="15"/>
  <c r="F93" i="15"/>
  <c r="F36" i="15"/>
  <c r="F16" i="15"/>
  <c r="F86" i="15"/>
  <c r="F64" i="15"/>
  <c r="F9" i="15"/>
  <c r="F99" i="15"/>
  <c r="F69" i="15"/>
  <c r="F50" i="15"/>
  <c r="F22" i="15"/>
  <c r="F78" i="15"/>
  <c r="F114" i="15"/>
  <c r="F88" i="15"/>
  <c r="F82" i="15"/>
  <c r="F75" i="15"/>
  <c r="F5" i="15"/>
  <c r="F83" i="15"/>
  <c r="F51" i="15"/>
  <c r="F94" i="15"/>
  <c r="F102" i="15"/>
  <c r="F43" i="15"/>
  <c r="F6" i="15"/>
  <c r="F62" i="15"/>
  <c r="F45" i="15"/>
  <c r="F46" i="15"/>
  <c r="F33" i="15"/>
  <c r="F89" i="15"/>
  <c r="F15" i="15"/>
  <c r="F92" i="15"/>
  <c r="H10" i="12"/>
  <c r="I10" i="12"/>
  <c r="I6" i="14"/>
  <c r="H4" i="14"/>
  <c r="H10" i="14"/>
  <c r="H9" i="14"/>
  <c r="H8" i="14"/>
  <c r="H7" i="14"/>
  <c r="H6" i="14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8" i="13"/>
  <c r="G17" i="13"/>
  <c r="G16" i="13"/>
  <c r="G15" i="13"/>
  <c r="G14" i="13"/>
  <c r="G13" i="13"/>
  <c r="G12" i="13"/>
  <c r="G11" i="13"/>
  <c r="G9" i="13"/>
  <c r="G8" i="13"/>
  <c r="G7" i="13"/>
  <c r="G6" i="13"/>
  <c r="G5" i="13"/>
  <c r="G4" i="13"/>
  <c r="H9" i="12"/>
  <c r="H8" i="12"/>
  <c r="H7" i="12"/>
  <c r="H6" i="12"/>
  <c r="I109" i="11"/>
  <c r="H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109" i="11" s="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5" i="11"/>
  <c r="G14" i="11"/>
  <c r="G13" i="11"/>
  <c r="G12" i="11"/>
  <c r="G11" i="11"/>
  <c r="G10" i="11"/>
  <c r="G9" i="11"/>
  <c r="G7" i="11"/>
  <c r="G6" i="11"/>
  <c r="G5" i="11"/>
  <c r="G4" i="11"/>
  <c r="G9" i="10"/>
  <c r="G8" i="10"/>
  <c r="G7" i="10"/>
  <c r="G6" i="10"/>
  <c r="I107" i="9"/>
  <c r="H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107" i="9" s="1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4" i="9"/>
  <c r="G13" i="9"/>
  <c r="G12" i="9"/>
  <c r="G11" i="9"/>
  <c r="G10" i="9"/>
  <c r="G9" i="9"/>
  <c r="G8" i="9"/>
  <c r="G7" i="9"/>
  <c r="G5" i="9"/>
  <c r="G4" i="9"/>
  <c r="H16" i="8"/>
  <c r="H15" i="8"/>
  <c r="H14" i="8"/>
  <c r="H13" i="8"/>
  <c r="H12" i="8"/>
  <c r="H11" i="8"/>
  <c r="H10" i="8"/>
  <c r="H9" i="8"/>
  <c r="H8" i="8"/>
  <c r="H7" i="8"/>
  <c r="H6" i="8"/>
  <c r="H5" i="8"/>
  <c r="H100" i="7"/>
  <c r="G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4" i="7"/>
  <c r="F13" i="7"/>
  <c r="F12" i="7"/>
  <c r="F11" i="7"/>
  <c r="F10" i="7"/>
  <c r="F9" i="7"/>
  <c r="F100" i="7" s="1"/>
  <c r="F8" i="7"/>
  <c r="F7" i="7"/>
  <c r="F6" i="7"/>
  <c r="F4" i="7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97" i="5"/>
  <c r="G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4" i="5"/>
  <c r="F13" i="5"/>
  <c r="F12" i="5"/>
  <c r="F11" i="5"/>
  <c r="F10" i="5"/>
  <c r="F9" i="5"/>
  <c r="F8" i="5"/>
  <c r="F7" i="5"/>
  <c r="F6" i="5"/>
  <c r="F4" i="5"/>
  <c r="F97" i="5" s="1"/>
  <c r="H7" i="4"/>
  <c r="H6" i="4"/>
  <c r="H5" i="4"/>
  <c r="H101" i="3"/>
  <c r="G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101" i="3" s="1"/>
  <c r="F71" i="3"/>
  <c r="F70" i="3"/>
  <c r="F69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4" i="3"/>
  <c r="F13" i="3"/>
  <c r="F12" i="3"/>
  <c r="F11" i="3"/>
  <c r="F10" i="3"/>
  <c r="F9" i="3"/>
  <c r="F8" i="3"/>
  <c r="F7" i="3"/>
  <c r="F6" i="3"/>
  <c r="F4" i="3"/>
  <c r="I8" i="2"/>
  <c r="H8" i="2"/>
  <c r="H7" i="2"/>
  <c r="H6" i="2"/>
  <c r="H5" i="2"/>
  <c r="G101" i="1"/>
  <c r="F100" i="1"/>
  <c r="F99" i="1"/>
  <c r="F98" i="1"/>
  <c r="F97" i="1"/>
  <c r="F96" i="1"/>
  <c r="F95" i="1"/>
  <c r="F94" i="1"/>
  <c r="F93" i="1"/>
  <c r="F92" i="1"/>
  <c r="F91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4" i="1"/>
  <c r="F73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6" i="1"/>
  <c r="F35" i="1"/>
  <c r="F34" i="1"/>
  <c r="F33" i="1"/>
  <c r="F32" i="1"/>
  <c r="F31" i="1"/>
  <c r="F30" i="1"/>
  <c r="F29" i="1"/>
  <c r="F28" i="1"/>
  <c r="F27" i="1"/>
  <c r="F26" i="1"/>
  <c r="F25" i="1"/>
  <c r="F101" i="1" s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G26" i="18" l="1"/>
  <c r="F26" i="18"/>
  <c r="F105" i="21"/>
  <c r="H105" i="21" s="1"/>
  <c r="F124" i="19"/>
  <c r="F117" i="17"/>
  <c r="F118" i="15"/>
  <c r="G27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======
ID#AAAB8qiQ5c8
tc={91B23DB8-0866-426C-B280-4BA5D276A7E8}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6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======
ID#AAAB8qiQ5bU
tc={4B6BB8F7-3B36-438F-B0B6-C803554F7224}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E7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======
ID#AAAB8rq7ixs
tc={D77AE0FF-FC94-49F3-A39A-9E5A25A53968}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7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======
ID#AAAB8rq7hgE
tc={A97FA5F6-08BC-49B6-936F-8DEB0F872351}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8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======
ID#AAAB8rq7iw4
tc={02707481-FEE1-497C-AEC4-C1150950BD06}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15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======
ID#AAAB8rq7itQ
tc={2499920B-BB32-4A5D-8AF7-4762FD6F1FCC}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15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======
ID#AAAB8rq7iu0
tc={DBF618F9-A23E-46E9-BE0F-6CC86B16FD1C}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7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======
ID#AAAB8rq7hgM
tc={DA47CAA3-46B5-474D-AB8A-BA7CD522DAE2}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2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======
ID#AAAB8qiQ5bI
tc={85F9F288-00A5-4797-9A3B-BB04981F94A4}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23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======
ID#AAAB8rq7iwQ
tc={D36098DC-1530-4BDB-913F-ADDD1561772B}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24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======
ID#AAAB8rq7it8
tc={5A460DE0-0A08-40DC-AB98-99E35E7CD605}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26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======
ID#AAAB8rq7ixQ
tc={D8999471-EACF-4F4E-AE50-C5F2263F4BB2}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27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======
ID#AAAB8rq7itc
tc={52A39CDF-AF19-4493-B372-BD7AFD7F6041}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28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======
ID#AAAB8rq7it0
tc={7D885673-3524-46F4-A889-ECAAA9210BD8}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3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======
ID#AAAB8rq7ivo
tc={2B9EED16-F7DF-45F4-B1B6-88F2896C24C6}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 15/12 a 13/01/2026</t>
        </r>
      </text>
    </comment>
    <comment ref="E36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======
ID#AAAB8rq7iv4
tc={9535563C-824C-437F-B315-C533884D2256}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Segue escala do escritório</t>
        </r>
      </text>
    </comment>
    <comment ref="E37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======
ID#AAAB8qiQ5aA
tc={126755D1-C176-4E3E-9858-7139F949CCD3}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37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======
ID#AAAB8rq7hhM
tc={99B20AFD-35CF-4D18-83E0-82CB25194F5B}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38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======
ID#AAAB8rq7iwU
tc={4F3FDA4D-E77B-4FD8-90EC-4B0E045A9E82}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38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ID#AAAB8rq7hiE
tc={9FC561DE-969A-42EA-B928-A205E23FA826}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40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======
ID#AAAB8rq7iwc
tc={D9C42C9A-9C98-48E1-8B76-1EAB36AA75D6}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44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======
ID#AAAB8rq7hew
tc={FEC7CC15-7FD5-4FAB-B7B0-9C60F7222650}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46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======
ID#AAAB8rq7iwE
tc={006A8647-CEB1-41DB-8715-7395F426AF24}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47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======
ID#AAAB8rq7hhg
tc={7601857D-14B5-49C1-9936-D80766F9DFF2}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48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======
ID#AAAB8rq7hhQ
tc={1572451D-FF69-485D-8D8A-FB0C20B2FCD5}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49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======
ID#AAAB8rq7hhk
tc={25242763-367B-4C83-BB81-FB805D7CA189}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53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======
ID#AAAB8rq7its
tc={F8927597-B704-4720-A38C-5FCFC91BD28D}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5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======
ID#AAAB8qiQ5bA
tc={4E0464DA-7059-4250-90A7-7341B12B07B4}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56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======
ID#AAAB8rq7iss
tc={535F1CBC-2C39-42FA-A128-C76C612AC330}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57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======
ID#AAAB8rq7hhw
tc={6C4018CC-13A9-4C75-AC15-EB791A90069C}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Segue escala do escritório</t>
        </r>
      </text>
    </comment>
    <comment ref="E59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ID#AAAB8rq7hhs
tc={D94F6B82-3AB1-4539-9981-C4892D3F23ED}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61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======
ID#AAAB8qiQ5bk
tc={2241A0C6-A3A2-40BD-B60E-826F17F66869}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6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======
ID#AAAB8rq7ixU
tc={13A75DB9-AFF8-4155-B60A-70532FDED49C}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6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ID#AAAB8rq7ixY
tc={6B118389-9EFF-4DD5-B536-C66D86042BEF}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 22/12 a 20/01/2025</t>
        </r>
      </text>
    </comment>
    <comment ref="E70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======
ID#AAAB8rq7iuo
tc={223F037A-0424-4AB2-A7B9-62F6D0EFC7C7}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71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======
ID#AAAB8rq7hiU
tc={0A9627E9-D3BD-4977-B21E-34959289CCA5}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7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======
ID#AAAB8rq7hgo
tc={53F603DC-7B84-4882-94F8-776BEE79B7BB}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G74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======
ID#AAAB8rq7hg8
tc={351FF41A-5A2F-4308-8C4E-F2345564A44E}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75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======
ID#AAAB8rq7ivY
tc={66878173-35AC-4C1D-8C72-7C5D02510D28}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G76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======
ID#AAAB8qiQ5bg
tc={A763002C-EB01-4DF7-8207-4A3188387982}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77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======
ID#AAAB8rq7hes
tc={6E73BEAF-87B5-4F09-9739-583F9A77888A}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79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======
ID#AAAB8rq7ixI
tc={B620057E-BBC0-4B48-97E7-5FF916CD25BB}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G83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======
ID#AAAB8rq7iuQ
tc={5BF15A63-7D84-4A5E-84FB-E9647A98C68B}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85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======
ID#AAAB8rq7he4
tc={97F98284-052A-4F11-9327-23C9E39AE17F}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86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======
ID#AAAB8qiQ5cw
tc={0BBB6D35-ADEA-4F96-9DCC-C4E7250A1619}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G86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======
ID#AAAB8rq7iv8
tc={1DDC5FCC-0956-4D2C-98F8-1D3BBA144446}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87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======
ID#AAAB8qiQ5ak
tc={250E9592-4E7F-4193-819E-5F84C5E4604C}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88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======
ID#AAAB8rq7ivI
tc={234C4DD3-39FF-422E-BCF4-FAC6616C4173}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89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======
ID#AAAB8rq7itk
tc={8D7C957E-B7E2-4939-9061-FD05E235D19C}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E90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======
ID#AAAB8rq7itY
tc={E1AAC8F7-5F94-4240-ABE8-846336BB5C5A}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G93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======
ID#AAAB8rq7he0
tc={98EB013D-43AD-4DD2-A707-110FA5B36F9D}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95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======
ID#AAAB8rq7iuw
tc={EE1553B1-AD9B-4C24-90EF-E3D691AEEE51}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97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======
ID#AAAB8rq7hhc
tc={2C1214CB-3C9A-440E-B0CA-701F9CEBCE89}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 01/12 a 30/12</t>
        </r>
      </text>
    </comment>
    <comment ref="E99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======
ID#AAAB8qiQ5cE
tc={2DF07EF1-14D2-472A-A5FA-A0BD364C69B1}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kjP2/rTzCet2FMENPoHanmUBvy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======
ID#AAAB8rq7it4
tc={812FE6DD-6635-42FC-A162-809E5A20F9E2}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Colaborador pediu almoço com nosso parceiro de 12/01 a 15/01</t>
        </r>
      </text>
    </comment>
    <comment ref="G8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======
ID#AAAB8rq7heI
tc={6E37ADEB-0DBA-44DB-8DF0-19AA8A19AB8D}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Colaborador pediu almoço com nosso parceiro em seu primeiro dia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4rwDnGhL6F1hsYcmywORR1vEQV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======
ID#AAAB8rq7ixk
tc={228E76ED-FB52-4E7B-B4B1-0ED18DEE7344}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======
ID#AAAB8rq7iwk
tc={6EF2E066-EE99-47E1-8982-C17F70A7DAF6}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G13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======
ID#AAAB8qiQ5cQ
tc={C090711F-6276-4AFD-A6C6-D1DC8172040B}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14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======
ID#AAAB8rq7iw8
tc={3FF26B1F-228D-4706-B285-AA71EA91F319}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16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======
ID#AAAB8rq7iww
tc={F8A203AB-D829-4605-A7A2-331D7DD9B224}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2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======
ID#AAAB8rq7is0
tc={FAD77F22-D48A-4A01-A642-49D86EB855AF}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24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======
ID#AAAB8rq7hg4
tc={5D2E2E3F-F5C1-4FB8-A8DC-69FB4C222357}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Comprimento de aviso trabalhado</t>
        </r>
      </text>
    </comment>
    <comment ref="G26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======
ID#AAAB8qiQ5cI
tc={DED07248-33FC-40B9-BDEE-20335DF426FD}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26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======
ID#AAAB8qiQ5a0
tc={7BF72BED-004D-40BD-BDC3-4C5284134D91}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recebeu VT pois tinha saldo suficiente para mês.</t>
        </r>
      </text>
    </comment>
    <comment ref="G27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======
ID#AAAB8rq7hhA
tc={A4E083B0-B485-4BBA-A34B-A2325E8B7BC4}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5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======
ID#AAAB8qiQ5cU
tc={E17D8800-0E61-4756-9E79-D968007C6B4F}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6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======
ID#AAAB8rq7ivs
tc={A9081F38-2406-4F83-95F7-5C82DD724418}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8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======
ID#AAAB8rq7ixE
tc={0C8BF2CD-F444-482B-BF46-762A42D438D9}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4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======
ID#AAAB8qiQ5bM
tc={62D84D19-3A78-45CE-A0D3-6CBD92B5C2CC}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5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======
ID#AAAB8rq7hgQ
tc={48366275-2D70-47C4-B5F4-A73B677B1829}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6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======
ID#AAAB8rq7hiI
tc={2AF840EA-FDBC-45EA-95DF-C3364986D7FC}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Segue escala do escritório</t>
        </r>
      </text>
    </comment>
    <comment ref="E68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======
ID#AAAB8rq7hic
tc={62A38421-4503-4596-A1DD-E4D5360A16E6}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G73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======
ID#AAAB8rq7heQ
tc={4D689F1E-CDB7-4AEA-BF94-10134D17EFD6}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74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======
ID#AAAB8rq7itw
tc={6739C686-AFAD-406B-9CB6-A88D5D56DC2B}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75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======
ID#AAAB8rq7hhU
tc={80539D36-72E3-4ABE-837A-DFD5FF570965}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76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======
ID#AAAB8qiQ5ck
tc={FCD47EF8-E639-4B93-B404-0FC76829E178}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8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======
ID#AAAB8rq7iu4
tc={A3F22155-95CE-4D4A-93DE-7626814572B7}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Comprimento de aviso trabalhado</t>
        </r>
      </text>
    </comment>
    <comment ref="G83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======
ID#AAAB8qiQ5cg
tc={B23C8EF9-BB02-40BB-BE69-CD5DD99620ED}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86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======
ID#AAAB8rq7iw0
tc={C554E7D3-0260-4A24-B1C1-80E3B61C52D2}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90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======
ID#AAAB8rq7ivQ
tc={0B7FF092-7719-4683-82CC-190C1B5425D2}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93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======
ID#AAAB8rq7hec
tc={AC72B70F-C22C-49C2-9EBF-6B20B068DC17}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M+h7iLGAypUf/2dwjTaEROx53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======
ID#AAAB8rq7ixc
tc={6F6B4688-D737-4342-AC91-DB8592DD83FD}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======
ID#AAAB8qiQ5Z8
tc={698883CF-60A0-4CE5-846F-7D259C7B7CC2}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E12" authorId="0" shapeId="0" xr:uid="{00000000-0006-0000-0400-000012000000}">
      <text>
        <r>
          <rPr>
            <sz val="11"/>
            <color theme="1"/>
            <rFont val="Aptos Narrow"/>
            <family val="2"/>
            <scheme val="minor"/>
          </rPr>
          <t>======
ID#AAAB8rq7hfw
tc={B199BD54-F4DC-4284-8E00-2FE48DB04D33}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13" authorId="0" shapeId="0" xr:uid="{00000000-0006-0000-0400-000013000000}">
      <text>
        <r>
          <rPr>
            <sz val="11"/>
            <color theme="1"/>
            <rFont val="Aptos Narrow"/>
            <family val="2"/>
            <scheme val="minor"/>
          </rPr>
          <t>======
ID#AAAB8rq7hfE
tc={AC549B26-03DF-445A-B883-CF1C8DED8CFE}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21" authorId="0" shapeId="0" xr:uid="{00000000-0006-0000-0400-00000D000000}">
      <text>
        <r>
          <rPr>
            <sz val="11"/>
            <color theme="1"/>
            <rFont val="Aptos Narrow"/>
            <family val="2"/>
            <scheme val="minor"/>
          </rPr>
          <t>======
ID#AAAB8rq7iuU
tc={585C1500-1FEF-47AA-A838-703AC7C23E29}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21" authorId="0" shapeId="0" xr:uid="{00000000-0006-0000-0400-00000E000000}">
      <text>
        <r>
          <rPr>
            <sz val="11"/>
            <color theme="1"/>
            <rFont val="Aptos Narrow"/>
            <family val="2"/>
            <scheme val="minor"/>
          </rPr>
          <t>======
ID#AAAB8qiQ5b4
tc={75915E7B-B2A5-4631-AFEA-93E1D3053759}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24" authorId="0" shapeId="0" xr:uid="{00000000-0006-0000-0400-00000B000000}">
      <text>
        <r>
          <rPr>
            <sz val="11"/>
            <color theme="1"/>
            <rFont val="Aptos Narrow"/>
            <family val="2"/>
            <scheme val="minor"/>
          </rPr>
          <t>======
ID#AAAB8qiQ5bE
tc={E7A19C3E-A3C8-4B10-95C3-26EB245AA53B}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24" authorId="0" shapeId="0" xr:uid="{00000000-0006-0000-0400-00000C000000}">
      <text>
        <r>
          <rPr>
            <sz val="11"/>
            <color theme="1"/>
            <rFont val="Aptos Narrow"/>
            <family val="2"/>
            <scheme val="minor"/>
          </rPr>
          <t>======
ID#AAAB8rq7ivE
tc={A3913EAE-55D4-412E-A290-9984B9792AD0}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recebeu VT pois tinha saldo suficiente para mês.</t>
        </r>
      </text>
    </comment>
    <comment ref="G25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======
ID#AAAB8qiQ5Z0
tc={CFD06833-84BC-4F87-BFCA-B98C158B56AF}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3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======
ID#AAAB8rq7he8
tc={4FDC5604-BA0F-4B04-BE41-41EEC829089F}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4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======
ID#AAAB8qiQ5a4
tc={00F52D2C-875B-4E6A-85D8-8007F3F2E0FB}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6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======
ID#AAAB8rq7iwA
tc={C7581EAB-04B9-4D73-91E3-9D7AEE221480}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38" authorId="0" shapeId="0" xr:uid="{00000000-0006-0000-0400-000016000000}">
      <text>
        <r>
          <rPr>
            <sz val="11"/>
            <color theme="1"/>
            <rFont val="Aptos Narrow"/>
            <family val="2"/>
            <scheme val="minor"/>
          </rPr>
          <t>======
ID#AAAB8rq7ixo
tc={2769CEB0-3721-47C0-8ABC-2C8137F8419F}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40" authorId="0" shapeId="0" xr:uid="{00000000-0006-0000-0400-000017000000}">
      <text>
        <r>
          <rPr>
            <sz val="11"/>
            <color theme="1"/>
            <rFont val="Aptos Narrow"/>
            <family val="2"/>
            <scheme val="minor"/>
          </rPr>
          <t>======
ID#AAAB8rq7iuM
tc={2F8311D5-7564-4626-B476-12F554ACBBC7}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50" authorId="0" shapeId="0" xr:uid="{00000000-0006-0000-0400-000010000000}">
      <text>
        <r>
          <rPr>
            <sz val="11"/>
            <color theme="1"/>
            <rFont val="Aptos Narrow"/>
            <family val="2"/>
            <scheme val="minor"/>
          </rPr>
          <t>======
ID#AAAB8rq7hh4
tc={0E24618B-1E83-4F8F-98C8-2449A8ACDCAD}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8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======
ID#AAAB8rq7hfo
tc={C57D44FE-1B09-4E0E-9E36-A708A4281123}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63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======
ID#AAAB8qiQ5ao
tc={C4FE7F65-EFC7-419E-BBE9-736EA20CAAFD}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G71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======
ID#AAAB8rq7iwo
tc={DCDB2929-E488-4FAB-9E12-64B8CD5D7C31}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73" authorId="0" shapeId="0" xr:uid="{00000000-0006-0000-0400-000015000000}">
      <text>
        <r>
          <rPr>
            <sz val="11"/>
            <color theme="1"/>
            <rFont val="Aptos Narrow"/>
            <family val="2"/>
            <scheme val="minor"/>
          </rPr>
          <t>======
ID#AAAB8rq7hhE
tc={DDC6DC00-5D2B-43E1-9961-60B38984840B}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74" authorId="0" shapeId="0" xr:uid="{00000000-0006-0000-0400-000014000000}">
      <text>
        <r>
          <rPr>
            <sz val="11"/>
            <color theme="1"/>
            <rFont val="Aptos Narrow"/>
            <family val="2"/>
            <scheme val="minor"/>
          </rPr>
          <t>======
ID#AAAB8rq7hgk
tc={ECA75647-1AF5-4B1F-9B5B-3276D4F665C4}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79" authorId="0" shapeId="0" xr:uid="{00000000-0006-0000-0400-000011000000}">
      <text>
        <r>
          <rPr>
            <sz val="11"/>
            <color theme="1"/>
            <rFont val="Aptos Narrow"/>
            <family val="2"/>
            <scheme val="minor"/>
          </rPr>
          <t>======
ID#AAAB8qiQ5ac
tc={13B75FC0-B755-4CC7-B938-32FAF942B0E5}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82" authorId="0" shapeId="0" xr:uid="{00000000-0006-0000-0400-00000F000000}">
      <text>
        <r>
          <rPr>
            <sz val="11"/>
            <color theme="1"/>
            <rFont val="Aptos Narrow"/>
            <family val="2"/>
            <scheme val="minor"/>
          </rPr>
          <t>======
ID#AAAB8rq7hiY
tc={79C49617-F736-4768-BB3F-E67ED2C5E8AC}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89" authorId="0" shapeId="0" xr:uid="{00000000-0006-0000-0400-000009000000}">
      <text>
        <r>
          <rPr>
            <sz val="11"/>
            <color theme="1"/>
            <rFont val="Aptos Narrow"/>
            <family val="2"/>
            <scheme val="minor"/>
          </rPr>
          <t>======
ID#AAAB8qiQ5dE
tc={CCE82DCB-6B21-4A17-8038-86671E1AB1DF}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Y+JKEU1vRCdOYkKgK3Xz7o4wt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======
ID#AAAB8rq7heU
tc={A3A35C31-EB5A-453C-AA48-D8E356BE63DB}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I8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======
ID#AAAB8rq7iu8
tc={CCBB0DC3-4EE7-44AF-8E68-4969B2CB73DC}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9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======
ID#AAAB8rq7ix0
tc={3AB705A9-71CB-4701-9F1D-5FDE0ED9E6C0}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Pediu 1 dia com nosso parceiro</t>
        </r>
      </text>
    </comment>
    <comment ref="G10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======
ID#AAAB8rq7ivg
tc={14238FEB-8318-482E-BE6D-72F023BD1953}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4 Dias solicitados com nosso parceiro</t>
        </r>
      </text>
    </comment>
    <comment ref="G14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======
ID#AAAB8rq7iug
tc={F0FA15D7-5129-4AB5-A3D7-CCA832C482C8}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3 Dias solicitando com nosso parceiro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9SjiIbnMri+wFSPxi1OOu+f9z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600-000011000000}">
      <text>
        <r>
          <rPr>
            <sz val="11"/>
            <color theme="1"/>
            <rFont val="Aptos Narrow"/>
            <family val="2"/>
            <scheme val="minor"/>
          </rPr>
          <t>======
ID#AAAB8rq7hgs
tc={9C53E5D2-BE08-49D6-A030-C34DA0560C76}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======
ID#AAAB8rq7is4
tc={61B7560F-2AB3-4346-959D-1E07CC7E3F19}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E10" authorId="0" shapeId="0" xr:uid="{00000000-0006-0000-0600-00000D000000}">
      <text>
        <r>
          <rPr>
            <sz val="11"/>
            <color theme="1"/>
            <rFont val="Aptos Narrow"/>
            <family val="2"/>
            <scheme val="minor"/>
          </rPr>
          <t>======
ID#AAAB8qiQ5dA
tc={B2C7604C-09AD-42CE-A2DE-86808A6DAB63}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12" authorId="0" shapeId="0" xr:uid="{00000000-0006-0000-0600-00000B000000}">
      <text>
        <r>
          <rPr>
            <sz val="11"/>
            <color theme="1"/>
            <rFont val="Aptos Narrow"/>
            <family val="2"/>
            <scheme val="minor"/>
          </rPr>
          <t>======
ID#AAAB8qiQ5aI
tc={22B7F018-5129-4D4E-9D82-707D1370B213}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13" authorId="0" shapeId="0" xr:uid="{00000000-0006-0000-0600-00001A000000}">
      <text>
        <r>
          <rPr>
            <sz val="11"/>
            <color theme="1"/>
            <rFont val="Aptos Narrow"/>
            <family val="2"/>
            <scheme val="minor"/>
          </rPr>
          <t>======
ID#AAAB8rq7iuY
tc={859EA16E-9AD9-4E38-84CE-BA6B766DB149}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8" authorId="0" shapeId="0" xr:uid="{00000000-0006-0000-0600-00000A000000}">
      <text>
        <r>
          <rPr>
            <sz val="11"/>
            <color theme="1"/>
            <rFont val="Aptos Narrow"/>
            <family val="2"/>
            <scheme val="minor"/>
          </rPr>
          <t>======
ID#AAAB8rq7hfk
tc={8D75DD10-8DF8-4791-AF19-5671E9082697}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22" authorId="0" shapeId="0" xr:uid="{00000000-0006-0000-0600-000008000000}">
      <text>
        <r>
          <rPr>
            <sz val="11"/>
            <color theme="1"/>
            <rFont val="Aptos Narrow"/>
            <family val="2"/>
            <scheme val="minor"/>
          </rPr>
          <t>======
ID#AAAB8rq7iuk
tc={E01B0FB0-6D41-43BE-BE70-3A882FF19022}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C23" authorId="0" shapeId="0" xr:uid="{00000000-0006-0000-0600-000014000000}">
      <text>
        <r>
          <rPr>
            <sz val="11"/>
            <color theme="1"/>
            <rFont val="Aptos Narrow"/>
            <family val="2"/>
            <scheme val="minor"/>
          </rPr>
          <t>======
ID#AAAB8rq7hgI
tc={9C96C105-7EDF-4E22-B4FB-A4DFAC7B8F6D}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R$1.550,00 Bonificação</t>
        </r>
      </text>
    </comment>
    <comment ref="G24" authorId="0" shapeId="0" xr:uid="{00000000-0006-0000-0600-000007000000}">
      <text>
        <r>
          <rPr>
            <sz val="11"/>
            <color theme="1"/>
            <rFont val="Aptos Narrow"/>
            <family val="2"/>
            <scheme val="minor"/>
          </rPr>
          <t>======
ID#AAAB8qiQ5cM
tc={556A099E-0453-4835-946C-F772EEE3CF7E}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25" authorId="0" shapeId="0" xr:uid="{00000000-0006-0000-0600-000016000000}">
      <text>
        <r>
          <rPr>
            <sz val="11"/>
            <color theme="1"/>
            <rFont val="Aptos Narrow"/>
            <family val="2"/>
            <scheme val="minor"/>
          </rPr>
          <t>======
ID#AAAB8qiQ5co
tc={99BDD0EA-819A-43E6-B52B-6C90886BF698}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3" authorId="0" shapeId="0" xr:uid="{00000000-0006-0000-0600-000012000000}">
      <text>
        <r>
          <rPr>
            <sz val="11"/>
            <color theme="1"/>
            <rFont val="Aptos Narrow"/>
            <family val="2"/>
            <scheme val="minor"/>
          </rPr>
          <t>======
ID#AAAB8qiQ5c4
tc={FF5EF20C-C7F3-4080-8A5C-354CEC20FFCF}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34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======
ID#AAAB8qiQ5cc
tc={AC9C95C7-0ADF-472F-9A7A-60D09CEAB86C}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35" authorId="0" shapeId="0" xr:uid="{00000000-0006-0000-0600-000010000000}">
      <text>
        <r>
          <rPr>
            <sz val="11"/>
            <color theme="1"/>
            <rFont val="Aptos Narrow"/>
            <family val="2"/>
            <scheme val="minor"/>
          </rPr>
          <t>======
ID#AAAB8qiQ5c0
tc={AF823828-0581-405A-A44B-A216E0BD3E35}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36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======
ID#AAAB8qiQ5aE
tc={2992FE4B-2FBD-4896-A449-63678ED337D6}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43" authorId="0" shapeId="0" xr:uid="{00000000-0006-0000-0600-00000C000000}">
      <text>
        <r>
          <rPr>
            <sz val="11"/>
            <color theme="1"/>
            <rFont val="Aptos Narrow"/>
            <family val="2"/>
            <scheme val="minor"/>
          </rPr>
          <t>======
ID#AAAB8rq7hhY
tc={7A98AC65-1944-4DFD-9B48-D87725F43875}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48" authorId="0" shapeId="0" xr:uid="{00000000-0006-0000-0600-000017000000}">
      <text>
        <r>
          <rPr>
            <sz val="11"/>
            <color theme="1"/>
            <rFont val="Aptos Narrow"/>
            <family val="2"/>
            <scheme val="minor"/>
          </rPr>
          <t>======
ID#AAAB8rq7hgA
tc={6455068D-772A-42A6-B502-82E5C5626A41}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51" authorId="0" shapeId="0" xr:uid="{00000000-0006-0000-0600-000009000000}">
      <text>
        <r>
          <rPr>
            <sz val="11"/>
            <color theme="1"/>
            <rFont val="Aptos Narrow"/>
            <family val="2"/>
            <scheme val="minor"/>
          </rPr>
          <t>======
ID#AAAB8rq7ito
tc={032D0F49-6F23-48DD-A4C5-EAFB04F0D5A0}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E57" authorId="0" shapeId="0" xr:uid="{00000000-0006-0000-0600-000006000000}">
      <text>
        <r>
          <rPr>
            <sz val="11"/>
            <color theme="1"/>
            <rFont val="Aptos Narrow"/>
            <family val="2"/>
            <scheme val="minor"/>
          </rPr>
          <t>======
ID#AAAB8rq7ivc
tc={0850F408-3888-4697-80AB-7BE0D23CAE87}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G70" authorId="0" shapeId="0" xr:uid="{00000000-0006-0000-0600-00000F000000}">
      <text>
        <r>
          <rPr>
            <sz val="11"/>
            <color theme="1"/>
            <rFont val="Aptos Narrow"/>
            <family val="2"/>
            <scheme val="minor"/>
          </rPr>
          <t>======
ID#AAAB8qiQ5aU
tc={0DE61F34-2963-4610-BAF6-396A95157FF6}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72" authorId="0" shapeId="0" xr:uid="{00000000-0006-0000-0600-00000E000000}">
      <text>
        <r>
          <rPr>
            <sz val="11"/>
            <color theme="1"/>
            <rFont val="Aptos Narrow"/>
            <family val="2"/>
            <scheme val="minor"/>
          </rPr>
          <t>======
ID#AAAB8rq7hek
tc={E63290C5-5FB8-4FE6-A5C8-8D1E833E27F1}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79" authorId="0" shapeId="0" xr:uid="{00000000-0006-0000-0600-000019000000}">
      <text>
        <r>
          <rPr>
            <sz val="11"/>
            <color theme="1"/>
            <rFont val="Aptos Narrow"/>
            <family val="2"/>
            <scheme val="minor"/>
          </rPr>
          <t>======
ID#AAAB8rq7itA
tc={0F78BAEC-CBAF-40C2-B074-2B5D597256A0}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81" authorId="0" shapeId="0" xr:uid="{00000000-0006-0000-0600-000018000000}">
      <text>
        <r>
          <rPr>
            <sz val="11"/>
            <color theme="1"/>
            <rFont val="Aptos Narrow"/>
            <family val="2"/>
            <scheme val="minor"/>
          </rPr>
          <t>======
ID#AAAB8rq7heg
tc={20AB087C-95EB-4CAF-A1BB-9B2734C8D663}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89" authorId="0" shapeId="0" xr:uid="{00000000-0006-0000-0600-000015000000}">
      <text>
        <r>
          <rPr>
            <sz val="11"/>
            <color theme="1"/>
            <rFont val="Aptos Narrow"/>
            <family val="2"/>
            <scheme val="minor"/>
          </rPr>
          <t>======
ID#AAAB8rq7ix4
tc={A398DF5B-1EAE-43F9-9CF5-20212993FDBE}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90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======
ID#AAAB8qiQ5Zw
tc={3277B93D-2F96-4C8C-95D5-46539E3A9453}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G91" authorId="0" shapeId="0" xr:uid="{00000000-0006-0000-0600-000013000000}">
      <text>
        <r>
          <rPr>
            <sz val="11"/>
            <color theme="1"/>
            <rFont val="Aptos Narrow"/>
            <family val="2"/>
            <scheme val="minor"/>
          </rPr>
          <t>======
ID#AAAB8rq7ivw
tc={A2195843-7D44-4FF8-A20A-772E909B73DB}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98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======
ID#AAAB8rq7iuI
tc={107A58F5-E8E3-4A03-BDBD-D5B8DA97741C}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a01hcYBz7LKipCQ6CyG7+ITlQ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00000000-0006-0000-0700-000003000000}">
      <text>
        <r>
          <rPr>
            <sz val="11"/>
            <color theme="1"/>
            <rFont val="Aptos Narrow"/>
            <family val="2"/>
            <scheme val="minor"/>
          </rPr>
          <t>======
ID#AAAB4_VpsbA
Jeniffer Alves    (2026-04-27 15:19:59)
Cancelado - Pediu demissão</t>
        </r>
      </text>
    </comment>
    <comment ref="H15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======
ID#AAAB4_Vpsa8
Jeniffer Alves    (2026-04-27 15:19:59)
O candidato decidiu pedir almoço com parceiro, como já estavamos no final do mês, vamos recarregar o mensal</t>
        </r>
      </text>
    </comment>
    <comment ref="H16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======
ID#AAAB4_VpsbE
Jeniffer Alves    (2026-04-27 15:19:59)
Foi realizado pagamento diretamente do crédito Caju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uKRpmwc+e52k4fadZaTZFRRLOQ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800-000005000000}">
      <text>
        <r>
          <rPr>
            <sz val="11"/>
            <color theme="1"/>
            <rFont val="Aptos Narrow"/>
            <family val="2"/>
            <scheme val="minor"/>
          </rPr>
          <t>======
ID#AAAB8rq7hh0
tc={AA862492-2BCF-418A-B057-DCB85C6D36AA}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6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======
ID#AAAB8qiQ5bs
tc={C1F2E62C-7A10-47E5-80F4-DE124B79086B}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H13" authorId="0" shapeId="0" xr:uid="{00000000-0006-0000-0800-000011000000}">
      <text>
        <r>
          <rPr>
            <sz val="11"/>
            <color theme="1"/>
            <rFont val="Aptos Narrow"/>
            <family val="2"/>
            <scheme val="minor"/>
          </rPr>
          <t>======
ID#AAAB8rq7itg
tc={72973B56-9928-4228-B1F9-78A3CDDB0AC3}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5" authorId="0" shapeId="0" xr:uid="{00000000-0006-0000-0800-00000F000000}">
      <text>
        <r>
          <rPr>
            <sz val="11"/>
            <color theme="1"/>
            <rFont val="Aptos Narrow"/>
            <family val="2"/>
            <scheme val="minor"/>
          </rPr>
          <t>======
ID#AAAB8rq7hgg
tc={CA57D5E1-EDB5-48A0-AACC-E9FE1E45142E}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R$600 fixo</t>
        </r>
      </text>
    </comment>
    <comment ref="D23" authorId="0" shapeId="0" xr:uid="{00000000-0006-0000-0800-000009000000}">
      <text>
        <r>
          <rPr>
            <sz val="11"/>
            <color theme="1"/>
            <rFont val="Aptos Narrow"/>
            <family val="2"/>
            <scheme val="minor"/>
          </rPr>
          <t>======
ID#AAAB8rq7ixw
tc={D10FFD4E-6FF3-4B31-8EBD-0FB64733FA15}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2.000 reais de bonificação - dividir entre alimentação e mobilidade e o restante pagar como bonificação</t>
        </r>
      </text>
    </comment>
    <comment ref="H24" authorId="0" shapeId="0" xr:uid="{00000000-0006-0000-0800-00000D000000}">
      <text>
        <r>
          <rPr>
            <sz val="11"/>
            <color theme="1"/>
            <rFont val="Aptos Narrow"/>
            <family val="2"/>
            <scheme val="minor"/>
          </rPr>
          <t>======
ID#AAAB8qiQ5bc
tc={E329363B-49B8-4FC2-9CBA-BC3B62F477F3}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25" authorId="0" shapeId="0" xr:uid="{00000000-0006-0000-0800-00000B000000}">
      <text>
        <r>
          <rPr>
            <sz val="11"/>
            <color theme="1"/>
            <rFont val="Aptos Narrow"/>
            <family val="2"/>
            <scheme val="minor"/>
          </rPr>
          <t>======
ID#AAAB8rq7hhI
tc={0A18A092-3056-4C7D-8FBC-9A0D683A7368}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26" authorId="0" shapeId="0" xr:uid="{00000000-0006-0000-0800-00000A000000}">
      <text>
        <r>
          <rPr>
            <sz val="11"/>
            <color theme="1"/>
            <rFont val="Aptos Narrow"/>
            <family val="2"/>
            <scheme val="minor"/>
          </rPr>
          <t>======
ID#AAAB8rq7ivk
tc={4A1427AE-1B0C-4E32-B855-7E74902C31F8}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36" authorId="0" shapeId="0" xr:uid="{00000000-0006-0000-0800-000006000000}">
      <text>
        <r>
          <rPr>
            <sz val="11"/>
            <color theme="1"/>
            <rFont val="Aptos Narrow"/>
            <family val="2"/>
            <scheme val="minor"/>
          </rPr>
          <t>======
ID#AAAB8qiQ5bo
tc={0512B590-FC5B-4660-8DCD-2B6281CA275B}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37" authorId="0" shapeId="0" xr:uid="{00000000-0006-0000-0800-000004000000}">
      <text>
        <r>
          <rPr>
            <sz val="11"/>
            <color theme="1"/>
            <rFont val="Aptos Narrow"/>
            <family val="2"/>
            <scheme val="minor"/>
          </rPr>
          <t>======
ID#AAAB8rq7isg
tc={93E8C0DF-9334-4244-9E73-B1E93A0C730A}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39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======
ID#AAAB8qiQ5dM
tc={7398230B-5547-4C73-9138-2BDB2AEDA320}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49" authorId="0" shapeId="0" xr:uid="{00000000-0006-0000-0800-00000E000000}">
      <text>
        <r>
          <rPr>
            <sz val="11"/>
            <color theme="1"/>
            <rFont val="Aptos Narrow"/>
            <family val="2"/>
            <scheme val="minor"/>
          </rPr>
          <t>======
ID#AAAB8rq7heM
tc={59FAD58A-3FED-419F-9EBF-CCB28F5D6803}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74" authorId="0" shapeId="0" xr:uid="{00000000-0006-0000-0800-000013000000}">
      <text>
        <r>
          <rPr>
            <sz val="11"/>
            <color theme="1"/>
            <rFont val="Aptos Narrow"/>
            <family val="2"/>
            <scheme val="minor"/>
          </rPr>
          <t>======
ID#AAAB8rq7hfg
tc={4F20FA2D-D7E9-4143-976A-D9B6DF491217}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H76" authorId="0" shapeId="0" xr:uid="{00000000-0006-0000-0800-000012000000}">
      <text>
        <r>
          <rPr>
            <sz val="11"/>
            <color theme="1"/>
            <rFont val="Aptos Narrow"/>
            <family val="2"/>
            <scheme val="minor"/>
          </rPr>
          <t>======
ID#AAAB8rq7itI
tc={C7456D66-C11A-4208-A333-838977C15946}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79" authorId="0" shapeId="0" xr:uid="{00000000-0006-0000-0800-000010000000}">
      <text>
        <r>
          <rPr>
            <sz val="11"/>
            <color theme="1"/>
            <rFont val="Aptos Narrow"/>
            <family val="2"/>
            <scheme val="minor"/>
          </rPr>
          <t>======
ID#AAAB8rq7iwM
tc={E350AF25-410E-4073-817E-50EE2756199B}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88" authorId="0" shapeId="0" xr:uid="{00000000-0006-0000-0800-00000C000000}">
      <text>
        <r>
          <rPr>
            <sz val="11"/>
            <color theme="1"/>
            <rFont val="Aptos Narrow"/>
            <family val="2"/>
            <scheme val="minor"/>
          </rPr>
          <t>======
ID#AAAB8rq7iuE
tc={0E44DEE2-B7E3-48BB-887B-E44FC3AB6772}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96" authorId="0" shapeId="0" xr:uid="{00000000-0006-0000-0800-000008000000}">
      <text>
        <r>
          <rPr>
            <sz val="11"/>
            <color theme="1"/>
            <rFont val="Aptos Narrow"/>
            <family val="2"/>
            <scheme val="minor"/>
          </rPr>
          <t>======
ID#AAAB8rq7heY
tc={3AE508F7-1320-4C8A-8098-D9D5351FB92B}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98" authorId="0" shapeId="0" xr:uid="{00000000-0006-0000-0800-000007000000}">
      <text>
        <r>
          <rPr>
            <sz val="11"/>
            <color theme="1"/>
            <rFont val="Aptos Narrow"/>
            <family val="2"/>
            <scheme val="minor"/>
          </rPr>
          <t>======
ID#AAAB8rq7hgc
tc={F0D27DA5-A866-41F5-9547-F22EA02BB683}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2" authorId="0" shapeId="0" xr:uid="{00000000-0006-0000-0800-000003000000}">
      <text>
        <r>
          <rPr>
            <sz val="11"/>
            <color theme="1"/>
            <rFont val="Aptos Narrow"/>
            <family val="2"/>
            <scheme val="minor"/>
          </rPr>
          <t>======
ID#AAAB8rq7iws
tc={AAAF7944-2CF4-4959-A5F9-0BBC7037EB19}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5" authorId="0" shapeId="0" xr:uid="{00000000-0006-0000-0800-000014000000}">
      <text>
        <r>
          <rPr>
            <sz val="11"/>
            <color theme="1"/>
            <rFont val="Aptos Narrow"/>
            <family val="2"/>
            <scheme val="minor"/>
          </rPr>
          <t>======
ID#AAAB8qiQ5b0
tc={DBF02C20-777E-442A-B571-04AC107A63DD}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O9eucmuxQWwPKSL+WDWLr2eedA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A00-000015000000}">
      <text>
        <r>
          <rPr>
            <sz val="11"/>
            <color theme="1"/>
            <rFont val="Aptos Narrow"/>
            <family val="2"/>
            <scheme val="minor"/>
          </rPr>
          <t>======
ID#AAAB8rq7hfU
tc={9B14A5A2-F9CC-42D5-9E3A-73718B326C79}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5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======
ID#AAAB8rq7hfI
tc={CA7A54CF-E0C8-4AC5-A65A-923B1478D5F6}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8" authorId="0" shapeId="0" xr:uid="{00000000-0006-0000-0A00-000011000000}">
      <text>
        <r>
          <rPr>
            <sz val="11"/>
            <color theme="1"/>
            <rFont val="Aptos Narrow"/>
            <family val="2"/>
            <scheme val="minor"/>
          </rPr>
          <t>======
ID#AAAB8qiQ5aQ
tc={6189F34D-E4AB-4EAC-B291-18CD99BECD40}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F14" authorId="0" shapeId="0" xr:uid="{00000000-0006-0000-0A00-00000C000000}">
      <text>
        <r>
          <rPr>
            <sz val="11"/>
            <color theme="1"/>
            <rFont val="Aptos Narrow"/>
            <family val="2"/>
            <scheme val="minor"/>
          </rPr>
          <t>======
ID#AAAB8qiQ5b8
tc={ADE2BAE4-444D-4CB8-9F61-2D3B75E00DA2}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H14" authorId="0" shapeId="0" xr:uid="{00000000-0006-0000-0A00-00000E000000}">
      <text>
        <r>
          <rPr>
            <sz val="11"/>
            <color theme="1"/>
            <rFont val="Aptos Narrow"/>
            <family val="2"/>
            <scheme val="minor"/>
          </rPr>
          <t>======
ID#AAAB8qiQ5dI
tc={0E431EBF-2EE1-4F30-899D-398C896AEDA4}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6" authorId="0" shapeId="0" xr:uid="{00000000-0006-0000-0A00-00000B000000}">
      <text>
        <r>
          <rPr>
            <sz val="11"/>
            <color theme="1"/>
            <rFont val="Aptos Narrow"/>
            <family val="2"/>
            <scheme val="minor"/>
          </rPr>
          <t>======
ID#AAAB8rq7iuc
tc={17A1F03A-E40B-44EB-BD25-2006F8424DC8}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R$600 fixo</t>
        </r>
      </text>
    </comment>
    <comment ref="D26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======
ID#AAAB8rq7ixM
tc={210EE619-0751-45CC-8404-3CCA982FE9C3}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2.000 reais de bonificação - dividir entre alimentação e mobilidade e o restante pagar como bonificação</t>
        </r>
      </text>
    </comment>
    <comment ref="H27" authorId="0" shapeId="0" xr:uid="{00000000-0006-0000-0A00-000018000000}">
      <text>
        <r>
          <rPr>
            <sz val="11"/>
            <color theme="1"/>
            <rFont val="Aptos Narrow"/>
            <family val="2"/>
            <scheme val="minor"/>
          </rPr>
          <t>======
ID#AAAB8rq7iwI
tc={D398A638-2E06-469F-BB2F-2569E1A6EA98}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29" authorId="0" shapeId="0" xr:uid="{00000000-0006-0000-0A00-000017000000}">
      <text>
        <r>
          <rPr>
            <sz val="11"/>
            <color theme="1"/>
            <rFont val="Aptos Narrow"/>
            <family val="2"/>
            <scheme val="minor"/>
          </rPr>
          <t>======
ID#AAAB8rq7iwg
tc={7A782CD6-A665-4D8E-876F-FAB46F1C0C83}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30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======
ID#AAAB8rq7iwY
tc={0E41C1CE-100F-40B2-8249-F88E2AA42EF1}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40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======
ID#AAAB8rq7hho
tc={53C9982B-345B-435B-9BC0-FF763F6A5179}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41" authorId="0" shapeId="0" xr:uid="{00000000-0006-0000-0A00-000013000000}">
      <text>
        <r>
          <rPr>
            <sz val="11"/>
            <color theme="1"/>
            <rFont val="Aptos Narrow"/>
            <family val="2"/>
            <scheme val="minor"/>
          </rPr>
          <t>======
ID#AAAB8qiQ5aw
tc={3A384B6E-3782-43D2-9C62-0593CF56B478}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43" authorId="0" shapeId="0" xr:uid="{00000000-0006-0000-0A00-000010000000}">
      <text>
        <r>
          <rPr>
            <sz val="11"/>
            <color theme="1"/>
            <rFont val="Aptos Narrow"/>
            <family val="2"/>
            <scheme val="minor"/>
          </rPr>
          <t>======
ID#AAAB8rq7hfM
tc={83D3C266-DF5D-45DF-B927-35FFF3BDD4C2}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44" authorId="0" shapeId="0" xr:uid="{00000000-0006-0000-0A00-00001F000000}">
      <text>
        <r>
          <rPr>
            <sz val="11"/>
            <color theme="1"/>
            <rFont val="Aptos Narrow"/>
            <family val="2"/>
            <scheme val="minor"/>
          </rPr>
          <t>======
ID#AAAB8rq7ivA
tc={78082BE3-E409-424F-B294-F68E0FC218BC}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D52" authorId="0" shapeId="0" xr:uid="{00000000-0006-0000-0A00-000019000000}">
      <text>
        <r>
          <rPr>
            <sz val="11"/>
            <color theme="1"/>
            <rFont val="Aptos Narrow"/>
            <family val="2"/>
            <scheme val="minor"/>
          </rPr>
          <t>======
ID#AAAB8rq7ixA
tc={EF2080CE-2E61-499F-9748-C7E019ABA555}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F52" authorId="0" shapeId="0" xr:uid="{00000000-0006-0000-0A00-00001B000000}">
      <text>
        <r>
          <rPr>
            <sz val="11"/>
            <color theme="1"/>
            <rFont val="Aptos Narrow"/>
            <family val="2"/>
            <scheme val="minor"/>
          </rPr>
          <t>======
ID#AAAB8rq7hiA
tc={199F2063-D5C2-433F-B5EB-6F787C79F3B7}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Proporcional</t>
        </r>
      </text>
    </comment>
    <comment ref="H53" authorId="0" shapeId="0" xr:uid="{00000000-0006-0000-0A00-000009000000}">
      <text>
        <r>
          <rPr>
            <sz val="11"/>
            <color theme="1"/>
            <rFont val="Aptos Narrow"/>
            <family val="2"/>
            <scheme val="minor"/>
          </rPr>
          <t>======
ID#AAAB8rq7hf4
tc={94AA4B2B-07ED-49B4-9C4A-1035E74EAC8E}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54" authorId="0" shapeId="0" xr:uid="{00000000-0006-0000-0A00-00001C000000}">
      <text>
        <r>
          <rPr>
            <sz val="11"/>
            <color theme="1"/>
            <rFont val="Aptos Narrow"/>
            <family val="2"/>
            <scheme val="minor"/>
          </rPr>
          <t>======
ID#AAAB8rq7heo
tc={4E620017-4F28-456B-8164-212ADE703E0B}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56" authorId="0" shapeId="0" xr:uid="{00000000-0006-0000-0A00-00001A000000}">
      <text>
        <r>
          <rPr>
            <sz val="11"/>
            <color theme="1"/>
            <rFont val="Aptos Narrow"/>
            <family val="2"/>
            <scheme val="minor"/>
          </rPr>
          <t>======
ID#AAAB8rq7hf0
tc={DB72C759-34CF-4AF1-894E-479EF9298711}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76" authorId="0" shapeId="0" xr:uid="{00000000-0006-0000-0A00-00000D000000}">
      <text>
        <r>
          <rPr>
            <sz val="11"/>
            <color theme="1"/>
            <rFont val="Aptos Narrow"/>
            <family val="2"/>
            <scheme val="minor"/>
          </rPr>
          <t>======
ID#AAAB8rq7ivM
tc={E6D05B0D-4D0C-4622-AB44-7ED5D87CB592}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D77" authorId="0" shapeId="0" xr:uid="{00000000-0006-0000-0A00-00001D000000}">
      <text>
        <r>
          <rPr>
            <sz val="11"/>
            <color theme="1"/>
            <rFont val="Aptos Narrow"/>
            <family val="2"/>
            <scheme val="minor"/>
          </rPr>
          <t>======
ID#AAAB8rq7hfY
tc={A704D124-307B-4A98-9ED7-EA55D3DD59EC}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H79" authorId="0" shapeId="0" xr:uid="{00000000-0006-0000-0A00-00001E000000}">
      <text>
        <r>
          <rPr>
            <sz val="11"/>
            <color theme="1"/>
            <rFont val="Aptos Narrow"/>
            <family val="2"/>
            <scheme val="minor"/>
          </rPr>
          <t>======
ID#AAAB8rq7ixg
tc={2EF52F7C-D723-4F61-806A-E56BC8CF4ED5}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82" authorId="0" shapeId="0" xr:uid="{00000000-0006-0000-0A00-00000A000000}">
      <text>
        <r>
          <rPr>
            <sz val="11"/>
            <color theme="1"/>
            <rFont val="Aptos Narrow"/>
            <family val="2"/>
            <scheme val="minor"/>
          </rPr>
          <t>======
ID#AAAB8rq7ivU
tc={0218FB0A-049A-4662-B451-4C231667B915}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86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======
ID#AAAB8rq7hiM
tc={B433EE48-9ACA-4B78-9C87-EB270095276C}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H90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======
ID#AAAB8rq7hgU
tc={E7BB0D3B-34DD-42D6-9972-B24572845F39}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92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======
ID#AAAB8qiQ5cY
tc={1E9145F0-BE76-4E23-A000-1FDF45F35CB9}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94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======
ID#AAAB8rq7hfQ
tc={50AAD625-8A55-4E92-BC70-A49E473A628A}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em pernambuco e não vem presencialmente.</t>
        </r>
      </text>
    </comment>
    <comment ref="H99" authorId="0" shapeId="0" xr:uid="{00000000-0006-0000-0A00-000016000000}">
      <text>
        <r>
          <rPr>
            <sz val="11"/>
            <color theme="1"/>
            <rFont val="Aptos Narrow"/>
            <family val="2"/>
            <scheme val="minor"/>
          </rPr>
          <t>======
ID#AAAB8qiQ5cA
tc={1DF49C6A-7381-42F8-ACC9-7820F655166A}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1" authorId="0" shapeId="0" xr:uid="{00000000-0006-0000-0A00-000014000000}">
      <text>
        <r>
          <rPr>
            <sz val="11"/>
            <color theme="1"/>
            <rFont val="Aptos Narrow"/>
            <family val="2"/>
            <scheme val="minor"/>
          </rPr>
          <t>======
ID#AAAB8rq7hh8
tc={1EB63BA0-0163-484B-B6EF-E22F34C128DE}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5" authorId="0" shapeId="0" xr:uid="{00000000-0006-0000-0A00-000012000000}">
      <text>
        <r>
          <rPr>
            <sz val="11"/>
            <color theme="1"/>
            <rFont val="Aptos Narrow"/>
            <family val="2"/>
            <scheme val="minor"/>
          </rPr>
          <t>======
ID#AAAB8rq7hf8
tc={143294B1-5CE7-4D44-A819-5B59A4C7253D}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7" authorId="0" shapeId="0" xr:uid="{00000000-0006-0000-0A00-00000F000000}">
      <text>
        <r>
          <rPr>
            <sz val="11"/>
            <color theme="1"/>
            <rFont val="Aptos Narrow"/>
            <family val="2"/>
            <scheme val="minor"/>
          </rPr>
          <t>======
ID#AAAB8rq7isw
tc={01D3F287-6E69-41A6-B4D8-3718F9EE88A6}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JWUqCxIiZ1h1Y4bYSFIZUcNCAzw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Camila Lellis Souza Dos Santos</author>
  </authors>
  <commentList>
    <comment ref="H4" authorId="0" shapeId="0" xr:uid="{00000000-0006-0000-0C00-000013000000}">
      <text>
        <r>
          <rPr>
            <sz val="11"/>
            <color theme="1"/>
            <rFont val="Aptos Narrow"/>
            <family val="2"/>
            <scheme val="minor"/>
          </rPr>
          <t>======
ID#AAAB8rq7hiQ
tc={AB548C3A-EBFB-48BD-AD61-D87A31F0DB20}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5" authorId="0" shapeId="0" xr:uid="{00000000-0006-0000-0C00-000001000000}">
      <text>
        <r>
          <rPr>
            <sz val="11"/>
            <color theme="1"/>
            <rFont val="Aptos Narrow"/>
            <family val="2"/>
            <scheme val="minor"/>
          </rPr>
          <t>======
ID#AAAB8qiQ5aY
tc={9683687A-B350-4C37-9894-F4B3945E3801}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6" authorId="0" shapeId="0" xr:uid="{00000000-0006-0000-0C00-000012000000}">
      <text>
        <r>
          <rPr>
            <sz val="11"/>
            <color theme="1"/>
            <rFont val="Aptos Narrow"/>
            <family val="2"/>
            <scheme val="minor"/>
          </rPr>
          <t>======
ID#AAAB-nDMzsM
tc={C2A35755-9624-431A-ABCD-4012A711E6F4}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F10" authorId="0" shapeId="0" xr:uid="{00000000-0006-0000-0C00-000010000000}">
      <text>
        <r>
          <rPr>
            <sz val="11"/>
            <color theme="1"/>
            <rFont val="Aptos Narrow"/>
            <family val="2"/>
            <scheme val="minor"/>
          </rPr>
          <t>======
ID#AAAB8rq7hgw
tc={62904CDB-B27E-43FB-B2FB-BEC7DD6DEEF6}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H18" authorId="0" shapeId="0" xr:uid="{00000000-0006-0000-0C00-00000B000000}">
      <text>
        <r>
          <rPr>
            <sz val="11"/>
            <color theme="1"/>
            <rFont val="Aptos Narrow"/>
            <family val="2"/>
            <scheme val="minor"/>
          </rPr>
          <t>======
ID#AAAB-nDMzr8
tc={C1AE6FE8-F99E-4133-8D0F-B9D2D2DA3962}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9" authorId="0" shapeId="0" xr:uid="{00000000-0006-0000-0C00-00001C000000}">
      <text>
        <r>
          <rPr>
            <sz val="11"/>
            <color theme="1"/>
            <rFont val="Aptos Narrow"/>
            <family val="2"/>
            <scheme val="minor"/>
          </rPr>
          <t>======
ID#AAAB8rq7isk
tc={FBB0C9E6-30A3-4A86-A45C-83DE47C88709}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R$600 fixo</t>
        </r>
      </text>
    </comment>
    <comment ref="E25" authorId="0" shapeId="0" xr:uid="{00000000-0006-0000-0C00-000017000000}">
      <text>
        <r>
          <rPr>
            <sz val="11"/>
            <color theme="1"/>
            <rFont val="Aptos Narrow"/>
            <family val="2"/>
            <scheme val="minor"/>
          </rPr>
          <t>======
ID#AAAB-nDMzsI
tc={275FDA4D-BDB1-4E4D-897C-F477095628A4}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D29" authorId="0" shapeId="0" xr:uid="{00000000-0006-0000-0C00-000015000000}">
      <text>
        <r>
          <rPr>
            <sz val="11"/>
            <color theme="1"/>
            <rFont val="Aptos Narrow"/>
            <family val="2"/>
            <scheme val="minor"/>
          </rPr>
          <t>======
ID#AAAB8rq7hgY
tc={C62154A5-DCCE-4479-9B97-7730FE2FB69B}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2.000 reais de bonificação - dividir entre alimentação e mobilidade e o restante pagar como bonificação</t>
        </r>
      </text>
    </comment>
    <comment ref="H30" authorId="0" shapeId="0" xr:uid="{00000000-0006-0000-0C00-000006000000}">
      <text>
        <r>
          <rPr>
            <sz val="11"/>
            <color theme="1"/>
            <rFont val="Aptos Narrow"/>
            <family val="2"/>
            <scheme val="minor"/>
          </rPr>
          <t>======
ID#AAAB8rq7iso
tc={638F6294-3A13-442C-B889-C5D7694FF108}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32" authorId="0" shapeId="0" xr:uid="{00000000-0006-0000-0C00-000005000000}">
      <text>
        <r>
          <rPr>
            <sz val="11"/>
            <color theme="1"/>
            <rFont val="Aptos Narrow"/>
            <family val="2"/>
            <scheme val="minor"/>
          </rPr>
          <t>======
ID#AAAB8qiQ5a8
tc={D4710852-0BCA-4743-A38D-B94757FC8D58}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33" authorId="0" shapeId="0" xr:uid="{00000000-0006-0000-0C00-000014000000}">
      <text>
        <r>
          <rPr>
            <sz val="11"/>
            <color theme="1"/>
            <rFont val="Aptos Narrow"/>
            <family val="2"/>
            <scheme val="minor"/>
          </rPr>
          <t>======
ID#AAAB8rq7itM
tc={2C4414C5-2E87-4F2C-B19C-506F226FE548}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43" authorId="0" shapeId="0" xr:uid="{00000000-0006-0000-0C00-00000F000000}">
      <text>
        <r>
          <rPr>
            <sz val="11"/>
            <color theme="1"/>
            <rFont val="Aptos Narrow"/>
            <family val="2"/>
            <scheme val="minor"/>
          </rPr>
          <t>======
ID#AAAB8rq7hfc
tc={E75DD14D-B50C-4C52-8E8E-EAE0B00322F3}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44" authorId="0" shapeId="0" xr:uid="{00000000-0006-0000-0C00-00001E000000}">
      <text>
        <r>
          <rPr>
            <sz val="11"/>
            <color theme="1"/>
            <rFont val="Aptos Narrow"/>
            <family val="2"/>
            <scheme val="minor"/>
          </rPr>
          <t>======
ID#AAAB8qiQ5cs
tc={E01261BA-05D5-4A77-A0C6-69322962DE2B}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46" authorId="0" shapeId="0" xr:uid="{00000000-0006-0000-0C00-00001D000000}">
      <text>
        <r>
          <rPr>
            <sz val="11"/>
            <color theme="1"/>
            <rFont val="Aptos Narrow"/>
            <family val="2"/>
            <scheme val="minor"/>
          </rPr>
          <t>======
ID#AAAB8qiQ5aM
tc={752F4704-AFBA-4D77-BF6C-970F00936F63}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D56" authorId="0" shapeId="0" xr:uid="{00000000-0006-0000-0C00-000018000000}">
      <text>
        <r>
          <rPr>
            <sz val="11"/>
            <color theme="1"/>
            <rFont val="Aptos Narrow"/>
            <family val="2"/>
            <scheme val="minor"/>
          </rPr>
          <t>======
ID#AAAB8rq7iuA
tc={01E45448-BBEA-4E75-8B3A-ADD02EE88A27}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E56" authorId="0" shapeId="0" xr:uid="{00000000-0006-0000-0C00-000019000000}">
      <text>
        <r>
          <rPr>
            <sz val="11"/>
            <color theme="1"/>
            <rFont val="Aptos Narrow"/>
            <family val="2"/>
            <scheme val="minor"/>
          </rPr>
          <t>======
ID#AAAB-nDMzsE
tc={FB415561-54C4-4B6A-BA7F-0633E9B22F14}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Proporcional férias</t>
        </r>
      </text>
    </comment>
    <comment ref="D58" authorId="1" shapeId="0" xr:uid="{A7AEF4EF-8C1F-4327-A46C-D79B96C8AAE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Solicitou troca de VT para auxililio mobilidade- Não solicitar VT para agosto 
</t>
        </r>
      </text>
    </comment>
    <comment ref="H58" authorId="0" shapeId="0" xr:uid="{00000000-0006-0000-0C00-00001A000000}">
      <text>
        <r>
          <rPr>
            <sz val="11"/>
            <color theme="1"/>
            <rFont val="Aptos Narrow"/>
            <family val="2"/>
            <scheme val="minor"/>
          </rPr>
          <t>======
ID#AAAB8rq7iv0
tc={5BD82F15-DE18-469F-8F06-BA8C7539F9EF}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59" authorId="0" shapeId="0" xr:uid="{00000000-0006-0000-0C00-000008000000}">
      <text>
        <r>
          <rPr>
            <sz val="11"/>
            <color theme="1"/>
            <rFont val="Aptos Narrow"/>
            <family val="2"/>
            <scheme val="minor"/>
          </rPr>
          <t>======
ID#AAAB8rq7hg0
tc={D821AA7E-F857-46F7-9F3C-07A7DB109CA9}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61" authorId="0" shapeId="0" xr:uid="{00000000-0006-0000-0C00-000007000000}">
      <text>
        <r>
          <rPr>
            <sz val="11"/>
            <color theme="1"/>
            <rFont val="Aptos Narrow"/>
            <family val="2"/>
            <scheme val="minor"/>
          </rPr>
          <t>======
ID#AAAB8rq7hfA
tc={8819F054-4A84-4E52-A2F3-EA3065A6D1D0}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82" authorId="0" shapeId="0" xr:uid="{00000000-0006-0000-0C00-00000A000000}">
      <text>
        <r>
          <rPr>
            <sz val="11"/>
            <color theme="1"/>
            <rFont val="Aptos Narrow"/>
            <family val="2"/>
            <scheme val="minor"/>
          </rPr>
          <t>======
ID#AAAB-nDMzsA
tc={E32A24C5-F6DE-4802-A079-10687F10C66B}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D83" authorId="0" shapeId="0" xr:uid="{00000000-0006-0000-0C00-00001B000000}">
      <text>
        <r>
          <rPr>
            <sz val="11"/>
            <color theme="1"/>
            <rFont val="Aptos Narrow"/>
            <family val="2"/>
            <scheme val="minor"/>
          </rPr>
          <t>======
ID#AAAB8rq7itE
tc={203E6B9F-A719-4F05-9AD8-2B7B479F6121}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H88" authorId="0" shapeId="0" xr:uid="{00000000-0006-0000-0C00-000009000000}">
      <text>
        <r>
          <rPr>
            <sz val="11"/>
            <color theme="1"/>
            <rFont val="Aptos Narrow"/>
            <family val="2"/>
            <scheme val="minor"/>
          </rPr>
          <t>======
ID#AAAB8qiQ5bw
tc={63D10EC6-D923-490D-A7D5-0B43D19E2092}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95" authorId="0" shapeId="0" xr:uid="{00000000-0006-0000-0C00-000016000000}">
      <text>
        <r>
          <rPr>
            <sz val="11"/>
            <color theme="1"/>
            <rFont val="Aptos Narrow"/>
            <family val="2"/>
            <scheme val="minor"/>
          </rPr>
          <t>======
ID#AAAB8rq7ius
tc={118594C8-A959-41BD-BF17-1A959FDF86B0}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96" authorId="0" shapeId="0" xr:uid="{00000000-0006-0000-0C00-000004000000}">
      <text>
        <r>
          <rPr>
            <sz val="11"/>
            <color theme="1"/>
            <rFont val="Aptos Narrow"/>
            <family val="2"/>
            <scheme val="minor"/>
          </rPr>
          <t>======
ID#AAAB8qiQ5bQ
tc={B0811F58-163D-4868-B9AA-9ABD3EBCA12E}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H98" authorId="0" shapeId="0" xr:uid="{00000000-0006-0000-0C00-000003000000}">
      <text>
        <r>
          <rPr>
            <sz val="11"/>
            <color theme="1"/>
            <rFont val="Aptos Narrow"/>
            <family val="2"/>
            <scheme val="minor"/>
          </rPr>
          <t>======
ID#AAAB8qiQ5Z4
tc={2F5EC141-1040-421B-BAAF-78D70078B24A}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0" authorId="0" shapeId="0" xr:uid="{00000000-0006-0000-0C00-000002000000}">
      <text>
        <r>
          <rPr>
            <sz val="11"/>
            <color theme="1"/>
            <rFont val="Aptos Narrow"/>
            <family val="2"/>
            <scheme val="minor"/>
          </rPr>
          <t>======
ID#AAAB8qiQ5ag
tc={0596C1B8-0512-4D57-8624-312A86827834}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em pernambuco e não vem presencialmente.</t>
        </r>
      </text>
    </comment>
    <comment ref="H105" authorId="0" shapeId="0" xr:uid="{00000000-0006-0000-0C00-000011000000}">
      <text>
        <r>
          <rPr>
            <sz val="11"/>
            <color theme="1"/>
            <rFont val="Aptos Narrow"/>
            <family val="2"/>
            <scheme val="minor"/>
          </rPr>
          <t>======
ID#AAAB8qiQ5as
tc={FEAEC772-ED09-4A04-A402-EE5C1379089E}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07" authorId="0" shapeId="0" xr:uid="{00000000-0006-0000-0C00-00000E000000}">
      <text>
        <r>
          <rPr>
            <sz val="11"/>
            <color theme="1"/>
            <rFont val="Aptos Narrow"/>
            <family val="2"/>
            <scheme val="minor"/>
          </rPr>
          <t>======
ID#AAAB8rq7hfs
tc={D20C6E7E-4B5E-4C30-BAD9-496FA7B312A5}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11" authorId="0" shapeId="0" xr:uid="{00000000-0006-0000-0C00-00000D000000}">
      <text>
        <r>
          <rPr>
            <sz val="11"/>
            <color theme="1"/>
            <rFont val="Aptos Narrow"/>
            <family val="2"/>
            <scheme val="minor"/>
          </rPr>
          <t>======
ID#AAAB8rq7is8
tc={34CE59CB-BD9F-42DD-B2B0-FDB96A5B72F7}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H113" authorId="0" shapeId="0" xr:uid="{00000000-0006-0000-0C00-00000C000000}">
      <text>
        <r>
          <rPr>
            <sz val="11"/>
            <color theme="1"/>
            <rFont val="Aptos Narrow"/>
            <family val="2"/>
            <scheme val="minor"/>
          </rPr>
          <t>======
ID#AAAB8rq7itU
tc={6B674AA8-B1FF-454D-908A-EE20C70078BB}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L1X1SnV0H6MyWlYylluT5De7zQ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Camila Lellis Souza Dos Santos</author>
  </authors>
  <commentList>
    <comment ref="F5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======
ID#AAAB-wvd_JI
Camila Lellis    (2026-07-01 12:44:17)
Alimentação pago, e o auxilio mobilidade será pago fora do pedido mensal.</t>
        </r>
      </text>
    </comment>
    <comment ref="H11" authorId="1" shapeId="0" xr:uid="{D2AF039D-F2AE-4441-9A08-0B810EFA40F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Crédito calculado apenas a partir do dia 27/07, valores anteriores não depositados, pois o mesmo solicitou almoço com o parceiro 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b7ObV4okY/4siMkrb0/T3vDXdg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Camila Lellis Souza Dos Santos</author>
    <author>Bruna Carlucci</author>
  </authors>
  <commentList>
    <comment ref="G4" authorId="0" shapeId="0" xr:uid="{85BB86BC-2CBE-4669-A2BC-B670E3E81E78}">
      <text>
        <r>
          <rPr>
            <sz val="11"/>
            <color theme="1"/>
            <rFont val="Aptos Narrow"/>
            <family val="2"/>
            <scheme val="minor"/>
          </rPr>
          <t xml:space="preserve">
    VT</t>
        </r>
      </text>
    </comment>
    <comment ref="E5" authorId="1" shapeId="0" xr:uid="{7A0D14B2-B712-4A4D-AFD3-8A54933A7E3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G5" authorId="0" shapeId="0" xr:uid="{3995709C-20FF-42BE-8C6A-25702F47F736}">
      <text>
        <r>
          <rPr>
            <sz val="11"/>
            <color theme="1"/>
            <rFont val="Aptos Narrow"/>
            <family val="2"/>
            <scheme val="minor"/>
          </rPr>
          <t>======
ID#AAAB8qiQ5aY
tc={9683687A-B350-4C37-9894-F4B3945E3801}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6" authorId="0" shapeId="0" xr:uid="{6DC27CB1-A8EA-477C-9BCD-6DA3B5227AA4}">
      <text>
        <r>
          <rPr>
            <sz val="11"/>
            <color theme="1"/>
            <rFont val="Aptos Narrow"/>
            <family val="2"/>
            <scheme val="minor"/>
          </rPr>
          <t>======
ID#AAAB-nDMzsM
tc={C2A35755-9624-431A-ABCD-4012A711E6F4}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9" authorId="1" shapeId="0" xr:uid="{CED2732C-F719-4A74-A117-6E021A52D92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10" authorId="0" shapeId="0" xr:uid="{B33EA486-7A96-48BB-8975-9C0F5E28849B}">
      <text>
        <r>
          <rPr>
            <sz val="11"/>
            <color theme="1"/>
            <rFont val="Aptos Narrow"/>
            <family val="2"/>
            <scheme val="minor"/>
          </rPr>
          <t>======
ID#AAAB8rq7hgw
tc={62904CDB-B27E-43FB-B2FB-BEC7DD6DEEF6}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Recebe ajuda de custo</t>
        </r>
      </text>
    </comment>
    <comment ref="G17" authorId="0" shapeId="0" xr:uid="{D903E7AE-0CCF-48F3-AA8C-6BECE14BAE36}">
      <text>
        <r>
          <rPr>
            <sz val="11"/>
            <color theme="1"/>
            <rFont val="Aptos Narrow"/>
            <family val="2"/>
            <scheme val="minor"/>
          </rPr>
          <t>======
ID#AAAB-nDMzr8
tc={C1AE6FE8-F99E-4133-8D0F-B9D2D2DA3962}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F18" authorId="0" shapeId="0" xr:uid="{07758246-2383-4F44-893C-9472725B1618}">
      <text>
        <r>
          <rPr>
            <sz val="11"/>
            <color theme="1"/>
            <rFont val="Aptos Narrow"/>
            <family val="2"/>
            <scheme val="minor"/>
          </rPr>
          <t>======
ID#AAAB8rq7isk
tc={FBB0C9E6-30A3-4A86-A45C-83DE47C88709}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R$600 fixo</t>
        </r>
      </text>
    </comment>
    <comment ref="E19" authorId="1" shapeId="0" xr:uid="{107248B5-4E09-4CE5-ABC0-B3A4A77F711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</t>
        </r>
      </text>
    </comment>
    <comment ref="E28" authorId="1" shapeId="0" xr:uid="{06EF21D5-35E3-4B32-A168-1B8674AD6E3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Férias 05/08 à 15/08</t>
        </r>
      </text>
    </comment>
    <comment ref="C30" authorId="0" shapeId="0" xr:uid="{4FC20669-131D-4C20-B216-BCAFFB9AF613}">
      <text>
        <r>
          <rPr>
            <sz val="11"/>
            <color theme="1"/>
            <rFont val="Aptos Narrow"/>
            <family val="2"/>
            <scheme val="minor"/>
          </rPr>
          <t>======
ID#AAAB8rq7hgY
tc={C62154A5-DCCE-4479-9B97-7730FE2FB69B}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2.000 reais de bonificação - dividir entre alimentação e mobilidade e o restante pagar como bonificação</t>
        </r>
      </text>
    </comment>
    <comment ref="E31" authorId="2" shapeId="0" xr:uid="{609990EF-D081-4519-8C5B-8BC6BEFAF59A}">
      <text>
        <r>
          <rPr>
            <b/>
            <sz val="9"/>
            <color indexed="81"/>
            <rFont val="Segoe UI"/>
            <family val="2"/>
          </rPr>
          <t>Bruna Carlucci:</t>
        </r>
        <r>
          <rPr>
            <sz val="9"/>
            <color indexed="81"/>
            <rFont val="Segoe UI"/>
            <family val="2"/>
          </rPr>
          <t xml:space="preserve">
- 11 dias útes refe as férias de 16/07 a 30/07
</t>
        </r>
      </text>
    </comment>
    <comment ref="G31" authorId="0" shapeId="0" xr:uid="{BCDA1E6D-1A7F-4FE1-8DE8-CD1DEFA0E529}">
      <text>
        <r>
          <rPr>
            <sz val="11"/>
            <color theme="1"/>
            <rFont val="Aptos Narrow"/>
            <family val="2"/>
            <scheme val="minor"/>
          </rPr>
          <t>======
ID#AAAB8rq7iso
tc={638F6294-3A13-442C-B889-C5D7694FF108}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33" authorId="0" shapeId="0" xr:uid="{C5B060AE-88A3-4415-8FC3-61ED073F2CA2}">
      <text>
        <r>
          <rPr>
            <sz val="11"/>
            <color theme="1"/>
            <rFont val="Aptos Narrow"/>
            <family val="2"/>
            <scheme val="minor"/>
          </rPr>
          <t>======
ID#AAAB8qiQ5a8
tc={D4710852-0BCA-4743-A38D-B94757FC8D58}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34" authorId="0" shapeId="0" xr:uid="{6E59FE5C-E3E7-4380-A7D7-93C5059DE927}">
      <text>
        <r>
          <rPr>
            <sz val="11"/>
            <color theme="1"/>
            <rFont val="Aptos Narrow"/>
            <family val="2"/>
            <scheme val="minor"/>
          </rPr>
          <t>======
ID#AAAB8rq7itM
tc={2C4414C5-2E87-4F2C-B19C-506F226FE548}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36" authorId="1" shapeId="0" xr:uid="{600BE8E9-B7D4-426C-A4B3-23CC290A782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42" authorId="1" shapeId="0" xr:uid="{0A91D231-9333-4EB5-A1EA-320045E8839C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Alimentação calculado a partir do dia 27/07, antes dessa data o mesmo estava pedindo no restaurante. </t>
        </r>
      </text>
    </comment>
    <comment ref="E44" authorId="1" shapeId="0" xr:uid="{5739C28A-4F51-4003-8DAD-AED890A02B8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Férias 10/08 até 25/08
</t>
        </r>
      </text>
    </comment>
    <comment ref="G44" authorId="0" shapeId="0" xr:uid="{45710AC9-BE4B-4112-968E-958865DA5CC9}">
      <text>
        <r>
          <rPr>
            <sz val="11"/>
            <color theme="1"/>
            <rFont val="Aptos Narrow"/>
            <family val="2"/>
            <scheme val="minor"/>
          </rPr>
          <t>======
ID#AAAB8rq7hfc
tc={E75DD14D-B50C-4C52-8E8E-EAE0B00322F3}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45" authorId="0" shapeId="0" xr:uid="{495EB660-01FD-43DA-B998-DAFD64644D30}">
      <text>
        <r>
          <rPr>
            <sz val="11"/>
            <color theme="1"/>
            <rFont val="Aptos Narrow"/>
            <family val="2"/>
            <scheme val="minor"/>
          </rPr>
          <t xml:space="preserve">======
ID#AAAB8qiQ5cs
tc={E01261BA-05D5-4A77-A0C6-69322962DE2B}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
</t>
        </r>
      </text>
    </comment>
    <comment ref="G47" authorId="0" shapeId="0" xr:uid="{6A4B9BEB-9E1C-4BA1-B39B-610B46D8BB6F}">
      <text>
        <r>
          <rPr>
            <sz val="11"/>
            <color theme="1"/>
            <rFont val="Aptos Narrow"/>
            <family val="2"/>
            <scheme val="minor"/>
          </rPr>
          <t>======
ID#AAAB8qiQ5aM
tc={752F4704-AFBA-4D77-BF6C-970F00936F63}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49" authorId="1" shapeId="0" xr:uid="{F851FCB6-79F4-42D8-9412-03F33AED886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Afastamento 30 dias 
</t>
        </r>
      </text>
    </comment>
    <comment ref="E54" authorId="1" shapeId="0" xr:uid="{099A3585-6449-412E-95CD-11BFE9A8AB4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Férias 27/07 à 06/08  07/08  Feriado (-9 dias úteis)
</t>
        </r>
      </text>
    </comment>
    <comment ref="E55" authorId="1" shapeId="0" xr:uid="{DF280018-1483-4480-A659-7267D6D4B66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C56" authorId="1" shapeId="0" xr:uid="{69A22873-FABF-4CB0-951D-42E19C79A5F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Solicitou troca de VT para auxililio mobilidade- Não solicitar VT para agosto 
</t>
        </r>
      </text>
    </comment>
    <comment ref="E56" authorId="1" shapeId="0" xr:uid="{02F5111A-4470-4ECC-8E8B-8CBCFC745CB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57" authorId="0" shapeId="0" xr:uid="{3222AA1A-2A70-4A0F-BA95-BA91C0D33AE6}">
      <text>
        <r>
          <rPr>
            <sz val="11"/>
            <color theme="1"/>
            <rFont val="Aptos Narrow"/>
            <family val="2"/>
            <scheme val="minor"/>
          </rPr>
          <t xml:space="preserve">======
ID#AAAB-wvd_JI
Camila Lellis    (2026-07-01 12:44:17)
Alimentação pago, e o auxilio mobilidade será pago fora do pedido mensal.
</t>
        </r>
      </text>
    </comment>
    <comment ref="G59" authorId="0" shapeId="0" xr:uid="{B630ADA7-49E2-4BA9-9645-394B83DD28AD}">
      <text>
        <r>
          <rPr>
            <sz val="11"/>
            <color theme="1"/>
            <rFont val="Aptos Narrow"/>
            <family val="2"/>
            <scheme val="minor"/>
          </rPr>
          <t>======
ID#AAAB8rq7hfA
tc={8819F054-4A84-4E52-A2F3-EA3065A6D1D0}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C62" authorId="0" shapeId="0" xr:uid="{11936D88-2618-407B-AE17-51FCBAC8D92D}">
      <text>
        <r>
          <rPr>
            <sz val="11"/>
            <color theme="1"/>
            <rFont val="Aptos Narrow"/>
            <family val="2"/>
            <scheme val="minor"/>
          </rPr>
          <t>======
ID#AAAB8rq7iuA
tc={01E45448-BBEA-4E75-8B3A-ADD02EE88A27}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E66" authorId="2" shapeId="0" xr:uid="{197EE8EF-3008-45F6-B019-45B51610022C}">
      <text>
        <r>
          <rPr>
            <b/>
            <sz val="9"/>
            <color indexed="81"/>
            <rFont val="Segoe UI"/>
            <family val="2"/>
          </rPr>
          <t>Bruna Carlucci:</t>
        </r>
        <r>
          <rPr>
            <sz val="9"/>
            <color indexed="81"/>
            <rFont val="Segoe UI"/>
            <family val="2"/>
          </rPr>
          <t xml:space="preserve">
-5 dias referente as férias de 14/07 a 18/07
NRS é escala 6x2, </t>
        </r>
      </text>
    </comment>
    <comment ref="E67" authorId="1" shapeId="0" xr:uid="{B88F30A0-71ED-4D6B-B6CB-861B95FC5DF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73" authorId="1" shapeId="0" xr:uid="{01BF976D-B47D-4F01-B19A-A608A35441C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80" authorId="1" shapeId="0" xr:uid="{9F5E3AF8-71E8-40E8-8291-57D702C3B3B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Férias 21/07 até 09/08
</t>
        </r>
      </text>
    </comment>
    <comment ref="G85" authorId="0" shapeId="0" xr:uid="{9D445C35-0AC1-4DB5-9D21-E9A5C783CA4A}">
      <text>
        <r>
          <rPr>
            <sz val="11"/>
            <color theme="1"/>
            <rFont val="Aptos Narrow"/>
            <family val="2"/>
            <scheme val="minor"/>
          </rPr>
          <t>======
ID#AAAB-nDMzsA
tc={E32A24C5-F6DE-4802-A079-10687F10C66B}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C86" authorId="0" shapeId="0" xr:uid="{F7730DAB-4418-481E-88E1-55D130269815}">
      <text>
        <r>
          <rPr>
            <sz val="11"/>
            <color theme="1"/>
            <rFont val="Aptos Narrow"/>
            <family val="2"/>
            <scheme val="minor"/>
          </rPr>
          <t xml:space="preserve">======
ID#AAAB8rq7itE
tc={203E6B9F-A719-4F05-9AD8-2B7B479F6121}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
</t>
        </r>
      </text>
    </comment>
    <comment ref="E88" authorId="1" shapeId="0" xr:uid="{9726890D-BF91-4817-8DA9-B5886EE14C8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96" authorId="1" shapeId="0" xr:uid="{A573DFF5-CD9A-405E-AC1E-7FDDDAFACF14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97" authorId="1" shapeId="0" xr:uid="{A86AC95F-FF3E-4264-BE9F-54C911D5D18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G99" authorId="0" shapeId="0" xr:uid="{CE2EB878-2CE0-4340-B923-F1C882AD7A01}">
      <text>
        <r>
          <rPr>
            <sz val="11"/>
            <color theme="1"/>
            <rFont val="Aptos Narrow"/>
            <family val="2"/>
            <scheme val="minor"/>
          </rPr>
          <t>======
ID#AAAB8rq7ius
tc={118594C8-A959-41BD-BF17-1A959FDF86B0}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00" authorId="0" shapeId="0" xr:uid="{02A01E7D-D5EE-4F7E-97DB-792DA549E5F9}">
      <text>
        <r>
          <rPr>
            <sz val="11"/>
            <color theme="1"/>
            <rFont val="Aptos Narrow"/>
            <family val="2"/>
            <scheme val="minor"/>
          </rPr>
          <t>======
ID#AAAB8qiQ5bQ
tc={B0811F58-163D-4868-B9AA-9ABD3EBCA12E}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02" authorId="0" shapeId="0" xr:uid="{B8FDFBA1-3D26-47CC-831D-B1D1DF0833B4}">
      <text>
        <r>
          <rPr>
            <sz val="11"/>
            <color theme="1"/>
            <rFont val="Aptos Narrow"/>
            <family val="2"/>
            <scheme val="minor"/>
          </rPr>
          <t>======
ID#AAAB8qiQ5Z4
tc={2F5EC141-1040-421B-BAAF-78D70078B24A}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04" authorId="0" shapeId="0" xr:uid="{2E8DCBEA-98EE-4C87-B502-4EF8EF5B6835}">
      <text>
        <r>
          <rPr>
            <sz val="11"/>
            <color theme="1"/>
            <rFont val="Aptos Narrow"/>
            <family val="2"/>
            <scheme val="minor"/>
          </rPr>
          <t>======
ID#AAAB8qiQ5ag
tc={0596C1B8-0512-4D57-8624-312A86827834}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em pernambuco e não vem presencialmente.</t>
        </r>
      </text>
    </comment>
    <comment ref="E105" authorId="1" shapeId="0" xr:uid="{7EDB0594-7213-41A4-B195-17983B183EBC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108" authorId="1" shapeId="0" xr:uid="{446DEEEE-02C3-4DDE-9C54-946BE78B77F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G108" authorId="0" shapeId="0" xr:uid="{ECCFFD93-AEB1-4BB1-ABAE-C90A42AB6B00}">
      <text>
        <r>
          <rPr>
            <sz val="11"/>
            <color theme="1"/>
            <rFont val="Aptos Narrow"/>
            <family val="2"/>
            <scheme val="minor"/>
          </rPr>
          <t>======
ID#AAAB8qiQ5as
tc={FEAEC772-ED09-4A04-A402-EE5C1379089E}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10" authorId="0" shapeId="0" xr:uid="{205D76F6-5ECA-4302-AE44-94D70855DA31}">
      <text>
        <r>
          <rPr>
            <sz val="11"/>
            <color theme="1"/>
            <rFont val="Aptos Narrow"/>
            <family val="2"/>
            <scheme val="minor"/>
          </rPr>
          <t>======
ID#AAAB8rq7hfs
tc={D20C6E7E-4B5E-4C30-BAD9-496FA7B312A5}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113" authorId="1" shapeId="0" xr:uid="{0F13C278-FC24-48CD-A5B0-45724A710D98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G114" authorId="0" shapeId="0" xr:uid="{F89C4347-C4B2-4818-9363-C3A6AADB1772}">
      <text>
        <r>
          <rPr>
            <sz val="11"/>
            <color theme="1"/>
            <rFont val="Aptos Narrow"/>
            <family val="2"/>
            <scheme val="minor"/>
          </rPr>
          <t>======
ID#AAAB8rq7is8
tc={34CE59CB-BD9F-42DD-B2B0-FDB96A5B72F7}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115" authorId="1" shapeId="0" xr:uid="{0D068B75-8E31-4B5C-B9CB-209F1888BBF3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</t>
        </r>
      </text>
    </comment>
    <comment ref="E116" authorId="1" shapeId="0" xr:uid="{95AB2D90-C461-4C9F-894B-3B427E9F0D3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07 Feriado 
Férias 10/08 até 17/08
</t>
        </r>
      </text>
    </comment>
    <comment ref="G117" authorId="0" shapeId="0" xr:uid="{A8989707-F5F9-4A9C-8C81-268A5F668442}">
      <text>
        <r>
          <rPr>
            <sz val="11"/>
            <color theme="1"/>
            <rFont val="Aptos Narrow"/>
            <family val="2"/>
            <scheme val="minor"/>
          </rPr>
          <t xml:space="preserve">======
ID#AAAB8rq7itU
tc={6B674AA8-B1FF-454D-908A-EE20C70078BB}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I9" authorId="0" shapeId="0" xr:uid="{7E1EAD4D-E86E-4FCF-80DB-44135FA6F47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Crédito calculado apenas a partir do dia 27/07, valores anteriores não depositados, pois o mesmo solicitou almoço com o parceiro .</t>
        </r>
      </text>
    </comment>
    <comment ref="J11" authorId="0" shapeId="0" xr:uid="{C0E33D8E-5FF9-4E6D-8B95-1254D5B28E8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Mora a menos de 2KM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Camila Lellis Souza Dos Santos</author>
    <author>Bruna Carlucci</author>
  </authors>
  <commentList>
    <comment ref="G4" authorId="0" shapeId="0" xr:uid="{FF622FA0-7F8E-4E27-8E3A-0CDCDBA8AFF5}">
      <text>
        <r>
          <rPr>
            <sz val="11"/>
            <color theme="1"/>
            <rFont val="Aptos Narrow"/>
            <family val="2"/>
            <scheme val="minor"/>
          </rPr>
          <t xml:space="preserve">
    VT</t>
        </r>
      </text>
    </comment>
    <comment ref="E5" authorId="1" shapeId="0" xr:uid="{E77093C8-4912-4880-9825-D7C44919AE8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O mesmo trabalharia 23 dias -  13 referente as férias 15/09 até 14/10
</t>
        </r>
      </text>
    </comment>
    <comment ref="G5" authorId="0" shapeId="0" xr:uid="{F39CB19D-72D5-4CB6-A3D8-53FB10CD9F96}">
      <text>
        <r>
          <rPr>
            <sz val="11"/>
            <color theme="1"/>
            <rFont val="Aptos Narrow"/>
            <family val="2"/>
            <scheme val="minor"/>
          </rPr>
          <t>======
ID#AAAB8qiQ5aY
tc={9683687A-B350-4C37-9894-F4B3945E3801}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6" authorId="0" shapeId="0" xr:uid="{7E093B55-5DA5-4120-B07B-DDD15840A3F5}">
      <text>
        <r>
          <rPr>
            <sz val="11"/>
            <color theme="1"/>
            <rFont val="Aptos Narrow"/>
            <family val="2"/>
            <scheme val="minor"/>
          </rPr>
          <t>======
ID#AAAB-nDMzsM
tc={C2A35755-9624-431A-ABCD-4012A711E6F4}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8" authorId="1" shapeId="0" xr:uid="{CDA67016-2749-4401-AAD7-D8A471C4BFD7}">
      <text>
        <r>
          <rPr>
            <b/>
            <sz val="9"/>
            <color indexed="81"/>
            <rFont val="Segoe UI"/>
            <family val="2"/>
          </rPr>
          <t xml:space="preserve">Camila Lellis Souza Dos Santos:
</t>
        </r>
        <r>
          <rPr>
            <sz val="9"/>
            <color indexed="81"/>
            <rFont val="Segoe UI"/>
            <family val="2"/>
          </rPr>
          <t>Desligamento.</t>
        </r>
      </text>
    </comment>
    <comment ref="E10" authorId="1" shapeId="0" xr:uid="{14EB8EE8-5190-4813-9B2F-65D2F6FA2B5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-11 dias úteis referente as Férias 01/09 até 16/09
</t>
        </r>
      </text>
    </comment>
    <comment ref="F14" authorId="0" shapeId="0" xr:uid="{56D3F759-A0F7-44A1-992E-BEBF28BE9331}">
      <text>
        <r>
          <rPr>
            <sz val="11"/>
            <color theme="1"/>
            <rFont val="Aptos Narrow"/>
            <family val="2"/>
            <scheme val="minor"/>
          </rPr>
          <t>======
ID#AAAB8rq7isk
tc={FBB0C9E6-30A3-4A86-A45C-83DE47C88709}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R$600 fixo</t>
        </r>
      </text>
    </comment>
    <comment ref="E20" authorId="1" shapeId="0" xr:uid="{49539153-75C9-4A55-8D50-7B9C493CFB4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Sairá do contrato CLT para PJ.</t>
        </r>
      </text>
    </comment>
    <comment ref="G26" authorId="0" shapeId="0" xr:uid="{CA004611-8BE6-4893-AC71-FFD59E8DB4D9}">
      <text>
        <r>
          <rPr>
            <sz val="11"/>
            <color theme="1"/>
            <rFont val="Aptos Narrow"/>
            <family val="2"/>
            <scheme val="minor"/>
          </rPr>
          <t xml:space="preserve">======
ID#AAAB8rq7iso
tc={638F6294-3A13-442C-B889-C5D7694FF108}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Trocou para Mobilidade em Agosto.
</t>
        </r>
      </text>
    </comment>
    <comment ref="G28" authorId="0" shapeId="0" xr:uid="{746243A0-18EE-40C2-A225-D964F1897493}">
      <text>
        <r>
          <rPr>
            <sz val="11"/>
            <color theme="1"/>
            <rFont val="Aptos Narrow"/>
            <family val="2"/>
            <scheme val="minor"/>
          </rPr>
          <t>======
ID#AAAB8qiQ5a8
tc={D4710852-0BCA-4743-A38D-B94757FC8D58}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29" authorId="0" shapeId="0" xr:uid="{574E8932-6BDE-4F84-8F47-BA15405F8AFF}">
      <text>
        <r>
          <rPr>
            <sz val="11"/>
            <color theme="1"/>
            <rFont val="Aptos Narrow"/>
            <family val="2"/>
            <scheme val="minor"/>
          </rPr>
          <t>======
ID#AAAB8rq7itM
tc={2C4414C5-2E87-4F2C-B19C-506F226FE548}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32" authorId="1" shapeId="0" xr:uid="{55C9F129-AF81-4C14-971C-4F756795AAA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-5 dias úteis referente as férias 17/08 até 21/08.
Obs: Não foi  Descontado no mês 08.</t>
        </r>
      </text>
    </comment>
    <comment ref="E36" authorId="1" shapeId="0" xr:uid="{F10EEACC-BC31-475D-ACD0-CBB241A6A6D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+2 dias referente aos dias que ele não pediu no restaurante parceiro e ficou faltando reembolsar.</t>
        </r>
      </text>
    </comment>
    <comment ref="G38" authorId="0" shapeId="0" xr:uid="{00888BB8-EF39-40B8-96B2-D10D70C1C809}">
      <text>
        <r>
          <rPr>
            <sz val="11"/>
            <color theme="1"/>
            <rFont val="Aptos Narrow"/>
            <family val="2"/>
            <scheme val="minor"/>
          </rPr>
          <t>======
ID#AAAB8rq7hfc
tc={E75DD14D-B50C-4C52-8E8E-EAE0B00322F3}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39" authorId="1" shapeId="0" xr:uid="{EDE9D6C6-78C8-487B-A10D-36F9CA4BAA0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-12 dias úteis das Férias 10/08 até 25/08.
Obs: Não foi  Descontado no mês 08.</t>
        </r>
      </text>
    </comment>
    <comment ref="G39" authorId="0" shapeId="0" xr:uid="{C3207253-AA0D-42F5-B41D-657DA4A77813}">
      <text>
        <r>
          <rPr>
            <sz val="11"/>
            <color theme="1"/>
            <rFont val="Aptos Narrow"/>
            <family val="2"/>
            <scheme val="minor"/>
          </rPr>
          <t xml:space="preserve">======
ID#AAAB8qiQ5cs
tc={E01261BA-05D5-4A77-A0C6-69322962DE2B}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
</t>
        </r>
      </text>
    </comment>
    <comment ref="G41" authorId="0" shapeId="0" xr:uid="{07093721-DECB-4F66-AB93-C9F47FF87972}">
      <text>
        <r>
          <rPr>
            <sz val="11"/>
            <color theme="1"/>
            <rFont val="Aptos Narrow"/>
            <family val="2"/>
            <scheme val="minor"/>
          </rPr>
          <t>======
ID#AAAB8qiQ5aM
tc={752F4704-AFBA-4D77-BF6C-970F00936F63}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43" authorId="1" shapeId="0" xr:uid="{4814BBDD-3CCB-4F80-9094-54B9D606AF1F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Afastamento 30 dias 
</t>
        </r>
      </text>
    </comment>
    <comment ref="E48" authorId="1" shapeId="0" xr:uid="{8468E590-7276-4E1A-9EFD-5E58C179799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Será PJ</t>
        </r>
      </text>
    </comment>
    <comment ref="C50" authorId="1" shapeId="0" xr:uid="{F74FD43D-7A87-4EA6-94A8-2608BA73E583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Solicitou troca de VT para auxililio mobilidade- Não solicitar VT para agosto 
</t>
        </r>
      </text>
    </comment>
    <comment ref="G52" authorId="0" shapeId="0" xr:uid="{1847B1D8-8BC2-4A06-BF40-3711D6D24062}">
      <text>
        <r>
          <rPr>
            <sz val="11"/>
            <color theme="1"/>
            <rFont val="Aptos Narrow"/>
            <family val="2"/>
            <scheme val="minor"/>
          </rPr>
          <t>======
ID#AAAB8rq7hfA
tc={8819F054-4A84-4E52-A2F3-EA3065A6D1D0}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C55" authorId="0" shapeId="0" xr:uid="{6A05D985-07F5-4960-A9E4-76AF515D1605}">
      <text>
        <r>
          <rPr>
            <sz val="11"/>
            <color theme="1"/>
            <rFont val="Aptos Narrow"/>
            <family val="2"/>
            <scheme val="minor"/>
          </rPr>
          <t>======
ID#AAAB8rq7iuA
tc={01E45448-BBEA-4E75-8B3A-ADD02EE88A27}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E56" authorId="1" shapeId="0" xr:uid="{C03924D5-2BDC-4661-8744-377E88112F64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Sairá do contrato CLT para PJ.</t>
        </r>
      </text>
    </comment>
    <comment ref="E59" authorId="2" shapeId="0" xr:uid="{E92AA674-431C-4A3B-8AC1-1D08F649B185}">
      <text>
        <r>
          <rPr>
            <b/>
            <sz val="9"/>
            <color indexed="81"/>
            <rFont val="Segoe UI"/>
            <family val="2"/>
          </rPr>
          <t>Bruna Carlucci:</t>
        </r>
        <r>
          <rPr>
            <sz val="9"/>
            <color indexed="81"/>
            <rFont val="Segoe UI"/>
            <family val="2"/>
          </rPr>
          <t xml:space="preserve">
O mesmo trabalharia 23 dias - 8 dias  referente as férias de 04/09 até 13/09
+3 Dias referente ao mês 08 que foi solicitado errado.</t>
        </r>
      </text>
    </comment>
    <comment ref="E68" authorId="1" shapeId="0" xr:uid="{6855F315-F412-4C84-85EE-CF3DC3C318A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Será PJ</t>
        </r>
      </text>
    </comment>
    <comment ref="E69" authorId="1" shapeId="0" xr:uid="{9CD2A8C0-7D98-4B9D-BBBB-5178FD7C3DB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-12 dias úteis referente as férias 10/09 até 25/09.</t>
        </r>
      </text>
    </comment>
    <comment ref="C74" authorId="0" shapeId="0" xr:uid="{195CBBF6-14F5-480A-A3E1-3D2DB98249FA}">
      <text>
        <r>
          <rPr>
            <sz val="11"/>
            <color theme="1"/>
            <rFont val="Aptos Narrow"/>
            <family val="2"/>
            <scheme val="minor"/>
          </rPr>
          <t xml:space="preserve">======
ID#AAAB8rq7itE
tc={203E6B9F-A719-4F05-9AD8-2B7B479F6121}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
</t>
        </r>
      </text>
    </comment>
    <comment ref="G75" authorId="1" shapeId="0" xr:uid="{253B9B0A-F8FE-4E2B-A74D-4EC69CC0F13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 Reside num raio menor que 2km</t>
        </r>
      </text>
    </comment>
    <comment ref="E84" authorId="1" shapeId="0" xr:uid="{755352E2-E9A9-4378-9525-A24B35CCEB5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O mesmo trabalharia 23 dias em setembro (-)6 dias que não foram descontados de agosto e  - 6 dias referente a setembro das férias 25/08 até 08/09. úteireferente as férias 25/08 até 10/09
</t>
        </r>
      </text>
    </comment>
    <comment ref="G85" authorId="0" shapeId="0" xr:uid="{1287E9C4-5E6E-4425-818C-DEF694D95338}">
      <text>
        <r>
          <rPr>
            <sz val="11"/>
            <color theme="1"/>
            <rFont val="Aptos Narrow"/>
            <family val="2"/>
            <scheme val="minor"/>
          </rPr>
          <t>======
ID#AAAB8rq7ius
tc={118594C8-A959-41BD-BF17-1A959FDF86B0}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86" authorId="0" shapeId="0" xr:uid="{4F2DFD6C-8EF7-42D6-9620-A77FAF988442}">
      <text>
        <r>
          <rPr>
            <sz val="11"/>
            <color theme="1"/>
            <rFont val="Aptos Narrow"/>
            <family val="2"/>
            <scheme val="minor"/>
          </rPr>
          <t>======
ID#AAAB8qiQ5bQ
tc={B0811F58-163D-4868-B9AA-9ABD3EBCA12E}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88" authorId="0" shapeId="0" xr:uid="{4BD9BBC3-8719-47D3-A138-24CF8A5EDF54}">
      <text>
        <r>
          <rPr>
            <sz val="11"/>
            <color theme="1"/>
            <rFont val="Aptos Narrow"/>
            <family val="2"/>
            <scheme val="minor"/>
          </rPr>
          <t>======
ID#AAAB8qiQ5Z4
tc={2F5EC141-1040-421B-BAAF-78D70078B24A}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90" authorId="1" shapeId="0" xr:uid="{C0A3A71D-ED44-4A61-851C-26347ECFAFC8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- 12 dias úteis referente as férias 17/08 até 01/09.
Obs: Não foi  Descontado no mês 08.</t>
        </r>
      </text>
    </comment>
    <comment ref="G90" authorId="0" shapeId="0" xr:uid="{76B3F192-A9CE-4250-8782-9AECF5B893F9}">
      <text>
        <r>
          <rPr>
            <sz val="11"/>
            <color theme="1"/>
            <rFont val="Aptos Narrow"/>
            <family val="2"/>
            <scheme val="minor"/>
          </rPr>
          <t>======
ID#AAAB8qiQ5ag
tc={0596C1B8-0512-4D57-8624-312A86827834}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em pernambuco e não vem presencialmente.</t>
        </r>
      </text>
    </comment>
    <comment ref="G94" authorId="0" shapeId="0" xr:uid="{A60DDCEC-DE25-451B-9AC8-A9D5A956272D}">
      <text>
        <r>
          <rPr>
            <sz val="11"/>
            <color theme="1"/>
            <rFont val="Aptos Narrow"/>
            <family val="2"/>
            <scheme val="minor"/>
          </rPr>
          <t>======
ID#AAAB8qiQ5as
tc={FEAEC772-ED09-4A04-A402-EE5C1379089E}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96" authorId="0" shapeId="0" xr:uid="{1E8D4F4B-6B1D-41A1-86A3-C8B007570434}">
      <text>
        <r>
          <rPr>
            <sz val="11"/>
            <color theme="1"/>
            <rFont val="Aptos Narrow"/>
            <family val="2"/>
            <scheme val="minor"/>
          </rPr>
          <t>======
ID#AAAB8rq7hfs
tc={D20C6E7E-4B5E-4C30-BAD9-496FA7B312A5}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98" authorId="1" shapeId="0" xr:uid="{D486EE46-860E-43A8-A875-A04069F6AE2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Seu aviso vai até dia 03/09.</t>
        </r>
      </text>
    </comment>
    <comment ref="G100" authorId="0" shapeId="0" xr:uid="{7F2E2F0E-0BDC-4981-B0B2-E0C6DB11D60D}">
      <text>
        <r>
          <rPr>
            <sz val="11"/>
            <color theme="1"/>
            <rFont val="Aptos Narrow"/>
            <family val="2"/>
            <scheme val="minor"/>
          </rPr>
          <t>======
ID#AAAB8rq7is8
tc={34CE59CB-BD9F-42DD-B2B0-FDB96A5B72F7}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03" authorId="0" shapeId="0" xr:uid="{8659A0CE-3A81-42E1-B329-4F95C7D9D41B}">
      <text>
        <r>
          <rPr>
            <sz val="11"/>
            <color theme="1"/>
            <rFont val="Aptos Narrow"/>
            <family val="2"/>
            <scheme val="minor"/>
          </rPr>
          <t xml:space="preserve">======
ID#AAAB8rq7itU
tc={6B674AA8-B1FF-454D-908A-EE20C70078BB}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
</t>
        </r>
      </text>
    </comment>
    <comment ref="G104" authorId="1" shapeId="0" xr:uid="{DD667B88-D0E2-4B09-9B4B-E45D58895CE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108" authorId="1" shapeId="0" xr:uid="{3DA89741-205C-4FC2-8DA3-95C04AE7CA7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110" authorId="1" shapeId="0" xr:uid="{D92439C8-6BFF-43C8-8DB9-7AB18EBD3FEF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Reside num raio menor que 2km
</t>
        </r>
      </text>
    </comment>
    <comment ref="E112" authorId="1" shapeId="0" xr:uid="{2F5E2828-86AE-47BB-8D91-FD232AC18F5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113" authorId="1" shapeId="0" xr:uid="{94EC9065-8F9B-40E0-97A3-29BD3E05D29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114" authorId="1" shapeId="0" xr:uid="{9E5B7012-77D3-4DA2-8C79-C8FBCC8700F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115" authorId="1" shapeId="0" xr:uid="{3092B502-48E0-457A-A4E1-FF2F7C54406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116" authorId="1" shapeId="0" xr:uid="{416C6099-EAC3-4885-A268-CE9C1A99B533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I5" authorId="0" shapeId="0" xr:uid="{69FCE676-F7A7-4770-9BB1-42189901DC7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2 dias referente a segunda semana de trabalho 
</t>
        </r>
      </text>
    </comment>
    <comment ref="F6" authorId="0" shapeId="0" xr:uid="{85E26511-8809-4051-A436-A822DA8D094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NRS é escala 6x2, por isso 23 dias.</t>
        </r>
      </text>
    </comment>
    <comment ref="I6" authorId="0" shapeId="0" xr:uid="{1D06A963-34E2-46A1-939D-EE7BAF8AE00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Valor não incluso no pagamento mensal diferença de férias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G2" authorId="0" shapeId="0" xr:uid="{9F2EBA21-F3D4-4C90-BFEC-E7ADFA85C178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E3" authorId="0" shapeId="0" xr:uid="{A169B304-D354-40CD-9D9D-D2BE0BD2406F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O mesmo trabalharia 22 dias (-) 10 dias úteis referente as férias do dia 15/09 até 14/10.</t>
        </r>
      </text>
    </comment>
    <comment ref="G3" authorId="0" shapeId="0" xr:uid="{ED9AAA45-9E6C-447D-B629-B0C037E89F93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G4" authorId="0" shapeId="0" xr:uid="{8AE90D58-BBEF-4F40-839B-0761FB8EC51F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G11" authorId="0" shapeId="0" xr:uid="{92764BC2-31F8-43B4-A9B8-36C38AB0E79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20" authorId="0" shapeId="0" xr:uid="{D88BADD8-06D0-4F01-A1BD-C7739C78438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E22" authorId="0" shapeId="0" xr:uid="{3A885F26-5322-4FFD-9D84-8810CB786BD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(-) 12 dias úteis de férias do dia 10/09 até 25/09</t>
        </r>
      </text>
    </comment>
    <comment ref="G27" authorId="0" shapeId="0" xr:uid="{12D0FA65-6D2C-463B-B45D-A648BEDA6A9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28" authorId="0" shapeId="0" xr:uid="{588BD2A3-80D0-46D5-A5CB-2235766E00E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Reside num raio menor que 2km
</t>
        </r>
      </text>
    </comment>
    <comment ref="G39" authorId="0" shapeId="0" xr:uid="{B85275ED-0808-4955-9B4B-7D603B75D8F4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Reside num raio menor que 2km</t>
        </r>
      </text>
    </comment>
    <comment ref="G40" authorId="0" shapeId="0" xr:uid="{6DAC5803-9CB8-4537-A776-8EB617516E58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Reside num raio menor que 2km</t>
        </r>
      </text>
    </comment>
    <comment ref="G42" authorId="0" shapeId="0" xr:uid="{A5F8CA9D-3D21-4758-B8C6-4503F68268E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53" authorId="0" shapeId="0" xr:uid="{2511D4FD-7BDA-470A-BA12-522AD1EC582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E57" authorId="0" shapeId="0" xr:uid="{65A38CDA-67DE-4F70-875C-5620B01DF16C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(-) 10 dias úteis das férias do dia 19/10 até 02/11
</t>
        </r>
      </text>
    </comment>
    <comment ref="E60" authorId="0" shapeId="0" xr:uid="{EA57A175-F33E-4159-89EB-01D3658AFB0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(-) 8 dias referente as férias do dia 21/10 até 05/11
</t>
        </r>
      </text>
    </comment>
    <comment ref="G73" authorId="0" shapeId="0" xr:uid="{D8F84B17-F9DA-4AA1-AEE1-52C54D587E3C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Reside num raio menor que 2km</t>
        </r>
      </text>
    </comment>
    <comment ref="G84" authorId="0" shapeId="0" xr:uid="{4E13D748-DE91-494C-8044-A5D349036DA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G85" authorId="0" shapeId="0" xr:uid="{61B41113-903D-45DF-B87F-A58D126DAC1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num raio menor que 2km</t>
        </r>
      </text>
    </comment>
    <comment ref="G86" authorId="0" shapeId="0" xr:uid="{9079AB2B-7C0A-4658-8A9E-4BE692347B2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num raio menor que 2km</t>
        </r>
      </text>
    </comment>
    <comment ref="G88" authorId="0" shapeId="0" xr:uid="{BE8A9011-FC37-4953-AD7B-B13B7B68D77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90" authorId="0" shapeId="0" xr:uid="{2660B068-D5E1-4C61-A215-630582BD8BC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em pernambuco e não vem presencialmente.</t>
        </r>
      </text>
    </comment>
    <comment ref="E91" authorId="0" shapeId="0" xr:uid="{BB8497F5-B7A8-428B-B6DA-B5C10062284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Trabalharia 22 dias (-) 12 dias úteis das férias 15/10 até 29/10.
</t>
        </r>
      </text>
    </comment>
    <comment ref="G95" authorId="0" shapeId="0" xr:uid="{17FC28D8-2CAA-49E6-BEC9-06551729AF6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VT</t>
        </r>
      </text>
    </comment>
    <comment ref="G100" authorId="0" shapeId="0" xr:uid="{44546C6F-FC17-4352-92C5-F9CCB704EF8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VT</t>
        </r>
      </text>
    </comment>
    <comment ref="G104" authorId="0" shapeId="0" xr:uid="{06CA407F-0F66-4E09-9FC4-6A5AFF51875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Reside num raio menor que 2km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I4" authorId="0" shapeId="0" xr:uid="{99AB377A-1E90-4E1C-868F-61D0E01DE04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num raio menor que 2km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F2" authorId="0" shapeId="0" xr:uid="{F99390D7-7B80-41B8-9BC6-3E335674858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D3" authorId="0" shapeId="0" xr:uid="{D6D87815-A4C8-4B47-BA87-F36A569A190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O mesmo trabalharia 22 dias (-) 10 dias úteis referente as férias do dia 15/09 até 14/10.</t>
        </r>
      </text>
    </comment>
    <comment ref="F3" authorId="0" shapeId="0" xr:uid="{9BB2B578-0251-4BF9-AA03-F3E7484BEFC3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F4" authorId="0" shapeId="0" xr:uid="{576C4D51-E3E0-410C-B5AE-F3BD9FE32A7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F13" authorId="0" shapeId="0" xr:uid="{7442DAB6-9214-46DE-AAB1-1D2EA5055AF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F22" authorId="0" shapeId="0" xr:uid="{AC222B85-1D05-4976-A86F-5A159B80FD7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D24" authorId="0" shapeId="0" xr:uid="{532BA337-FA23-44C0-B004-8B6256ECD8C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(-) 12 dias úteis de férias do dia 10/09 até 25/09</t>
        </r>
      </text>
    </comment>
    <comment ref="F30" authorId="0" shapeId="0" xr:uid="{E81CF8E7-02D1-44FA-B9FD-D438B32266B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F31" authorId="0" shapeId="0" xr:uid="{AE7BBE87-2A37-42B9-9D2C-4EC9785722DE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Reside num raio menor que 2km
</t>
        </r>
      </text>
    </comment>
    <comment ref="F43" authorId="0" shapeId="0" xr:uid="{1A7944E2-E1DD-416B-A4DF-0381A637F68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Reside num raio menor que 2km</t>
        </r>
      </text>
    </comment>
    <comment ref="F44" authorId="0" shapeId="0" xr:uid="{AA667ECD-7324-4725-BB62-E11226F4D46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Reside num raio menor que 2km</t>
        </r>
      </text>
    </comment>
    <comment ref="F46" authorId="0" shapeId="0" xr:uid="{D23BEDF6-0433-4613-9083-8C454A54AAA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F57" authorId="0" shapeId="0" xr:uid="{6A513222-0A02-48EB-B420-6C765CFBC75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D62" authorId="0" shapeId="0" xr:uid="{3A2F9B30-FEF4-497D-81A4-C4930ABF958F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(-) 10 dias úteis das férias do dia 19/10 até 02/11
</t>
        </r>
      </text>
    </comment>
    <comment ref="D65" authorId="0" shapeId="0" xr:uid="{B299368B-CBDC-4784-8096-1B618AA30078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(-) 8 dias referente as férias do dia 21/10 até 05/11
</t>
        </r>
      </text>
    </comment>
    <comment ref="F77" authorId="0" shapeId="0" xr:uid="{4B6DDB56-4660-47B3-BC89-2299384DCF8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Reside num raio menor que 2km</t>
        </r>
      </text>
    </comment>
    <comment ref="F88" authorId="0" shapeId="0" xr:uid="{D7E6AAC7-0E6E-4AB2-9979-8210C972DD3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</t>
        </r>
      </text>
    </comment>
    <comment ref="F89" authorId="0" shapeId="0" xr:uid="{50DE7501-FBD3-4464-830E-C200AC96160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num raio menor que 2km</t>
        </r>
      </text>
    </comment>
    <comment ref="F90" authorId="0" shapeId="0" xr:uid="{765D33D4-8151-4AC7-A4C0-9E1B5BB8D83E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num raio menor que 2km</t>
        </r>
      </text>
    </comment>
    <comment ref="F92" authorId="0" shapeId="0" xr:uid="{F0CF9C19-89C5-4F38-B265-0C39B609EA7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F94" authorId="0" shapeId="0" xr:uid="{10CDCED4-DD75-4527-B75C-285F9829B41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Reside em pernambuco e não vem presencialmente.</t>
        </r>
      </text>
    </comment>
    <comment ref="D95" authorId="0" shapeId="0" xr:uid="{B96A514A-B3A2-4601-91BE-D6B284F65B7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Trabalharia 22 dias (-) 12 dias úteis das férias 15/10 até 29/10.
</t>
        </r>
      </text>
    </comment>
    <comment ref="F99" authorId="0" shapeId="0" xr:uid="{4691173C-CFDC-4424-B729-74358B78828F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VT</t>
        </r>
      </text>
    </comment>
    <comment ref="F104" authorId="0" shapeId="0" xr:uid="{01BFBDA9-482F-493C-A5C3-552C6B0D4B7F}">
      <text>
        <r>
          <rPr>
            <b/>
            <sz val="9"/>
            <color indexed="81"/>
            <rFont val="Segoe UI"/>
            <charset val="1"/>
          </rPr>
          <t>Camila Lellis Souza Dos Santos:</t>
        </r>
        <r>
          <rPr>
            <sz val="9"/>
            <color indexed="81"/>
            <rFont val="Segoe UI"/>
            <charset val="1"/>
          </rPr>
          <t xml:space="preserve">
VT</t>
        </r>
      </text>
    </comment>
    <comment ref="F105" authorId="0" shapeId="0" xr:uid="{9F3ECE70-048A-44F6-8BB0-FD5E6C55CA3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VT</t>
        </r>
      </text>
    </comment>
    <comment ref="F109" authorId="0" shapeId="0" xr:uid="{D7DB093C-A953-408E-9453-C937C2619AEE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Reside num raio menor que 2km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</authors>
  <commentList>
    <comment ref="H5" authorId="0" shapeId="0" xr:uid="{861191E8-C1F0-4708-88E3-BBC5045575F7}">
      <text>
        <r>
          <rPr>
            <b/>
            <sz val="9"/>
            <color indexed="81"/>
            <rFont val="Segoe UI"/>
            <charset val="1"/>
          </rPr>
          <t>Camila Lellis Souza Dos Santos:</t>
        </r>
        <r>
          <rPr>
            <sz val="9"/>
            <color indexed="81"/>
            <rFont val="Segoe UI"/>
            <charset val="1"/>
          </rPr>
          <t xml:space="preserve">
VT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Camila Lellis Souza Dos Santos</author>
    <author/>
    <author>Bruna Carlucci</author>
  </authors>
  <commentList>
    <comment ref="E5" authorId="0" shapeId="0" xr:uid="{6768D043-983E-416D-9BC0-FFC8F584EC9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+2 dias referente aos dias que ele não pediu no restaurante parceiro e ficou faltando reembolsar.</t>
        </r>
      </text>
    </comment>
    <comment ref="G6" authorId="1" shapeId="0" xr:uid="{A695AD12-6FAD-4394-AA13-970B4B1C2683}">
      <text>
        <r>
          <rPr>
            <sz val="11"/>
            <color theme="1"/>
            <rFont val="Aptos Narrow"/>
            <family val="2"/>
            <scheme val="minor"/>
          </rPr>
          <t xml:space="preserve">
    VT</t>
        </r>
      </text>
    </comment>
    <comment ref="E7" authorId="0" shapeId="0" xr:uid="{084E2D36-7FF8-4575-8406-740675E9AE5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O mesmo trabalharia 23 dias -  13 referente as férias 15/09 até 14/10
</t>
        </r>
      </text>
    </comment>
    <comment ref="G7" authorId="1" shapeId="0" xr:uid="{B94FD6B6-3F9B-4049-BB60-8F5737BD8120}">
      <text>
        <r>
          <rPr>
            <sz val="11"/>
            <color theme="1"/>
            <rFont val="Aptos Narrow"/>
            <family val="2"/>
            <scheme val="minor"/>
          </rPr>
          <t>======
ID#AAAB8qiQ5aY
tc={9683687A-B350-4C37-9894-F4B3945E3801}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8" authorId="1" shapeId="0" xr:uid="{1A7960D4-CC95-40AF-9F73-D48DD93C3085}">
      <text>
        <r>
          <rPr>
            <sz val="11"/>
            <color theme="1"/>
            <rFont val="Aptos Narrow"/>
            <family val="2"/>
            <scheme val="minor"/>
          </rPr>
          <t>======
ID#AAAB-nDMzsM
tc={C2A35755-9624-431A-ABCD-4012A711E6F4}    (2026-06-26 21:22:36)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9" authorId="0" shapeId="0" xr:uid="{1569C132-FD59-4771-A88B-DA6DFCDA417A}">
      <text>
        <r>
          <rPr>
            <b/>
            <sz val="9"/>
            <color indexed="81"/>
            <rFont val="Segoe UI"/>
            <family val="2"/>
          </rPr>
          <t xml:space="preserve">Camila Lellis Souza Dos Santos:
</t>
        </r>
        <r>
          <rPr>
            <sz val="9"/>
            <color indexed="81"/>
            <rFont val="Segoe UI"/>
            <family val="2"/>
          </rPr>
          <t>Desligamento.</t>
        </r>
      </text>
    </comment>
    <comment ref="E12" authorId="0" shapeId="0" xr:uid="{D57D6186-66AA-4E6A-B201-B75B7B5A8C4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-11 dias úteis referente as Férias 01/09 até 16/09
</t>
        </r>
      </text>
    </comment>
    <comment ref="G16" authorId="0" shapeId="0" xr:uid="{09A05D62-E802-4F54-85CC-40C5843B3909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F17" authorId="1" shapeId="0" xr:uid="{A00A71DA-ED08-45A7-AACA-6DAEBAEC57A0}">
      <text>
        <r>
          <rPr>
            <sz val="11"/>
            <color theme="1"/>
            <rFont val="Aptos Narrow"/>
            <family val="2"/>
            <scheme val="minor"/>
          </rPr>
          <t>======
ID#AAAB8rq7isk
tc={FBB0C9E6-30A3-4A86-A45C-83DE47C88709}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R$600 fixo</t>
        </r>
      </text>
    </comment>
    <comment ref="E20" authorId="0" shapeId="0" xr:uid="{F76DAA92-B3D9-47CC-91E5-B1D302B5553C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28" authorId="0" shapeId="0" xr:uid="{EDDFA0DB-1F1C-4ACC-867E-985EBE2A63D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Sairá do contrato CLT para PJ.</t>
        </r>
      </text>
    </comment>
    <comment ref="G29" authorId="0" shapeId="0" xr:uid="{ECB41A7F-D599-4233-A076-517579B75048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VT
</t>
        </r>
      </text>
    </comment>
    <comment ref="G31" authorId="0" shapeId="0" xr:uid="{08531798-CD1A-411B-9702-7777DE1C98F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Reside num raio menor que 2km
</t>
        </r>
      </text>
    </comment>
    <comment ref="G37" authorId="1" shapeId="0" xr:uid="{C6FE6DA8-A159-468F-BE9C-4306FE7E3284}">
      <text>
        <r>
          <rPr>
            <sz val="11"/>
            <color theme="1"/>
            <rFont val="Aptos Narrow"/>
            <family val="2"/>
            <scheme val="minor"/>
          </rPr>
          <t xml:space="preserve">======
ID#AAAB8rq7iso
tc={638F6294-3A13-442C-B889-C5D7694FF108}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Trocou para Mobilidade em Agosto.
</t>
        </r>
      </text>
    </comment>
    <comment ref="G39" authorId="1" shapeId="0" xr:uid="{8B22AF61-632F-41B7-8B04-9DD022B628EB}">
      <text>
        <r>
          <rPr>
            <sz val="11"/>
            <color theme="1"/>
            <rFont val="Aptos Narrow"/>
            <family val="2"/>
            <scheme val="minor"/>
          </rPr>
          <t>======
ID#AAAB8qiQ5a8
tc={D4710852-0BCA-4743-A38D-B94757FC8D58}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40" authorId="1" shapeId="0" xr:uid="{4AC3973A-772D-4D5C-A212-4C1EBB1EA136}">
      <text>
        <r>
          <rPr>
            <sz val="11"/>
            <color theme="1"/>
            <rFont val="Aptos Narrow"/>
            <family val="2"/>
            <scheme val="minor"/>
          </rPr>
          <t>======
ID#AAAB8rq7itM
tc={2C4414C5-2E87-4F2C-B19C-506F226FE548}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43" authorId="0" shapeId="0" xr:uid="{03192975-6003-412D-8807-8E787360AD3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-5 dias úteis referente as férias 17/08 até 21/08.
Obs: Não foi  Descontado no mês 08.</t>
        </r>
      </text>
    </comment>
    <comment ref="E44" authorId="0" shapeId="0" xr:uid="{405FA9F3-48FA-4248-882D-BCB342FD425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47" authorId="0" shapeId="0" xr:uid="{7D30F194-CDA6-4361-8B3D-4CE5B5BF4880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G49" authorId="1" shapeId="0" xr:uid="{0637F38E-23BE-4EA8-95B8-C057230CF35E}">
      <text>
        <r>
          <rPr>
            <sz val="11"/>
            <color theme="1"/>
            <rFont val="Aptos Narrow"/>
            <family val="2"/>
            <scheme val="minor"/>
          </rPr>
          <t>======
ID#AAAB8rq7hfc
tc={E75DD14D-B50C-4C52-8E8E-EAE0B00322F3}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E50" authorId="0" shapeId="0" xr:uid="{9211FB09-D809-4BA5-BEBE-4B1B70630F8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-12 dias úteis das Férias 10/08 até 25/08.
Obs: Não foi  Descontado no mês 08.</t>
        </r>
      </text>
    </comment>
    <comment ref="G50" authorId="1" shapeId="0" xr:uid="{E830DEBD-1664-47DC-B08C-C9298864C3CA}">
      <text>
        <r>
          <rPr>
            <sz val="11"/>
            <color theme="1"/>
            <rFont val="Aptos Narrow"/>
            <family val="2"/>
            <scheme val="minor"/>
          </rPr>
          <t xml:space="preserve">======
ID#AAAB8qiQ5cs
tc={E01261BA-05D5-4A77-A0C6-69322962DE2B}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
</t>
        </r>
      </text>
    </comment>
    <comment ref="G52" authorId="1" shapeId="0" xr:uid="{302FE855-FF25-413C-897A-C9A4800009D9}">
      <text>
        <r>
          <rPr>
            <sz val="11"/>
            <color theme="1"/>
            <rFont val="Aptos Narrow"/>
            <family val="2"/>
            <scheme val="minor"/>
          </rPr>
          <t>======
ID#AAAB8qiQ5aM
tc={752F4704-AFBA-4D77-BF6C-970F00936F63}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54" authorId="0" shapeId="0" xr:uid="{7DBE7DD5-A344-42A6-83A2-C797A2CCCE93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Afastamento 30 dias 
</t>
        </r>
      </text>
    </comment>
    <comment ref="E58" authorId="0" shapeId="0" xr:uid="{648777A1-B6AB-4E5E-9B93-849A986DB4FD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Será PJ</t>
        </r>
      </text>
    </comment>
    <comment ref="C61" authorId="1" shapeId="0" xr:uid="{0A59E822-B106-4E21-8A13-5716A70D1B8F}">
      <text>
        <r>
          <rPr>
            <sz val="11"/>
            <color theme="1"/>
            <rFont val="Aptos Narrow"/>
            <family val="2"/>
            <scheme val="minor"/>
          </rPr>
          <t>======
ID#AAAB8rq7iuA
tc={01E45448-BBEA-4E75-8B3A-ADD02EE88A27}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</t>
        </r>
      </text>
    </comment>
    <comment ref="C63" authorId="0" shapeId="0" xr:uid="{4114D4D3-259D-4326-800D-4EF000FD77A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Solicitou troca de VT para auxililio mobilidade- Não solicitar VT para agosto 
</t>
        </r>
      </text>
    </comment>
    <comment ref="G65" authorId="1" shapeId="0" xr:uid="{83F2B9DC-6573-4BA7-A2DC-017BF366F86F}">
      <text>
        <r>
          <rPr>
            <sz val="11"/>
            <color theme="1"/>
            <rFont val="Aptos Narrow"/>
            <family val="2"/>
            <scheme val="minor"/>
          </rPr>
          <t>======
ID#AAAB8rq7hfA
tc={8819F054-4A84-4E52-A2F3-EA3065A6D1D0}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68" authorId="0" shapeId="0" xr:uid="{BCB19E32-1483-4E6A-9C54-E9D0C6C47BB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Sairá do contrato CLT para PJ.</t>
        </r>
      </text>
    </comment>
    <comment ref="E72" authorId="2" shapeId="0" xr:uid="{8DC3A742-06E3-4B60-ABA2-E1BF0156FE38}">
      <text>
        <r>
          <rPr>
            <b/>
            <sz val="9"/>
            <color indexed="81"/>
            <rFont val="Segoe UI"/>
            <family val="2"/>
          </rPr>
          <t>Bruna Carlucci:</t>
        </r>
        <r>
          <rPr>
            <sz val="9"/>
            <color indexed="81"/>
            <rFont val="Segoe UI"/>
            <family val="2"/>
          </rPr>
          <t xml:space="preserve">
O mesmo trabalharia 23 dias - 8 dias  referente as férias de 04/09 até 13/09
+3 Dias referente ao mês 08 que foi solicitado errado.</t>
        </r>
      </text>
    </comment>
    <comment ref="E81" authorId="0" shapeId="0" xr:uid="{4CE35120-221B-40ED-A60D-4913A395D00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Será PJ</t>
        </r>
      </text>
    </comment>
    <comment ref="E82" authorId="0" shapeId="0" xr:uid="{3DEA7CA5-12E3-4CFB-B334-AFEC5BE1E8C1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-12 dias úteis referente as férias 10/09 até 25/09.</t>
        </r>
      </text>
    </comment>
    <comment ref="C87" authorId="1" shapeId="0" xr:uid="{AE6E5839-BE32-4693-87CE-C00B61384FB8}">
      <text>
        <r>
          <rPr>
            <sz val="11"/>
            <color theme="1"/>
            <rFont val="Aptos Narrow"/>
            <family val="2"/>
            <scheme val="minor"/>
          </rPr>
          <t xml:space="preserve">======
ID#AAAB8rq7itE
tc={203E6B9F-A719-4F05-9AD8-2B7B479F6121}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mobilidade feito como premiação
</t>
        </r>
      </text>
    </comment>
    <comment ref="G88" authorId="0" shapeId="0" xr:uid="{56E27784-A574-4582-9189-7B863FFFBFC2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    Reside num raio menor que 2km</t>
        </r>
      </text>
    </comment>
    <comment ref="E93" authorId="0" shapeId="0" xr:uid="{8C4DA3B0-95FE-4B66-9EB5-AEE7DA2000C6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E98" authorId="0" shapeId="0" xr:uid="{15E6E3B5-B441-4C69-A312-859D24D2934B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O mesmo trabalharia 23 dias em setembro (-)6 dias que não foram descontados de agosto e  - 6 dias referente a setembro das férias 25/08 até 08/09. úteireferente as férias 25/08 até 10/09
</t>
        </r>
      </text>
    </comment>
    <comment ref="G101" authorId="1" shapeId="0" xr:uid="{ED51F9BF-05B5-45EE-A513-7DF4C92627BD}">
      <text>
        <r>
          <rPr>
            <sz val="11"/>
            <color theme="1"/>
            <rFont val="Aptos Narrow"/>
            <family val="2"/>
            <scheme val="minor"/>
          </rPr>
          <t>======
ID#AAAB8rq7ius
tc={118594C8-A959-41BD-BF17-1A959FDF86B0}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02" authorId="1" shapeId="0" xr:uid="{D7EF5235-57C1-4BA9-8251-81237E4EB0EB}">
      <text>
        <r>
          <rPr>
            <sz val="11"/>
            <color theme="1"/>
            <rFont val="Aptos Narrow"/>
            <family val="2"/>
            <scheme val="minor"/>
          </rPr>
          <t>======
ID#AAAB8qiQ5bQ
tc={B0811F58-163D-4868-B9AA-9ABD3EBCA12E}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</t>
        </r>
      </text>
    </comment>
    <comment ref="G104" authorId="1" shapeId="0" xr:uid="{3E88AF7F-4EAB-4598-8966-BAC5A2C01C77}">
      <text>
        <r>
          <rPr>
            <sz val="11"/>
            <color theme="1"/>
            <rFont val="Aptos Narrow"/>
            <family val="2"/>
            <scheme val="minor"/>
          </rPr>
          <t>======
ID#AAAB8qiQ5Z4
tc={2F5EC141-1040-421B-BAAF-78D70078B24A}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106" authorId="0" shapeId="0" xr:uid="{21CB1BD5-7BF3-4218-A233-CB778EDBE095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- 12 dias úteis referente as férias 17/08 até 01/09.
Obs: Não foi  Descontado no mês 08.</t>
        </r>
      </text>
    </comment>
    <comment ref="G106" authorId="1" shapeId="0" xr:uid="{7A6A9F40-5EB8-435B-8B6A-BA8B058A9226}">
      <text>
        <r>
          <rPr>
            <sz val="11"/>
            <color theme="1"/>
            <rFont val="Aptos Narrow"/>
            <family val="2"/>
            <scheme val="minor"/>
          </rPr>
          <t>======
ID#AAAB8qiQ5ag
tc={0596C1B8-0512-4D57-8624-312A86827834}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em pernambuco e não vem presencialmente.</t>
        </r>
      </text>
    </comment>
    <comment ref="E108" authorId="0" shapeId="0" xr:uid="{0F4E68EA-7C1F-4901-9322-D1F04155671A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+6 dias úteis .Referente aos dias tgrabalhados do mês 08 a partir da data de admissão 27/08.</t>
        </r>
      </text>
    </comment>
    <comment ref="G111" authorId="1" shapeId="0" xr:uid="{27BF37F9-75C0-41B9-98A2-F7AC1417CD4A}">
      <text>
        <r>
          <rPr>
            <sz val="11"/>
            <color theme="1"/>
            <rFont val="Aptos Narrow"/>
            <family val="2"/>
            <scheme val="minor"/>
          </rPr>
          <t>======
ID#AAAB8qiQ5as
tc={FEAEC772-ED09-4A04-A402-EE5C1379089E}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13" authorId="1" shapeId="0" xr:uid="{BFD835BC-A031-41E8-9D5C-370EBAA3BDFC}">
      <text>
        <r>
          <rPr>
            <sz val="11"/>
            <color theme="1"/>
            <rFont val="Aptos Narrow"/>
            <family val="2"/>
            <scheme val="minor"/>
          </rPr>
          <t>======
ID#AAAB8rq7hfs
tc={D20C6E7E-4B5E-4C30-BAD9-496FA7B312A5}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E115" authorId="0" shapeId="0" xr:uid="{216BDFB6-D766-43A0-AF0B-C31C53BDAF77}">
      <text>
        <r>
          <rPr>
            <b/>
            <sz val="9"/>
            <color indexed="81"/>
            <rFont val="Segoe UI"/>
            <family val="2"/>
          </rPr>
          <t>Camila Lellis Souza Dos Santos:</t>
        </r>
        <r>
          <rPr>
            <sz val="9"/>
            <color indexed="81"/>
            <rFont val="Segoe UI"/>
            <family val="2"/>
          </rPr>
          <t xml:space="preserve">
Seu aviso vai até dia 03/09.</t>
        </r>
      </text>
    </comment>
    <comment ref="G117" authorId="1" shapeId="0" xr:uid="{EB5D7922-6202-446D-961F-00A293E8DEA3}">
      <text>
        <r>
          <rPr>
            <sz val="11"/>
            <color theme="1"/>
            <rFont val="Aptos Narrow"/>
            <family val="2"/>
            <scheme val="minor"/>
          </rPr>
          <t>======
ID#AAAB8rq7is8
tc={34CE59CB-BD9F-42DD-B2B0-FDB96A5B72F7}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VT</t>
        </r>
      </text>
    </comment>
    <comment ref="G123" authorId="1" shapeId="0" xr:uid="{7920125D-0580-41FE-B447-3F5574600ED3}">
      <text>
        <r>
          <rPr>
            <sz val="11"/>
            <color theme="1"/>
            <rFont val="Aptos Narrow"/>
            <family val="2"/>
            <scheme val="minor"/>
          </rPr>
          <t xml:space="preserve">======
ID#AAAB8rq7itU
tc={6B674AA8-B1FF-454D-908A-EE20C70078BB}    (2026-06-02 14:58:08)
[Comentário encadeado]
Sua versão do Excel permite que você leia este comentário encadeado, no entanto, as edições serão removidas se o arquivo for aberto em uma versão mais recente do Excel. Saiba mais: https://go.microsoft.com/fwlink/?linkid=870924
Comentário:
    Reside num raio menor que 2km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<sst xmlns="http://schemas.openxmlformats.org/spreadsheetml/2006/main" count="4960" uniqueCount="647">
  <si>
    <t>BENEFÍCIOS IKLI TECNOLOGIA   - Janeiro/2026</t>
  </si>
  <si>
    <t>CPF</t>
  </si>
  <si>
    <t>Nome completo</t>
  </si>
  <si>
    <t>Setor</t>
  </si>
  <si>
    <t xml:space="preserve">Dias Úteis </t>
  </si>
  <si>
    <t>CAJU - Auxílio Alimentação</t>
  </si>
  <si>
    <t>CAJU - Mobilidade</t>
  </si>
  <si>
    <t>706.366.124-81</t>
  </si>
  <si>
    <t>ALESANDRO DA MATA SILVA</t>
  </si>
  <si>
    <t>NRS - ANALISTAS</t>
  </si>
  <si>
    <t>-</t>
  </si>
  <si>
    <t>713.066.674-96</t>
  </si>
  <si>
    <t>ANDERSON LIMA SILVA</t>
  </si>
  <si>
    <t>CS</t>
  </si>
  <si>
    <t>452.606.448-32</t>
  </si>
  <si>
    <t>ANDERSON RODRIGUES DE VASCONCELOS</t>
  </si>
  <si>
    <t>ONBOARDING</t>
  </si>
  <si>
    <t>115.540.124-73</t>
  </si>
  <si>
    <t>ANDRÉ GUSTAVO BARBOSA ARAUJO</t>
  </si>
  <si>
    <t>108.723.714-92</t>
  </si>
  <si>
    <t>ANDRÉ VICTOR BARCIA DUARTE FURTADO</t>
  </si>
  <si>
    <t>105.141.054-10</t>
  </si>
  <si>
    <t>ANDRESSA MÁRCIA PEREIRA DA SILVA</t>
  </si>
  <si>
    <t>EXPANSÃO</t>
  </si>
  <si>
    <t xml:space="preserve"> </t>
  </si>
  <si>
    <t>103.109.644-23</t>
  </si>
  <si>
    <t>ARTHUR ALEXANDRE DOS SANTOS CUNHA</t>
  </si>
  <si>
    <t>118.833.184-16</t>
  </si>
  <si>
    <t>ARTHUR RICK DE MORAIS SILVA</t>
  </si>
  <si>
    <t>OPERAÇÕES</t>
  </si>
  <si>
    <t>122.288.994-37</t>
  </si>
  <si>
    <t>AURIAN RODRIGUES DOS SANTOS FILHO</t>
  </si>
  <si>
    <t>MARKETING</t>
  </si>
  <si>
    <t>716.054.384-05</t>
  </si>
  <si>
    <t>BEATRIZ DA COSTA TRIGUEIRO</t>
  </si>
  <si>
    <t>GENTE E GESTÃO</t>
  </si>
  <si>
    <t>918.801.147-04</t>
  </si>
  <si>
    <t>BIANCA GOUVEIA GALVÃO</t>
  </si>
  <si>
    <t>130.692.904-00</t>
  </si>
  <si>
    <t>BRENO DO NASCIMENTO MACEDO</t>
  </si>
  <si>
    <t>JURÍDICO</t>
  </si>
  <si>
    <t>373.081.008-12</t>
  </si>
  <si>
    <t>BRUNA CARLUCCI ROSSE</t>
  </si>
  <si>
    <t>961.534.662-49</t>
  </si>
  <si>
    <t>CAUÃ SILVEIRA CAMINHA</t>
  </si>
  <si>
    <t>708.199.494-69</t>
  </si>
  <si>
    <t>DANIEL ARAÚJO LIMA DOS SANTOS</t>
  </si>
  <si>
    <t>QSGI</t>
  </si>
  <si>
    <t>007.358.364-26</t>
  </si>
  <si>
    <t>DANIELLA DE OLIVEIRA SILVA</t>
  </si>
  <si>
    <t>NPF</t>
  </si>
  <si>
    <t>DAVI XAVIER DE MEDEIROS BARBOSA</t>
  </si>
  <si>
    <t>TÉCNICO</t>
  </si>
  <si>
    <t>073.513.824-92</t>
  </si>
  <si>
    <t xml:space="preserve">DOUGLAS XAVIER DE MEDEIROS </t>
  </si>
  <si>
    <t>109.970.444-89</t>
  </si>
  <si>
    <t>ERIC MELO DE OLIVEIRA JUNIOR</t>
  </si>
  <si>
    <t>121.795.034-66</t>
  </si>
  <si>
    <t>ERICLES LUAN DE ARAUJO SILVA</t>
  </si>
  <si>
    <t>072.650.714-84</t>
  </si>
  <si>
    <t>FAUMAR DOS SANTOS CÂMARA</t>
  </si>
  <si>
    <t>087.537.474-37</t>
  </si>
  <si>
    <t>FELIPE CORDEIRO QUEIROZ DE OLIVEIRA LIMA</t>
  </si>
  <si>
    <t>704.530.194-47</t>
  </si>
  <si>
    <t>FELIPI MATIAS OLIVEIRA</t>
  </si>
  <si>
    <t>DESENVOLVIMENTO</t>
  </si>
  <si>
    <t>008.250.512-82</t>
  </si>
  <si>
    <t>FRANCISCO DE ASSIS FERNANDES</t>
  </si>
  <si>
    <t>706.164.611-00</t>
  </si>
  <si>
    <t>GEAN NOGUEIRA DE LIMA</t>
  </si>
  <si>
    <t>123.222.304-21</t>
  </si>
  <si>
    <t>GIOVANNA RAVINE CORDEIRO DOS ANJOS SALES</t>
  </si>
  <si>
    <t>056.043.494-46</t>
  </si>
  <si>
    <t>GLAUBER ARLINDO DE OLIVEIRA SILVA</t>
  </si>
  <si>
    <t>132.447.346-00</t>
  </si>
  <si>
    <t>GUILHERME JOSÉ RIBEIRO SULZ</t>
  </si>
  <si>
    <t>073.324.234-05</t>
  </si>
  <si>
    <t>GUILHERME TORRES MARINHO PIRES</t>
  </si>
  <si>
    <t>700.527.144-03</t>
  </si>
  <si>
    <t>GUSTAVO HUDSON MARINHO DORNELAS</t>
  </si>
  <si>
    <t>117.682.424-45</t>
  </si>
  <si>
    <t>IAN GRISI LYRA</t>
  </si>
  <si>
    <t>096.940.474-39</t>
  </si>
  <si>
    <t>ISAAC DE MATOS LIMA</t>
  </si>
  <si>
    <t>492.348.248.65</t>
  </si>
  <si>
    <t>ISAAC LIMA DE CARVALHO</t>
  </si>
  <si>
    <t>NRS</t>
  </si>
  <si>
    <t>035.149.414-67</t>
  </si>
  <si>
    <t>ISANETE RAMOS DE OLIVEIRA</t>
  </si>
  <si>
    <t>716.526.294-67</t>
  </si>
  <si>
    <t>ISLLY RAMOS DE OLIVEIRA SILVA</t>
  </si>
  <si>
    <t>716.571.924-58</t>
  </si>
  <si>
    <t>IVELLYN RAMOS DE OLIVEIRA SILVA</t>
  </si>
  <si>
    <t>110.749.764-79</t>
  </si>
  <si>
    <t>JAELSON PEREIRA DA SILVA</t>
  </si>
  <si>
    <t>085.983.734-35</t>
  </si>
  <si>
    <t>JAIRO GOMES DE ALBUQUERQUE NETO</t>
  </si>
  <si>
    <t>127.574.564-40</t>
  </si>
  <si>
    <t>JEFERSON BRITO DA CONCEICAO</t>
  </si>
  <si>
    <t>707.169.714-02</t>
  </si>
  <si>
    <t>JEMIMA LAÍS DIAS MARTINS</t>
  </si>
  <si>
    <t>127.438.064-27</t>
  </si>
  <si>
    <t>JEYSA ALECSANDRA MARINHO DA  SILVA</t>
  </si>
  <si>
    <t>FINANCEIRO</t>
  </si>
  <si>
    <t>096.942.764-62</t>
  </si>
  <si>
    <t>JOÃO CARLOS FIDELIS GARCIA DA SILVA</t>
  </si>
  <si>
    <t xml:space="preserve"> 718.712.584-48</t>
  </si>
  <si>
    <t>JOÃO GABRIEL GOMES DA SILVA</t>
  </si>
  <si>
    <t>048.530.614-01</t>
  </si>
  <si>
    <t>JOAO MARIA MORAES NETO</t>
  </si>
  <si>
    <t>702.992.374-00</t>
  </si>
  <si>
    <t>JOAO MIGUEL DE OLIVEIRA VIANA</t>
  </si>
  <si>
    <t>715.598.304-76</t>
  </si>
  <si>
    <t>JOAO VICTOR LIMA DIAS DA SILVA</t>
  </si>
  <si>
    <t>055.007.134-26</t>
  </si>
  <si>
    <t>JONATHAS DO CARMOS RODRIGUES</t>
  </si>
  <si>
    <t>120.310.696-32</t>
  </si>
  <si>
    <t>JORGE BONFIM SULZ NETO</t>
  </si>
  <si>
    <t>705.169.744-75</t>
  </si>
  <si>
    <t>JOSÉ MATHEUS OLIVEIRA DE LIMA</t>
  </si>
  <si>
    <t>081.058.034-96</t>
  </si>
  <si>
    <t>JOSÉ XAVIER DA ROCHA FILHO</t>
  </si>
  <si>
    <t>480.474.368-56</t>
  </si>
  <si>
    <t>LARISSA ALVES DE LIMA</t>
  </si>
  <si>
    <t>016.263954-62</t>
  </si>
  <si>
    <t>LEANDERSON CORDEIRO DE MASCENA</t>
  </si>
  <si>
    <t>112.247.504-70</t>
  </si>
  <si>
    <t>LEDYSSON AUGUSTO DE BRITO LIRA NASCIMENTO</t>
  </si>
  <si>
    <t>LEONARDO LOPES DA LUZ</t>
  </si>
  <si>
    <t>703.859.144-40</t>
  </si>
  <si>
    <t xml:space="preserve">LÍVIA JESUS ALMEIDA DE LIRA </t>
  </si>
  <si>
    <t>109.355.754-05</t>
  </si>
  <si>
    <t>LUCAS BEZERRA DOS SANTOS</t>
  </si>
  <si>
    <t>060.671.204-61</t>
  </si>
  <si>
    <t>LUIZ GONZAGA DE ALBUQUERQUE MONTENEGRO NETO</t>
  </si>
  <si>
    <t>129.949.404-85</t>
  </si>
  <si>
    <t>MAHORI FERREIRA DE LIMA SILVA</t>
  </si>
  <si>
    <t>119.028.854-06</t>
  </si>
  <si>
    <t>MARCELO WANDERLEY DE SOUZA</t>
  </si>
  <si>
    <t>066.189.304-99</t>
  </si>
  <si>
    <t>MARCIA MARIA DE ANDRADE SILVA</t>
  </si>
  <si>
    <t>108.799.454-35</t>
  </si>
  <si>
    <t>MARIA EDUARDA MOREIRA FERREIRA</t>
  </si>
  <si>
    <t>NRP</t>
  </si>
  <si>
    <t>703.964.114-36</t>
  </si>
  <si>
    <t>MATEUS DO NASCIMENTO BRITO</t>
  </si>
  <si>
    <t>131.910.344-80</t>
  </si>
  <si>
    <t>MATHEUS ALEXSANDRO AMARAL DE MEDEIROS</t>
  </si>
  <si>
    <t>717.393.814-75</t>
  </si>
  <si>
    <t>MATHEUS ANTINHO DE LIMA</t>
  </si>
  <si>
    <t>705.209.784-20</t>
  </si>
  <si>
    <t>MATHEUS DE OLIVEIRA ROCHA</t>
  </si>
  <si>
    <t>706.745.334-88</t>
  </si>
  <si>
    <t>MICAEL JORDÃO MOURA DE SOUZA</t>
  </si>
  <si>
    <t>098.163.944-56</t>
  </si>
  <si>
    <t>MICHAEL VICTOR RAMOS NUNES</t>
  </si>
  <si>
    <t>070.343.244-33</t>
  </si>
  <si>
    <t>MICHELE BERNADINO DE OLIVEIRA DOS SANTOS</t>
  </si>
  <si>
    <t>466.882.424-00</t>
  </si>
  <si>
    <t>MONICA GUILHERME DA SILVA</t>
  </si>
  <si>
    <t>704.460.454-47</t>
  </si>
  <si>
    <t>NICOLAS MICHELL FRAGOSO TOSCANO</t>
  </si>
  <si>
    <t>044.498.225-60</t>
  </si>
  <si>
    <t>NICOLE LENA DE OLIVEIRA</t>
  </si>
  <si>
    <t>768.954.324-34</t>
  </si>
  <si>
    <t>OSEAS RICARDO FELINTO</t>
  </si>
  <si>
    <t>137.062.554-56</t>
  </si>
  <si>
    <t>PEDRO GABRIEL DE CASTRO SILVA</t>
  </si>
  <si>
    <t>103.301.264-58</t>
  </si>
  <si>
    <t>PEDRO HENRIQUE SANTOS DA SILVA</t>
  </si>
  <si>
    <t>052.333.104-57</t>
  </si>
  <si>
    <t xml:space="preserve">PIETRUS SOARES LAVOR </t>
  </si>
  <si>
    <t>085.511.604-86</t>
  </si>
  <si>
    <t>PRISCILA DA ROCHA OLIVEIRA</t>
  </si>
  <si>
    <t>P&amp;D</t>
  </si>
  <si>
    <t>143.486.894-07</t>
  </si>
  <si>
    <t>RAFAEL ARCANJO FRANÇA CAVALCANTE DE MACÊDO</t>
  </si>
  <si>
    <t>112.490.014-47</t>
  </si>
  <si>
    <t>RAFAEL DOS SANTOS SOUSA</t>
  </si>
  <si>
    <t>112.376.024-16</t>
  </si>
  <si>
    <t xml:space="preserve">RAFAEL HENRIQUE RIBEIRO AMANCIO </t>
  </si>
  <si>
    <t>071.272.774-43</t>
  </si>
  <si>
    <t>RAFAEL MIRANDA DA COSTA</t>
  </si>
  <si>
    <t>700.371.934-73</t>
  </si>
  <si>
    <t xml:space="preserve">RAIRA CONCEIÇÃO DOS SANTOS SENA </t>
  </si>
  <si>
    <t>108.820.504-60</t>
  </si>
  <si>
    <t>RAMOM NEVES BALDUINO</t>
  </si>
  <si>
    <t>065.255.384-24</t>
  </si>
  <si>
    <t>RAYANE KELY PASSIFICO DA SILVA</t>
  </si>
  <si>
    <t>095.436.474-02</t>
  </si>
  <si>
    <t>RENNAN FERNANDES DE SOUZA MELO</t>
  </si>
  <si>
    <t>110.007.924-63</t>
  </si>
  <si>
    <t>RIVALDO FRANSCICO DOS SANTOS NETO</t>
  </si>
  <si>
    <t>062.401.744-32</t>
  </si>
  <si>
    <t>ROBERTO DA SILVA BEZERRA</t>
  </si>
  <si>
    <t>126.802.964-51</t>
  </si>
  <si>
    <t>RODOLFO MATIAS DE LIMA</t>
  </si>
  <si>
    <t>122.818.714-28</t>
  </si>
  <si>
    <t>RUAN LUCAS FRANÇA MACHADO</t>
  </si>
  <si>
    <t>492.348.788-76</t>
  </si>
  <si>
    <t>SAMUEL LIMA DE CARVALHO</t>
  </si>
  <si>
    <t>063.269.134-46</t>
  </si>
  <si>
    <t>SÉRGIO EUCLIDES MEIRELES GOMES JÚNIOR</t>
  </si>
  <si>
    <t>066.175.394-86</t>
  </si>
  <si>
    <t>SIDNEY ROGERIO CIRAULO MARQUES</t>
  </si>
  <si>
    <t>110.111.254-98</t>
  </si>
  <si>
    <t>SOFIA CAVALCANTI DE MORAIS COUTINHO</t>
  </si>
  <si>
    <t>038.273.602-85</t>
  </si>
  <si>
    <t xml:space="preserve">THALLES ALBUQUERQUE DA SILVA </t>
  </si>
  <si>
    <t>095.435.354-42</t>
  </si>
  <si>
    <t>THAMARA DE OLIVEIRA PONTES</t>
  </si>
  <si>
    <t>012.936.394-43</t>
  </si>
  <si>
    <t>THIAGO LINS SALES</t>
  </si>
  <si>
    <t>101.853.844-55</t>
  </si>
  <si>
    <t>VITÓRIA ANDRADE VASCONCELOS BRANDÃO</t>
  </si>
  <si>
    <t>099.561.744-07</t>
  </si>
  <si>
    <t>YUANN LEMOS BARRETO</t>
  </si>
  <si>
    <t>SOMA =</t>
  </si>
  <si>
    <t>BENEFÍCIOS IKLI TECNOLOGIA   - Janeiro/2026 - Proporcional</t>
  </si>
  <si>
    <t>Data de início</t>
  </si>
  <si>
    <t>Data do pedido</t>
  </si>
  <si>
    <t>008.491.824-17</t>
  </si>
  <si>
    <t>PAULO ROBERTO DA SILVA FERREIRA</t>
  </si>
  <si>
    <t>Vale Transporte</t>
  </si>
  <si>
    <t>007.600.614-08</t>
  </si>
  <si>
    <t>GIOVANNA OLIVEIRA LIMA DE ABREU CAVALCANTE</t>
  </si>
  <si>
    <t>Raio menor que 2km</t>
  </si>
  <si>
    <t>110.018.084-28</t>
  </si>
  <si>
    <t>JOÃO  ANTONIO HONORATO CARVALHO</t>
  </si>
  <si>
    <t>120.801.244-47</t>
  </si>
  <si>
    <t>HIAGO VINICÍUS MONTENEGRO DE FARIAS</t>
  </si>
  <si>
    <t>BENEFÍCIOS IKLI TECNOLOGIA   - Fevereiro/2026</t>
  </si>
  <si>
    <t>CAJU - Auxílio Mobilidade</t>
  </si>
  <si>
    <t>Vale transporte</t>
  </si>
  <si>
    <t>059.790.814-10</t>
  </si>
  <si>
    <t>CAIO CESAR CARVALHO DANTAS</t>
  </si>
  <si>
    <t>BENEFÍCIOS IKLI TECNOLOGIA   - Fevereiro/2026 - Proporcional</t>
  </si>
  <si>
    <t>101.014.874-52</t>
  </si>
  <si>
    <t>HELENA BISPO DA CONCEIÇÃO</t>
  </si>
  <si>
    <t>098.175.724-39</t>
  </si>
  <si>
    <t>JONATHA LISBOA SOARES</t>
  </si>
  <si>
    <t>VT</t>
  </si>
  <si>
    <t>086.634.824-77</t>
  </si>
  <si>
    <t>LEONARDO NASCIMENTO DOS SANTOS</t>
  </si>
  <si>
    <t>BENEFÍCIOS IKLI TECNOLOGIA   - Março/2026</t>
  </si>
  <si>
    <t>+</t>
  </si>
  <si>
    <t>085.734.575-38</t>
  </si>
  <si>
    <t>CICERO ROMAO SANTOS PEREIRA</t>
  </si>
  <si>
    <t>703.766.244-50</t>
  </si>
  <si>
    <t>GUSTAVO ROGERS ORANGE ANDRADE</t>
  </si>
  <si>
    <t>419.910.038-54</t>
  </si>
  <si>
    <t>ELCIO LEONARDO OLIVEIRA MARTINS</t>
  </si>
  <si>
    <t>065.447.864-38</t>
  </si>
  <si>
    <t>SAMARA DE PONTES COUTINHO</t>
  </si>
  <si>
    <t>019.890.162-35</t>
  </si>
  <si>
    <t>YARLISSON VIEIRA</t>
  </si>
  <si>
    <t>059.535.794-62</t>
  </si>
  <si>
    <t>WERLLY DOUGLAS DOS SANTOS RODRIGUES</t>
  </si>
  <si>
    <t>704.282.824-07</t>
  </si>
  <si>
    <t>VANESSA DA SILVA AGUIAR</t>
  </si>
  <si>
    <t>171.455.807-05</t>
  </si>
  <si>
    <t>PEDRO VITOR PESSANHA GOMES DA SILVA</t>
  </si>
  <si>
    <t>709.323.574-31</t>
  </si>
  <si>
    <t>PETRIA TEREZA DA SILVA NASCIMENTO</t>
  </si>
  <si>
    <t>037.444.431-59</t>
  </si>
  <si>
    <t>ANDERSON GONÇALVES VASQUES</t>
  </si>
  <si>
    <t>080.272.804-94</t>
  </si>
  <si>
    <t>ERLLON KILDERY DUTRA DE LIMA</t>
  </si>
  <si>
    <t>124.065.774-90</t>
  </si>
  <si>
    <t>KAMILLY FERNANDES CARVALHO DE LACERDA</t>
  </si>
  <si>
    <t>17/032026</t>
  </si>
  <si>
    <t>098.016.654-32</t>
  </si>
  <si>
    <t>FILIPE DE LIMA SANTOS</t>
  </si>
  <si>
    <t>701.556.604-46</t>
  </si>
  <si>
    <t>JENIFFER ALVES DA SILVA</t>
  </si>
  <si>
    <t>BENEFÍCIOS IKLI TECNOLOGIA   - Abril/2026</t>
  </si>
  <si>
    <t>BENEFÍCIOS IKLI TECNOLOGIA   - Abril/2026 - Proporcional</t>
  </si>
  <si>
    <t>130.472.164-79</t>
  </si>
  <si>
    <t>JOAO VICTOR ALEXANDRE SANTOS DE SOUSA</t>
  </si>
  <si>
    <t>ANALISTA DE HELP DESK</t>
  </si>
  <si>
    <t>191.991.257-65</t>
  </si>
  <si>
    <t xml:space="preserve">GIVANILDO DOS SANTOS SILVA JUNIOR </t>
  </si>
  <si>
    <t>077.609.124-71</t>
  </si>
  <si>
    <t>FABIANO DE ALMEIDA MENDES DE OLIVEIRA</t>
  </si>
  <si>
    <t>ANALISTA DE EXPANSÃO</t>
  </si>
  <si>
    <t>703.722.260-41</t>
  </si>
  <si>
    <t xml:space="preserve">MATEUS FERREIRA DE LIMA </t>
  </si>
  <si>
    <t xml:space="preserve">ANALISTA DE COMPRAS </t>
  </si>
  <si>
    <t>106.901.364-12</t>
  </si>
  <si>
    <t xml:space="preserve">DANILO TAVARES DE OLIVEIRA </t>
  </si>
  <si>
    <t>055.454.414-84</t>
  </si>
  <si>
    <t xml:space="preserve">PAULA EMANUELLE COSTA CAVALCANTE </t>
  </si>
  <si>
    <t>REDATORA E COPYWRITER</t>
  </si>
  <si>
    <t>701.128.484-27</t>
  </si>
  <si>
    <t>LORUAMA DE LIMA FELIZARDO</t>
  </si>
  <si>
    <t>DESENV. PLENO</t>
  </si>
  <si>
    <t>705.003.864-47</t>
  </si>
  <si>
    <t xml:space="preserve">LEANDRO SIMÕES FERREIRA </t>
  </si>
  <si>
    <t>714.982.044-14</t>
  </si>
  <si>
    <t>ISADORA GARCEZ ALVES</t>
  </si>
  <si>
    <t>ESTAGIARIA DESENVO.</t>
  </si>
  <si>
    <t>702.016.284-30</t>
  </si>
  <si>
    <t xml:space="preserve">CAROLINA MARQUES MAGALHÕES VERAS </t>
  </si>
  <si>
    <t>716.905.124-90</t>
  </si>
  <si>
    <t xml:space="preserve">GILBERTO DE ANDRADE SANTANA JUNIOR </t>
  </si>
  <si>
    <t>ANALISTA ADMINISTRATIVO</t>
  </si>
  <si>
    <t>143.473.704-74</t>
  </si>
  <si>
    <t xml:space="preserve">LAVINIA LETICIA BATISTA DA SILVA </t>
  </si>
  <si>
    <t xml:space="preserve">ESTAGIARIA - JURIDICA </t>
  </si>
  <si>
    <t>BENEFÍCIOS IKLI TECNOLOGIA   - Maio/2026</t>
  </si>
  <si>
    <t>700.354.494-62</t>
  </si>
  <si>
    <t xml:space="preserve">Anderson Moreira da Silva </t>
  </si>
  <si>
    <t>097.071.944-21</t>
  </si>
  <si>
    <t xml:space="preserve">Caio Nogueira Soares </t>
  </si>
  <si>
    <t>108.717.614-08</t>
  </si>
  <si>
    <t xml:space="preserve">José Lopes Sobrinho Neto </t>
  </si>
  <si>
    <t>122.970.644-54</t>
  </si>
  <si>
    <t xml:space="preserve">Carlos Miguel Lopes da Silva </t>
  </si>
  <si>
    <t>148.298.974-30</t>
  </si>
  <si>
    <t>Adricia Nunes De Medeiros</t>
  </si>
  <si>
    <t>091.525.105-14</t>
  </si>
  <si>
    <t>Gabriel Carvalho Ribeiro Santos</t>
  </si>
  <si>
    <t>712.066.854-41</t>
  </si>
  <si>
    <t>Ricardo Franca Soares</t>
  </si>
  <si>
    <t>709.513.274-70</t>
  </si>
  <si>
    <t>Johnnathan Elvis Espindula Freire</t>
  </si>
  <si>
    <t xml:space="preserve"> NRS - ANALISTAS </t>
  </si>
  <si>
    <t>BENEFÍCIOS IKLI TECNOLOGIA   - Junho/2026</t>
  </si>
  <si>
    <t>ADRICIA NUNES DE MEDEIROS</t>
  </si>
  <si>
    <t>ANDERSON MOREIRA DA SILVA</t>
  </si>
  <si>
    <t>fixo</t>
  </si>
  <si>
    <t>CAIO NOGUEIRA SOARES</t>
  </si>
  <si>
    <t>CARLOS MIGUEL LOPES DA SILVA</t>
  </si>
  <si>
    <t>GABRIEL CARVALHO RIBEIRO SANTOS</t>
  </si>
  <si>
    <t>JOHNNATHAN ELVIS ESPINDULA FREIRE</t>
  </si>
  <si>
    <t>JOSÉ LOPES SOBRINHO NETO</t>
  </si>
  <si>
    <t>109.355.754-06</t>
  </si>
  <si>
    <t>RICARDO FRANÇA SANTOS</t>
  </si>
  <si>
    <t>106.561.834-46</t>
  </si>
  <si>
    <t>JOHNATTAN CARDOSO DA SILVA</t>
  </si>
  <si>
    <t>705.458.314-07</t>
  </si>
  <si>
    <t>Marcelo Soares dos Santos Junior</t>
  </si>
  <si>
    <t>Expansão</t>
  </si>
  <si>
    <t>093.396.054-97</t>
  </si>
  <si>
    <t>Anderson Felipe Toscano De Brito</t>
  </si>
  <si>
    <t>Operações</t>
  </si>
  <si>
    <t>070.921.264-01</t>
  </si>
  <si>
    <t>Mônica Joselita Alves Vitorino</t>
  </si>
  <si>
    <t>706.851.814-13</t>
  </si>
  <si>
    <t>Jeniffer Saraiva da Silva</t>
  </si>
  <si>
    <t>084.230.004-00</t>
  </si>
  <si>
    <t>Mileidy Aparecida Cardoso da Silva Candeia</t>
  </si>
  <si>
    <t>057.035.344-02</t>
  </si>
  <si>
    <t>Karla Patricia da Costa Flor</t>
  </si>
  <si>
    <t>715.430.554-19</t>
  </si>
  <si>
    <t>Ana Silva de Lira</t>
  </si>
  <si>
    <t>092.479.024-52</t>
  </si>
  <si>
    <t xml:space="preserve">Bruna Leão Sá Pessoa </t>
  </si>
  <si>
    <t>BENEFÍCIOS IKLI TECNOLOGIA   - Julho/2026</t>
  </si>
  <si>
    <t>ANA SILVA DE LIRA</t>
  </si>
  <si>
    <t>ANDERSON FELIPE TOSCANO DE BRITO</t>
  </si>
  <si>
    <t>BRUNA LEÃO SÁ PESSOA</t>
  </si>
  <si>
    <t>JENIFFER SARAIVA DA SILVA</t>
  </si>
  <si>
    <t>KARLA PATRICIA DA COSTA FLOR</t>
  </si>
  <si>
    <t>MARCELO SOARES DOS SANTOS JUNIOR</t>
  </si>
  <si>
    <t>MILEIDY APARECIDA CARDOSO DA SILVA CANDEIA</t>
  </si>
  <si>
    <t>MÔNICA JOSELITA ALVES VITORINO</t>
  </si>
  <si>
    <t>BENEFÍCIOS IKLI TECNOLOGIA   -  JUNHO /2026 - Proporcional</t>
  </si>
  <si>
    <t>109.824.094-43</t>
  </si>
  <si>
    <t>CAMILA LELLIS SOUZA DOS SANTOS</t>
  </si>
  <si>
    <t xml:space="preserve">Debora De Souza Costa </t>
  </si>
  <si>
    <t xml:space="preserve">Lydia Pires De Souza </t>
  </si>
  <si>
    <t xml:space="preserve">Lyandra Simplicio Tavares </t>
  </si>
  <si>
    <t xml:space="preserve">Matheus Antonio Vieira De Alencar Araújo </t>
  </si>
  <si>
    <t xml:space="preserve">Manuelly Maria Da Costa Lucena </t>
  </si>
  <si>
    <t xml:space="preserve">JURIDICO </t>
  </si>
  <si>
    <t xml:space="preserve">FINANCEIRO </t>
  </si>
  <si>
    <t xml:space="preserve">EXPANSÃO </t>
  </si>
  <si>
    <t>107.861.354-09</t>
  </si>
  <si>
    <t>051.036.832-88</t>
  </si>
  <si>
    <t>084.730.904-54</t>
  </si>
  <si>
    <t>134.493.714-44</t>
  </si>
  <si>
    <t>057.814.394-12</t>
  </si>
  <si>
    <t>097.395.944-41</t>
  </si>
  <si>
    <t>718.712.484-85</t>
  </si>
  <si>
    <t xml:space="preserve">Iarley Meira De Oliveira </t>
  </si>
  <si>
    <t xml:space="preserve">Pedro Lucas Gomes da Silva </t>
  </si>
  <si>
    <t xml:space="preserve">TECNICO </t>
  </si>
  <si>
    <t xml:space="preserve"> NRS</t>
  </si>
  <si>
    <t>DESENVOLVIMENTO E INOVAÇÃO</t>
  </si>
  <si>
    <t>NOVOS NEGÓCIOS</t>
  </si>
  <si>
    <t>Fixo</t>
  </si>
  <si>
    <t>130.850.874-35</t>
  </si>
  <si>
    <t>099.624.224-42</t>
  </si>
  <si>
    <t xml:space="preserve">Guilherme Silva De Lira </t>
  </si>
  <si>
    <t xml:space="preserve">Vinicius Cordeiro Teodoro Dos Santos </t>
  </si>
  <si>
    <t xml:space="preserve">OPERAÇÕES </t>
  </si>
  <si>
    <t xml:space="preserve">PATRICIA KARLA HENRIQUE DE LIMA </t>
  </si>
  <si>
    <t>066.956.374-90</t>
  </si>
  <si>
    <t xml:space="preserve"> IARLEY MEIRA DE OLIVEIRA </t>
  </si>
  <si>
    <t xml:space="preserve"> GUILHERME SILVA DE LIRA </t>
  </si>
  <si>
    <t>BENEFÍCIOS IKLI TECNOLOGIA   - Setembro/2026</t>
  </si>
  <si>
    <t>BENEFÍCIOS IKLI TECNOLOGIA   - Agosto/2026</t>
  </si>
  <si>
    <t>BENEFÍCIOS IKLI TECNOLOGIA   -  Agosto /2026 - Proporcional</t>
  </si>
  <si>
    <t>BENEFÍCIOS IKLI TECNOLOGIA   -  Setembro /2026 - Proporcional</t>
  </si>
  <si>
    <t>Domiciano Lucas de Carvalho Batista</t>
  </si>
  <si>
    <t>Joviniano de Melo Queiroz</t>
  </si>
  <si>
    <t xml:space="preserve">Victor Pessoa Silva </t>
  </si>
  <si>
    <t>146.343.694-78</t>
  </si>
  <si>
    <t>700.093.214-70</t>
  </si>
  <si>
    <t>704.7225.814-45</t>
  </si>
  <si>
    <t xml:space="preserve">NRS </t>
  </si>
  <si>
    <t xml:space="preserve">JOVINIANO DE MELO QUEIROZ </t>
  </si>
  <si>
    <t xml:space="preserve">VICTOR PESSOA SILVA </t>
  </si>
  <si>
    <t>DOMICIANO LUCAS DE CARVALHO</t>
  </si>
  <si>
    <t>SIM</t>
  </si>
  <si>
    <t xml:space="preserve">SOLICITAR </t>
  </si>
  <si>
    <t>Eduardo Quefren de Oliveira Cupertino Cruz</t>
  </si>
  <si>
    <t>Katia Mery Falcão Nunes</t>
  </si>
  <si>
    <t>Bruna izabelli da silva brandão</t>
  </si>
  <si>
    <t>123.210.634-83</t>
  </si>
  <si>
    <t>077.524.807-03</t>
  </si>
  <si>
    <t>059.079.594-52</t>
  </si>
  <si>
    <t xml:space="preserve">Analista Juridico </t>
  </si>
  <si>
    <t>Mentor de Negócios</t>
  </si>
  <si>
    <t>Consultor (a) Comercial - Comercial</t>
  </si>
  <si>
    <t xml:space="preserve">LEANDERSON CORDEIRO DE MASCENA </t>
  </si>
  <si>
    <t>016.263.954-62</t>
  </si>
  <si>
    <t xml:space="preserve">Esther Maria fernandes De Carvalho </t>
  </si>
  <si>
    <t>057.375.794-17</t>
  </si>
  <si>
    <t xml:space="preserve">Assitente de contas a pagar </t>
  </si>
  <si>
    <t>Edisio Manoel do nascimento Junior</t>
  </si>
  <si>
    <t>Mentor NRP</t>
  </si>
  <si>
    <t xml:space="preserve">Danilo Galvão de Oliveira </t>
  </si>
  <si>
    <t>Cordenador de Onboarding</t>
  </si>
  <si>
    <t>826.790.964-87</t>
  </si>
  <si>
    <t>052.519.304-96</t>
  </si>
  <si>
    <t>Cargo</t>
  </si>
  <si>
    <t xml:space="preserve">Setor </t>
  </si>
  <si>
    <t xml:space="preserve">ANALISTA DE TI </t>
  </si>
  <si>
    <t>115.250.584-01</t>
  </si>
  <si>
    <t xml:space="preserve">Hudson Regis De sousa </t>
  </si>
  <si>
    <t xml:space="preserve">Gustavo Scalia Cavalcanti de albuquerque </t>
  </si>
  <si>
    <t>470.212.528-11</t>
  </si>
  <si>
    <t>Consultor (a) Comercial</t>
  </si>
  <si>
    <t xml:space="preserve">Esther Maria Fernandxes De Carvalho </t>
  </si>
  <si>
    <t xml:space="preserve">Edisio Manoel Do Nascimento Junior </t>
  </si>
  <si>
    <t xml:space="preserve">Danilo Galvão De Oliveira </t>
  </si>
  <si>
    <t>Carla Cristina Braz Venceslau</t>
  </si>
  <si>
    <t xml:space="preserve">Romulo Gonçalves Ribeiro </t>
  </si>
  <si>
    <t xml:space="preserve">PAULO EDUARDO BALBINO DO NASCIMENTO </t>
  </si>
  <si>
    <t>049.925.111-39</t>
  </si>
  <si>
    <t>106.019.994-79</t>
  </si>
  <si>
    <t>001.513.482-27</t>
  </si>
  <si>
    <t xml:space="preserve">Fhilype </t>
  </si>
  <si>
    <t xml:space="preserve">Crislayne Ferreira De Oliveira </t>
  </si>
  <si>
    <t xml:space="preserve">Vitória Silvino Ferreira Da Silva </t>
  </si>
  <si>
    <t>Rafaella Cavalcante de Lima</t>
  </si>
  <si>
    <t xml:space="preserve">Davi Medeiros Dantas Soares </t>
  </si>
  <si>
    <t>118.899.514-63</t>
  </si>
  <si>
    <t>121.231.864-14</t>
  </si>
  <si>
    <t>052.601.264-16</t>
  </si>
  <si>
    <t>132.230.724-54</t>
  </si>
  <si>
    <t xml:space="preserve">Supervisora de Relacionamento </t>
  </si>
  <si>
    <t xml:space="preserve">Analista de Expansão </t>
  </si>
  <si>
    <t xml:space="preserve">Consultor comercial </t>
  </si>
  <si>
    <t xml:space="preserve">Estagiário de desenvolvimento </t>
  </si>
  <si>
    <t>RELACIONAMENTO E PERFORMANCE</t>
  </si>
  <si>
    <t xml:space="preserve">GUILHERME SILVA DE LIRA </t>
  </si>
  <si>
    <t xml:space="preserve">IARLEY MEIRA DE OLIVEIRA </t>
  </si>
  <si>
    <t>14829897430</t>
  </si>
  <si>
    <t>70636612481</t>
  </si>
  <si>
    <t xml:space="preserve">ANA SILVA DE LIRA </t>
  </si>
  <si>
    <t>71543055419</t>
  </si>
  <si>
    <t>03744443159</t>
  </si>
  <si>
    <t xml:space="preserve">ANDERSON MOREIRA DA SILVA </t>
  </si>
  <si>
    <t>70035449462</t>
  </si>
  <si>
    <t>ANDRE VICTOR BARCIA DUARTE FURTADO</t>
  </si>
  <si>
    <t>10872371492</t>
  </si>
  <si>
    <t>11883318416</t>
  </si>
  <si>
    <t>BIANCA GOUVEIA GALVAO</t>
  </si>
  <si>
    <t>91880114704</t>
  </si>
  <si>
    <t>37308100812</t>
  </si>
  <si>
    <t xml:space="preserve">BRUNA IZABELLI DA SILVA BRANDÃO </t>
  </si>
  <si>
    <t>05907959452</t>
  </si>
  <si>
    <t>COMERCIAL</t>
  </si>
  <si>
    <t>09707194421</t>
  </si>
  <si>
    <t>10982409443</t>
  </si>
  <si>
    <t>CARLA CRISTINA BRAZ VENCESLAU</t>
  </si>
  <si>
    <t>04992511139</t>
  </si>
  <si>
    <t xml:space="preserve">CARLOS MIGUEL LOPES DA SILVA </t>
  </si>
  <si>
    <t>12297064454</t>
  </si>
  <si>
    <t xml:space="preserve">CRISLAYNE FERREIRA DE OLIVEIRA </t>
  </si>
  <si>
    <t>11889951463</t>
  </si>
  <si>
    <t xml:space="preserve">DANILO GALVÃO DE OLIVEIRA </t>
  </si>
  <si>
    <t>05251930496</t>
  </si>
  <si>
    <t>10690136412</t>
  </si>
  <si>
    <t>10705364402</t>
  </si>
  <si>
    <t>TECNICO</t>
  </si>
  <si>
    <t xml:space="preserve">DOMICIANO LUCAS DE CARVALHO BATISTA </t>
  </si>
  <si>
    <t>14634369478</t>
  </si>
  <si>
    <t>DOUGLAS XAVIER DE MEDEIROS BARBOSA</t>
  </si>
  <si>
    <t>07351382492</t>
  </si>
  <si>
    <t>10997044489</t>
  </si>
  <si>
    <t>12179503466</t>
  </si>
  <si>
    <t>08027280494</t>
  </si>
  <si>
    <t>FRANCISCO DE ASSIS FERNANDES JÚNIOR</t>
  </si>
  <si>
    <t>00825051282</t>
  </si>
  <si>
    <t xml:space="preserve">GABRIEL CARVALHO RIBEIRO SANTOS </t>
  </si>
  <si>
    <t>09152510514</t>
  </si>
  <si>
    <t>GILBERTO ANDRADE DE SANTANA JUNIOR</t>
  </si>
  <si>
    <t>71690512490</t>
  </si>
  <si>
    <t>00760061408</t>
  </si>
  <si>
    <t>12322230421</t>
  </si>
  <si>
    <t>GIVANILDO DOS SANTOS SILVA JUNIOR</t>
  </si>
  <si>
    <t>19199125765</t>
  </si>
  <si>
    <t xml:space="preserve">GUILHERME JOSE RIBEIRO SULZ                      </t>
  </si>
  <si>
    <t>13244734600</t>
  </si>
  <si>
    <t>13085087435</t>
  </si>
  <si>
    <t xml:space="preserve">GUSTAVO SCALIA CAVALCANTI DE ALBUQUERQUE </t>
  </si>
  <si>
    <t>11525058401</t>
  </si>
  <si>
    <t>HELENA BISPO DA CONCEICAO</t>
  </si>
  <si>
    <t>10101487452</t>
  </si>
  <si>
    <t>HIAGO VINICIUS MONTENEGRO DE FARIAS</t>
  </si>
  <si>
    <t>12080124447</t>
  </si>
  <si>
    <t xml:space="preserve">HUDSON REGIS DE SOUSA FERREIRA </t>
  </si>
  <si>
    <t>47021252811</t>
  </si>
  <si>
    <t>09739594441</t>
  </si>
  <si>
    <t>71498204414</t>
  </si>
  <si>
    <t>ISANETE RAMOS DE OLIVEIRA SILVA</t>
  </si>
  <si>
    <t>03514941467</t>
  </si>
  <si>
    <t>71652629467</t>
  </si>
  <si>
    <t>71657192458</t>
  </si>
  <si>
    <t>11074976479</t>
  </si>
  <si>
    <t>JEMIMA LAIS DIAS MARTINS</t>
  </si>
  <si>
    <t>70716971402</t>
  </si>
  <si>
    <t>JENIFFER ALVES DA SILVA CASTOR</t>
  </si>
  <si>
    <t>70155660446</t>
  </si>
  <si>
    <t xml:space="preserve">JENIFFER SARAIVA DA SILVA </t>
  </si>
  <si>
    <t>70685181413</t>
  </si>
  <si>
    <t xml:space="preserve">JHONATTAN CARDOSO DA SILVA </t>
  </si>
  <si>
    <t>10656183446</t>
  </si>
  <si>
    <t>JOAO ANTONIO HONORATO CARVALHO</t>
  </si>
  <si>
    <t>11001808428</t>
  </si>
  <si>
    <t>04853061401</t>
  </si>
  <si>
    <t>13047216479</t>
  </si>
  <si>
    <t>71559830476</t>
  </si>
  <si>
    <t>70951327470</t>
  </si>
  <si>
    <t>JONATHAS DO CARMO RODRIGUES</t>
  </si>
  <si>
    <t>05500713426</t>
  </si>
  <si>
    <t xml:space="preserve">JOSE LOPES SOBRINHO NETO </t>
  </si>
  <si>
    <t>10871761408</t>
  </si>
  <si>
    <t>JOSE XAVIER DA ROCHA FILHO</t>
  </si>
  <si>
    <t>08105803496</t>
  </si>
  <si>
    <t>70009321470</t>
  </si>
  <si>
    <t xml:space="preserve">KATIA MERY FALCAO NUNES </t>
  </si>
  <si>
    <t>07752480703</t>
  </si>
  <si>
    <t>48047436856</t>
  </si>
  <si>
    <t>14347370474</t>
  </si>
  <si>
    <t>01626395462</t>
  </si>
  <si>
    <t>04912836443</t>
  </si>
  <si>
    <t>08663482477</t>
  </si>
  <si>
    <t>70112848427</t>
  </si>
  <si>
    <t xml:space="preserve">LYANDRA SIMPLICIO TAVARES </t>
  </si>
  <si>
    <t>13449371444</t>
  </si>
  <si>
    <t>12994940485</t>
  </si>
  <si>
    <t>MANUELLY MARIA DA COSTA LUCENA</t>
  </si>
  <si>
    <t>05781439412</t>
  </si>
  <si>
    <t xml:space="preserve">MARCELO SOARES DOS SANTOS JUNIOR </t>
  </si>
  <si>
    <t>70545831407</t>
  </si>
  <si>
    <t>70396411436</t>
  </si>
  <si>
    <t>13191034480</t>
  </si>
  <si>
    <t xml:space="preserve">MATHEUS ANTONIO VIEIRA DE ALENCAR ARAÚJO </t>
  </si>
  <si>
    <t>08473090454</t>
  </si>
  <si>
    <t>70520978420</t>
  </si>
  <si>
    <t>MICAEL JORDAO MOURA DE SOUZA</t>
  </si>
  <si>
    <t>70674533488</t>
  </si>
  <si>
    <t>46688242400</t>
  </si>
  <si>
    <t>MONICA JOSELITA ALVES VITORINO</t>
  </si>
  <si>
    <t>07092126401</t>
  </si>
  <si>
    <t xml:space="preserve">NICOLAS MICHELL FRAGOSO TOSCANO </t>
  </si>
  <si>
    <t>70446045446</t>
  </si>
  <si>
    <t>76895432434</t>
  </si>
  <si>
    <t>PATRICIA KARLA HENRIQUE DE LIMA</t>
  </si>
  <si>
    <t>06695637490</t>
  </si>
  <si>
    <t>PAULO EDUARDO BALBINO DO NASCIMENTO</t>
  </si>
  <si>
    <t>00151348227</t>
  </si>
  <si>
    <t xml:space="preserve">PEDRO LUCAS GOMES DA SILVA </t>
  </si>
  <si>
    <t>71871248485</t>
  </si>
  <si>
    <t>17145580705</t>
  </si>
  <si>
    <t>PIETRUS SOARES LAVOR</t>
  </si>
  <si>
    <t>05233310457</t>
  </si>
  <si>
    <t>14348689407</t>
  </si>
  <si>
    <t>11249001447</t>
  </si>
  <si>
    <t xml:space="preserve">RAFAELLA CAVALCANTE DE LIMA </t>
  </si>
  <si>
    <t>05260126416</t>
  </si>
  <si>
    <t>RAIRA CONCEICAO DOS SANTOS SENA</t>
  </si>
  <si>
    <t>70037193473</t>
  </si>
  <si>
    <t>06525538424</t>
  </si>
  <si>
    <t>09543647402</t>
  </si>
  <si>
    <t xml:space="preserve">RICARDO FRANÇA SOARES </t>
  </si>
  <si>
    <t>71206685441</t>
  </si>
  <si>
    <t>RIVALDO FRANCISCO DOS SANTOS NETO</t>
  </si>
  <si>
    <t>11000792463</t>
  </si>
  <si>
    <t>06240174432</t>
  </si>
  <si>
    <t>12680296451</t>
  </si>
  <si>
    <t xml:space="preserve">ROMULO GONÇALVES RIBEIRO </t>
  </si>
  <si>
    <t>10601999479</t>
  </si>
  <si>
    <t>RUAN LUCAS FRANCA MACHADO</t>
  </si>
  <si>
    <t>12281871428</t>
  </si>
  <si>
    <t>06544786438</t>
  </si>
  <si>
    <t xml:space="preserve">SERGIO EUCLIDES MEIRELES GOMES JUNIOR  </t>
  </si>
  <si>
    <t>06326913446</t>
  </si>
  <si>
    <t>06617539486</t>
  </si>
  <si>
    <t>11011125498</t>
  </si>
  <si>
    <t>03827360285</t>
  </si>
  <si>
    <t>01293639443</t>
  </si>
  <si>
    <t>70428282407</t>
  </si>
  <si>
    <t>70472281445</t>
  </si>
  <si>
    <t xml:space="preserve">VINICIUS CORDEIRO TEODORO DOS SANTOS </t>
  </si>
  <si>
    <t>09962422442</t>
  </si>
  <si>
    <t>VITORIA ANDRADE VASCONCELOS BRANDAO</t>
  </si>
  <si>
    <t>10185384455</t>
  </si>
  <si>
    <t>01989016235</t>
  </si>
  <si>
    <t>Bonificação R$2.000,00</t>
  </si>
  <si>
    <t>segunda-feira</t>
  </si>
  <si>
    <r>
      <t>Nossa Sr.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> Aparecida - Padroeira do Brasil</t>
    </r>
  </si>
  <si>
    <t xml:space="preserve">FHILYPE LUCENA </t>
  </si>
  <si>
    <t xml:space="preserve">DESENVOLVIMENTO </t>
  </si>
  <si>
    <t xml:space="preserve">REINALDO LUIZ DIAS </t>
  </si>
  <si>
    <t>00238744655</t>
  </si>
  <si>
    <t xml:space="preserve">JULIANA DE SOUZA SILVA </t>
  </si>
  <si>
    <t>081.568.214-08</t>
  </si>
  <si>
    <t>134.2576.884-10</t>
  </si>
  <si>
    <t>MATEUS DE LIMA ALBUQUERQUE</t>
  </si>
  <si>
    <t xml:space="preserve">BEATRIZ DA COSTA GONÇALVES </t>
  </si>
  <si>
    <t>133.288.924-78</t>
  </si>
  <si>
    <t>103.984.914-88</t>
  </si>
  <si>
    <t xml:space="preserve">ANNA VITÓRIA GUEDES DO NASCIMENTO ABILIO </t>
  </si>
  <si>
    <t>5</t>
  </si>
  <si>
    <t xml:space="preserve">EVERTON PARANHOS DA SILVA </t>
  </si>
  <si>
    <t xml:space="preserve">VALDO NEVES DA SILVA NETO </t>
  </si>
  <si>
    <t>HELENA DA NOBREGA TOMAZ TROMBETA</t>
  </si>
  <si>
    <t>076.815.674-29</t>
  </si>
  <si>
    <t>052.013.264-55</t>
  </si>
  <si>
    <t>701.363.574-07</t>
  </si>
  <si>
    <t>BENEFÍCIOS IKLI TECNOLOGIA   -Outubro  /2026 - Proporcional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</si>
</sst>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00&quot;.&quot;000&quot;.&quot;000&quot;-&quot;00"/>
    <numFmt numFmtId="166" formatCode="_-&quot;R$&quot;\ * #,##0.00_-;\-&quot;R$&quot;\ * #,##0.00_-;_-&quot;R$&quot;\ * &quot;-&quot;??_-;_-@"/>
  </numFmts>
  <fonts count="4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</font>
    <font>
      <sz val="12"/>
      <name val="Aptos Narrow"/>
      <family val="2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Calibri"/>
      <family val="2"/>
    </font>
    <font>
      <sz val="11"/>
      <name val="Calibri Light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sz val="8"/>
      <color indexed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8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371">
    <xf numFmtId="0" fontId="0" fillId="0" borderId="0" xfId="0"/>
    <xf numFmtId="0" fontId="14" fillId="2" borderId="1" xfId="0" applyFont="1" applyFill="1" applyBorder="1"/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164" fontId="16" fillId="3" borderId="7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0" fontId="17" fillId="0" borderId="7" xfId="0" applyFont="1" applyBorder="1" applyAlignment="1">
      <alignment vertical="center" wrapText="1"/>
    </xf>
    <xf numFmtId="164" fontId="17" fillId="0" borderId="7" xfId="0" applyNumberFormat="1" applyFont="1" applyBorder="1" applyAlignment="1">
      <alignment horizontal="center"/>
    </xf>
    <xf numFmtId="0" fontId="17" fillId="0" borderId="7" xfId="0" applyFont="1" applyBorder="1"/>
    <xf numFmtId="0" fontId="18" fillId="0" borderId="0" xfId="0" applyFont="1"/>
    <xf numFmtId="3" fontId="17" fillId="0" borderId="7" xfId="0" applyNumberFormat="1" applyFont="1" applyBorder="1" applyAlignment="1">
      <alignment horizontal="center"/>
    </xf>
    <xf numFmtId="165" fontId="19" fillId="4" borderId="7" xfId="0" applyNumberFormat="1" applyFont="1" applyFill="1" applyBorder="1" applyAlignment="1">
      <alignment horizontal="center" vertical="center"/>
    </xf>
    <xf numFmtId="49" fontId="19" fillId="0" borderId="7" xfId="0" applyNumberFormat="1" applyFont="1" applyBorder="1" applyAlignment="1">
      <alignment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center" vertical="center"/>
    </xf>
    <xf numFmtId="165" fontId="17" fillId="0" borderId="7" xfId="0" applyNumberFormat="1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49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164" fontId="17" fillId="0" borderId="8" xfId="0" applyNumberFormat="1" applyFont="1" applyBorder="1" applyAlignment="1">
      <alignment horizontal="center"/>
    </xf>
    <xf numFmtId="49" fontId="17" fillId="0" borderId="9" xfId="0" applyNumberFormat="1" applyFont="1" applyBorder="1" applyAlignment="1">
      <alignment horizontal="center" vertical="center"/>
    </xf>
    <xf numFmtId="0" fontId="20" fillId="5" borderId="10" xfId="0" applyFont="1" applyFill="1" applyBorder="1"/>
    <xf numFmtId="0" fontId="14" fillId="5" borderId="10" xfId="0" applyFont="1" applyFill="1" applyBorder="1" applyAlignment="1">
      <alignment horizontal="center"/>
    </xf>
    <xf numFmtId="164" fontId="14" fillId="5" borderId="10" xfId="0" applyNumberFormat="1" applyFont="1" applyFill="1" applyBorder="1" applyAlignment="1">
      <alignment horizontal="center"/>
    </xf>
    <xf numFmtId="164" fontId="14" fillId="5" borderId="10" xfId="0" applyNumberFormat="1" applyFont="1" applyFill="1" applyBorder="1"/>
    <xf numFmtId="0" fontId="16" fillId="3" borderId="12" xfId="0" applyFont="1" applyFill="1" applyBorder="1" applyAlignment="1">
      <alignment horizontal="center" vertical="center"/>
    </xf>
    <xf numFmtId="164" fontId="16" fillId="3" borderId="1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4" fontId="20" fillId="0" borderId="7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164" fontId="20" fillId="0" borderId="7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left"/>
    </xf>
    <xf numFmtId="0" fontId="17" fillId="0" borderId="9" xfId="0" applyFont="1" applyBorder="1" applyAlignment="1">
      <alignment horizontal="center"/>
    </xf>
    <xf numFmtId="164" fontId="20" fillId="0" borderId="0" xfId="0" applyNumberFormat="1" applyFont="1"/>
    <xf numFmtId="164" fontId="16" fillId="3" borderId="6" xfId="0" applyNumberFormat="1" applyFont="1" applyFill="1" applyBorder="1" applyAlignment="1">
      <alignment horizontal="center" vertical="center" wrapText="1"/>
    </xf>
    <xf numFmtId="14" fontId="17" fillId="6" borderId="7" xfId="0" applyNumberFormat="1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164" fontId="17" fillId="6" borderId="7" xfId="0" applyNumberFormat="1" applyFont="1" applyFill="1" applyBorder="1" applyAlignment="1">
      <alignment horizontal="center"/>
    </xf>
    <xf numFmtId="14" fontId="17" fillId="0" borderId="7" xfId="0" applyNumberFormat="1" applyFont="1" applyBorder="1" applyAlignment="1">
      <alignment horizontal="center"/>
    </xf>
    <xf numFmtId="164" fontId="17" fillId="0" borderId="0" xfId="0" applyNumberFormat="1" applyFont="1"/>
    <xf numFmtId="14" fontId="20" fillId="0" borderId="7" xfId="0" applyNumberFormat="1" applyFont="1" applyBorder="1"/>
    <xf numFmtId="14" fontId="20" fillId="7" borderId="7" xfId="0" applyNumberFormat="1" applyFont="1" applyFill="1" applyBorder="1"/>
    <xf numFmtId="0" fontId="20" fillId="7" borderId="7" xfId="0" applyFont="1" applyFill="1" applyBorder="1"/>
    <xf numFmtId="0" fontId="20" fillId="7" borderId="7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164" fontId="17" fillId="7" borderId="7" xfId="0" applyNumberFormat="1" applyFont="1" applyFill="1" applyBorder="1" applyAlignment="1">
      <alignment horizontal="center"/>
    </xf>
    <xf numFmtId="166" fontId="20" fillId="7" borderId="7" xfId="0" applyNumberFormat="1" applyFont="1" applyFill="1" applyBorder="1"/>
    <xf numFmtId="0" fontId="20" fillId="0" borderId="7" xfId="0" applyFont="1" applyBorder="1"/>
    <xf numFmtId="14" fontId="20" fillId="8" borderId="7" xfId="0" applyNumberFormat="1" applyFont="1" applyFill="1" applyBorder="1"/>
    <xf numFmtId="0" fontId="20" fillId="8" borderId="7" xfId="0" applyFont="1" applyFill="1" applyBorder="1"/>
    <xf numFmtId="0" fontId="20" fillId="8" borderId="7" xfId="0" applyFont="1" applyFill="1" applyBorder="1" applyAlignment="1">
      <alignment horizontal="center"/>
    </xf>
    <xf numFmtId="164" fontId="17" fillId="8" borderId="7" xfId="0" applyNumberFormat="1" applyFont="1" applyFill="1" applyBorder="1" applyAlignment="1">
      <alignment horizontal="center"/>
    </xf>
    <xf numFmtId="166" fontId="20" fillId="8" borderId="7" xfId="0" applyNumberFormat="1" applyFont="1" applyFill="1" applyBorder="1"/>
    <xf numFmtId="164" fontId="20" fillId="0" borderId="0" xfId="0" applyNumberFormat="1" applyFont="1" applyAlignment="1">
      <alignment horizontal="center"/>
    </xf>
    <xf numFmtId="0" fontId="20" fillId="5" borderId="7" xfId="0" applyFont="1" applyFill="1" applyBorder="1"/>
    <xf numFmtId="0" fontId="14" fillId="5" borderId="7" xfId="0" applyFont="1" applyFill="1" applyBorder="1" applyAlignment="1">
      <alignment horizontal="center"/>
    </xf>
    <xf numFmtId="164" fontId="14" fillId="5" borderId="7" xfId="0" applyNumberFormat="1" applyFont="1" applyFill="1" applyBorder="1" applyAlignment="1">
      <alignment horizontal="center"/>
    </xf>
    <xf numFmtId="14" fontId="20" fillId="0" borderId="7" xfId="0" applyNumberFormat="1" applyFont="1" applyBorder="1" applyAlignment="1">
      <alignment horizontal="left"/>
    </xf>
    <xf numFmtId="166" fontId="20" fillId="0" borderId="7" xfId="0" applyNumberFormat="1" applyFont="1" applyBorder="1"/>
    <xf numFmtId="164" fontId="20" fillId="0" borderId="7" xfId="0" applyNumberFormat="1" applyFont="1" applyBorder="1"/>
    <xf numFmtId="0" fontId="20" fillId="0" borderId="16" xfId="0" applyFont="1" applyBorder="1" applyAlignment="1">
      <alignment horizontal="center"/>
    </xf>
    <xf numFmtId="166" fontId="17" fillId="0" borderId="7" xfId="0" applyNumberFormat="1" applyFont="1" applyBorder="1"/>
    <xf numFmtId="164" fontId="17" fillId="0" borderId="7" xfId="0" applyNumberFormat="1" applyFont="1" applyBorder="1"/>
    <xf numFmtId="14" fontId="20" fillId="7" borderId="7" xfId="0" applyNumberFormat="1" applyFont="1" applyFill="1" applyBorder="1" applyAlignment="1">
      <alignment horizontal="center"/>
    </xf>
    <xf numFmtId="0" fontId="20" fillId="7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166" fontId="17" fillId="0" borderId="7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49" fontId="17" fillId="5" borderId="7" xfId="0" applyNumberFormat="1" applyFont="1" applyFill="1" applyBorder="1" applyAlignment="1">
      <alignment horizontal="center" vertical="center"/>
    </xf>
    <xf numFmtId="0" fontId="17" fillId="5" borderId="7" xfId="0" applyFont="1" applyFill="1" applyBorder="1"/>
    <xf numFmtId="0" fontId="17" fillId="5" borderId="7" xfId="0" applyFont="1" applyFill="1" applyBorder="1" applyAlignment="1">
      <alignment horizontal="center"/>
    </xf>
    <xf numFmtId="165" fontId="19" fillId="0" borderId="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14" fontId="20" fillId="0" borderId="8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164" fontId="20" fillId="0" borderId="8" xfId="0" applyNumberFormat="1" applyFont="1" applyBorder="1" applyAlignment="1">
      <alignment horizontal="center"/>
    </xf>
    <xf numFmtId="14" fontId="20" fillId="0" borderId="17" xfId="0" applyNumberFormat="1" applyFont="1" applyBorder="1" applyAlignment="1">
      <alignment horizontal="center"/>
    </xf>
    <xf numFmtId="14" fontId="22" fillId="0" borderId="17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7" fillId="0" borderId="17" xfId="0" applyNumberFormat="1" applyFont="1" applyBorder="1" applyAlignment="1">
      <alignment horizontal="center"/>
    </xf>
    <xf numFmtId="164" fontId="20" fillId="0" borderId="17" xfId="0" applyNumberFormat="1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164" fontId="23" fillId="0" borderId="17" xfId="0" applyNumberFormat="1" applyFon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20" fillId="0" borderId="18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49" fontId="19" fillId="0" borderId="7" xfId="0" applyNumberFormat="1" applyFont="1" applyBorder="1" applyAlignment="1">
      <alignment horizontal="left" vertical="center"/>
    </xf>
    <xf numFmtId="44" fontId="17" fillId="5" borderId="7" xfId="1" applyFont="1" applyFill="1" applyBorder="1" applyAlignment="1">
      <alignment horizontal="center"/>
    </xf>
    <xf numFmtId="0" fontId="27" fillId="0" borderId="7" xfId="0" applyFont="1" applyBorder="1" applyAlignment="1">
      <alignment horizontal="center"/>
    </xf>
    <xf numFmtId="44" fontId="17" fillId="0" borderId="7" xfId="1" applyFont="1" applyBorder="1" applyAlignment="1">
      <alignment horizontal="center"/>
    </xf>
    <xf numFmtId="44" fontId="17" fillId="0" borderId="7" xfId="1" applyFont="1" applyBorder="1"/>
    <xf numFmtId="0" fontId="20" fillId="9" borderId="7" xfId="0" applyFont="1" applyFill="1" applyBorder="1" applyAlignment="1">
      <alignment horizontal="center"/>
    </xf>
    <xf numFmtId="0" fontId="20" fillId="9" borderId="7" xfId="0" applyFont="1" applyFill="1" applyBorder="1"/>
    <xf numFmtId="0" fontId="14" fillId="9" borderId="7" xfId="0" applyFont="1" applyFill="1" applyBorder="1" applyAlignment="1">
      <alignment horizontal="center"/>
    </xf>
    <xf numFmtId="164" fontId="14" fillId="9" borderId="7" xfId="0" applyNumberFormat="1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14" fontId="11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14" fillId="2" borderId="20" xfId="0" applyFont="1" applyFill="1" applyBorder="1"/>
    <xf numFmtId="0" fontId="14" fillId="2" borderId="21" xfId="0" applyFont="1" applyFill="1" applyBorder="1"/>
    <xf numFmtId="164" fontId="17" fillId="13" borderId="19" xfId="0" applyNumberFormat="1" applyFont="1" applyFill="1" applyBorder="1" applyAlignment="1">
      <alignment horizontal="center"/>
    </xf>
    <xf numFmtId="44" fontId="17" fillId="13" borderId="7" xfId="1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left"/>
    </xf>
    <xf numFmtId="44" fontId="30" fillId="0" borderId="7" xfId="1" applyFont="1" applyBorder="1" applyAlignment="1">
      <alignment horizontal="center"/>
    </xf>
    <xf numFmtId="0" fontId="30" fillId="0" borderId="7" xfId="0" applyFont="1" applyBorder="1" applyAlignment="1">
      <alignment vertical="center" wrapText="1"/>
    </xf>
    <xf numFmtId="0" fontId="30" fillId="0" borderId="7" xfId="0" applyFont="1" applyBorder="1"/>
    <xf numFmtId="44" fontId="30" fillId="0" borderId="7" xfId="1" applyFont="1" applyBorder="1"/>
    <xf numFmtId="0" fontId="15" fillId="0" borderId="7" xfId="0" applyFont="1" applyBorder="1" applyAlignment="1">
      <alignment horizontal="center"/>
    </xf>
    <xf numFmtId="0" fontId="31" fillId="0" borderId="7" xfId="0" applyFont="1" applyBorder="1" applyAlignment="1">
      <alignment horizontal="left"/>
    </xf>
    <xf numFmtId="44" fontId="30" fillId="0" borderId="7" xfId="0" applyNumberFormat="1" applyFont="1" applyBorder="1" applyAlignment="1">
      <alignment horizontal="center"/>
    </xf>
    <xf numFmtId="44" fontId="15" fillId="0" borderId="7" xfId="0" applyNumberFormat="1" applyFont="1" applyBorder="1" applyAlignment="1">
      <alignment horizontal="center"/>
    </xf>
    <xf numFmtId="165" fontId="30" fillId="4" borderId="7" xfId="0" applyNumberFormat="1" applyFont="1" applyFill="1" applyBorder="1" applyAlignment="1">
      <alignment horizontal="center" vertical="center"/>
    </xf>
    <xf numFmtId="49" fontId="30" fillId="12" borderId="7" xfId="0" applyNumberFormat="1" applyFont="1" applyFill="1" applyBorder="1" applyAlignment="1">
      <alignment vertical="center"/>
    </xf>
    <xf numFmtId="0" fontId="30" fillId="12" borderId="7" xfId="0" applyFont="1" applyFill="1" applyBorder="1" applyAlignment="1">
      <alignment horizontal="center"/>
    </xf>
    <xf numFmtId="44" fontId="30" fillId="12" borderId="7" xfId="1" applyFont="1" applyFill="1" applyBorder="1" applyAlignment="1">
      <alignment horizontal="center"/>
    </xf>
    <xf numFmtId="0" fontId="32" fillId="0" borderId="7" xfId="0" applyFont="1" applyBorder="1" applyAlignment="1">
      <alignment horizontal="left"/>
    </xf>
    <xf numFmtId="0" fontId="30" fillId="12" borderId="7" xfId="0" applyFont="1" applyFill="1" applyBorder="1"/>
    <xf numFmtId="49" fontId="30" fillId="0" borderId="7" xfId="0" applyNumberFormat="1" applyFont="1" applyBorder="1" applyAlignment="1">
      <alignment horizontal="center" vertical="center"/>
    </xf>
    <xf numFmtId="49" fontId="30" fillId="10" borderId="7" xfId="0" applyNumberFormat="1" applyFont="1" applyFill="1" applyBorder="1" applyAlignment="1">
      <alignment horizontal="center" vertical="center"/>
    </xf>
    <xf numFmtId="0" fontId="30" fillId="10" borderId="7" xfId="0" applyFont="1" applyFill="1" applyBorder="1"/>
    <xf numFmtId="0" fontId="30" fillId="10" borderId="7" xfId="0" applyFont="1" applyFill="1" applyBorder="1" applyAlignment="1">
      <alignment horizontal="center"/>
    </xf>
    <xf numFmtId="44" fontId="30" fillId="10" borderId="7" xfId="1" applyFont="1" applyFill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7" xfId="0" applyFont="1" applyBorder="1"/>
    <xf numFmtId="0" fontId="34" fillId="0" borderId="7" xfId="0" applyFont="1" applyBorder="1" applyAlignment="1">
      <alignment horizontal="center"/>
    </xf>
    <xf numFmtId="0" fontId="33" fillId="10" borderId="7" xfId="0" applyFont="1" applyFill="1" applyBorder="1" applyAlignment="1">
      <alignment horizontal="center"/>
    </xf>
    <xf numFmtId="0" fontId="33" fillId="10" borderId="7" xfId="0" applyFont="1" applyFill="1" applyBorder="1" applyAlignment="1">
      <alignment horizontal="left"/>
    </xf>
    <xf numFmtId="44" fontId="30" fillId="10" borderId="7" xfId="0" applyNumberFormat="1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 vertical="center" wrapText="1"/>
    </xf>
    <xf numFmtId="0" fontId="30" fillId="12" borderId="7" xfId="0" applyFont="1" applyFill="1" applyBorder="1" applyAlignment="1">
      <alignment horizontal="left" vertical="center" wrapText="1"/>
    </xf>
    <xf numFmtId="0" fontId="35" fillId="0" borderId="7" xfId="0" applyFont="1" applyBorder="1" applyAlignment="1">
      <alignment horizontal="left"/>
    </xf>
    <xf numFmtId="0" fontId="30" fillId="12" borderId="7" xfId="0" applyFont="1" applyFill="1" applyBorder="1" applyAlignment="1">
      <alignment horizontal="left"/>
    </xf>
    <xf numFmtId="49" fontId="30" fillId="11" borderId="9" xfId="0" applyNumberFormat="1" applyFont="1" applyFill="1" applyBorder="1" applyAlignment="1">
      <alignment horizontal="center" vertical="center"/>
    </xf>
    <xf numFmtId="0" fontId="30" fillId="11" borderId="7" xfId="0" applyFont="1" applyFill="1" applyBorder="1" applyAlignment="1">
      <alignment horizontal="left"/>
    </xf>
    <xf numFmtId="0" fontId="30" fillId="11" borderId="7" xfId="0" applyFont="1" applyFill="1" applyBorder="1" applyAlignment="1">
      <alignment horizontal="center"/>
    </xf>
    <xf numFmtId="44" fontId="30" fillId="11" borderId="7" xfId="1" applyFont="1" applyFill="1" applyBorder="1" applyAlignment="1">
      <alignment horizontal="center"/>
    </xf>
    <xf numFmtId="49" fontId="30" fillId="12" borderId="7" xfId="0" applyNumberFormat="1" applyFont="1" applyFill="1" applyBorder="1" applyAlignment="1">
      <alignment horizontal="center" vertical="center"/>
    </xf>
    <xf numFmtId="49" fontId="30" fillId="11" borderId="7" xfId="0" applyNumberFormat="1" applyFont="1" applyFill="1" applyBorder="1" applyAlignment="1">
      <alignment horizontal="center" vertical="center"/>
    </xf>
    <xf numFmtId="0" fontId="30" fillId="11" borderId="7" xfId="0" applyFont="1" applyFill="1" applyBorder="1"/>
    <xf numFmtId="0" fontId="33" fillId="0" borderId="7" xfId="0" applyFont="1" applyBorder="1" applyAlignment="1">
      <alignment horizontal="left"/>
    </xf>
    <xf numFmtId="0" fontId="30" fillId="0" borderId="17" xfId="0" applyFont="1" applyBorder="1" applyAlignment="1">
      <alignment horizontal="center"/>
    </xf>
    <xf numFmtId="0" fontId="30" fillId="0" borderId="17" xfId="0" applyFont="1" applyBorder="1"/>
    <xf numFmtId="44" fontId="30" fillId="0" borderId="8" xfId="1" applyFont="1" applyBorder="1" applyAlignment="1">
      <alignment horizontal="center"/>
    </xf>
    <xf numFmtId="49" fontId="30" fillId="0" borderId="17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horizontal="left"/>
    </xf>
    <xf numFmtId="165" fontId="30" fillId="0" borderId="17" xfId="0" applyNumberFormat="1" applyFont="1" applyBorder="1" applyAlignment="1">
      <alignment horizontal="center" vertical="center"/>
    </xf>
    <xf numFmtId="49" fontId="30" fillId="0" borderId="17" xfId="0" applyNumberFormat="1" applyFont="1" applyBorder="1" applyAlignment="1">
      <alignment horizontal="left" vertical="center"/>
    </xf>
    <xf numFmtId="49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left"/>
    </xf>
    <xf numFmtId="0" fontId="30" fillId="0" borderId="18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3" fillId="0" borderId="17" xfId="0" applyFont="1" applyBorder="1"/>
    <xf numFmtId="0" fontId="34" fillId="0" borderId="17" xfId="0" applyFont="1" applyBorder="1" applyAlignment="1">
      <alignment horizontal="center"/>
    </xf>
    <xf numFmtId="44" fontId="30" fillId="0" borderId="19" xfId="0" applyNumberFormat="1" applyFont="1" applyBorder="1" applyAlignment="1">
      <alignment horizontal="center"/>
    </xf>
    <xf numFmtId="49" fontId="30" fillId="10" borderId="17" xfId="0" applyNumberFormat="1" applyFont="1" applyFill="1" applyBorder="1" applyAlignment="1">
      <alignment horizontal="center" vertical="center"/>
    </xf>
    <xf numFmtId="0" fontId="30" fillId="10" borderId="17" xfId="0" applyFont="1" applyFill="1" applyBorder="1" applyAlignment="1">
      <alignment horizontal="left"/>
    </xf>
    <xf numFmtId="0" fontId="30" fillId="10" borderId="17" xfId="0" applyFont="1" applyFill="1" applyBorder="1" applyAlignment="1">
      <alignment horizontal="center"/>
    </xf>
    <xf numFmtId="44" fontId="30" fillId="10" borderId="19" xfId="1" applyFont="1" applyFill="1" applyBorder="1" applyAlignment="1">
      <alignment horizontal="center"/>
    </xf>
    <xf numFmtId="44" fontId="30" fillId="0" borderId="19" xfId="1" applyFont="1" applyBorder="1" applyAlignment="1">
      <alignment horizontal="center"/>
    </xf>
    <xf numFmtId="44" fontId="0" fillId="0" borderId="0" xfId="0" applyNumberFormat="1"/>
    <xf numFmtId="0" fontId="0" fillId="0" borderId="17" xfId="0" applyBorder="1" applyAlignment="1">
      <alignment wrapText="1"/>
    </xf>
    <xf numFmtId="0" fontId="0" fillId="0" borderId="17" xfId="0" applyBorder="1"/>
    <xf numFmtId="0" fontId="33" fillId="12" borderId="7" xfId="0" applyFont="1" applyFill="1" applyBorder="1" applyAlignment="1">
      <alignment horizontal="center"/>
    </xf>
    <xf numFmtId="0" fontId="33" fillId="12" borderId="7" xfId="0" applyFont="1" applyFill="1" applyBorder="1" applyAlignment="1">
      <alignment horizontal="left"/>
    </xf>
    <xf numFmtId="0" fontId="36" fillId="0" borderId="17" xfId="0" applyFont="1" applyBorder="1" applyAlignment="1">
      <alignment horizontal="center"/>
    </xf>
    <xf numFmtId="0" fontId="9" fillId="0" borderId="17" xfId="0" applyFont="1" applyBorder="1"/>
    <xf numFmtId="0" fontId="9" fillId="0" borderId="17" xfId="0" applyFont="1" applyBorder="1" applyAlignment="1">
      <alignment wrapText="1"/>
    </xf>
    <xf numFmtId="0" fontId="9" fillId="0" borderId="17" xfId="0" applyFont="1" applyBorder="1" applyAlignment="1">
      <alignment horizontal="center"/>
    </xf>
    <xf numFmtId="14" fontId="37" fillId="0" borderId="17" xfId="0" applyNumberFormat="1" applyFont="1" applyBorder="1" applyAlignment="1">
      <alignment horizontal="center"/>
    </xf>
    <xf numFmtId="14" fontId="38" fillId="0" borderId="17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4" fontId="15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left" wrapText="1"/>
    </xf>
    <xf numFmtId="0" fontId="7" fillId="0" borderId="17" xfId="0" applyFont="1" applyBorder="1" applyAlignment="1">
      <alignment horizontal="left"/>
    </xf>
    <xf numFmtId="44" fontId="0" fillId="0" borderId="17" xfId="0" applyNumberFormat="1" applyBorder="1" applyAlignment="1">
      <alignment horizontal="center"/>
    </xf>
    <xf numFmtId="0" fontId="7" fillId="0" borderId="17" xfId="0" applyFont="1" applyBorder="1"/>
    <xf numFmtId="0" fontId="7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5" fillId="0" borderId="15" xfId="0" applyFont="1" applyBorder="1" applyAlignment="1">
      <alignment horizontal="center" wrapText="1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0" fontId="9" fillId="0" borderId="18" xfId="0" applyFont="1" applyBorder="1" applyAlignment="1">
      <alignment wrapText="1"/>
    </xf>
    <xf numFmtId="0" fontId="4" fillId="0" borderId="17" xfId="0" applyFont="1" applyBorder="1" applyAlignment="1">
      <alignment horizontal="center"/>
    </xf>
    <xf numFmtId="0" fontId="20" fillId="9" borderId="17" xfId="0" applyFont="1" applyFill="1" applyBorder="1" applyAlignment="1">
      <alignment horizontal="center"/>
    </xf>
    <xf numFmtId="0" fontId="20" fillId="9" borderId="17" xfId="0" applyFont="1" applyFill="1" applyBorder="1"/>
    <xf numFmtId="164" fontId="17" fillId="13" borderId="17" xfId="0" applyNumberFormat="1" applyFont="1" applyFill="1" applyBorder="1" applyAlignment="1">
      <alignment horizontal="center"/>
    </xf>
    <xf numFmtId="44" fontId="30" fillId="0" borderId="7" xfId="1" applyFont="1" applyBorder="1" applyAlignment="1"/>
    <xf numFmtId="0" fontId="15" fillId="0" borderId="7" xfId="0" applyFont="1" applyBorder="1"/>
    <xf numFmtId="0" fontId="31" fillId="0" borderId="7" xfId="0" applyFont="1" applyBorder="1"/>
    <xf numFmtId="44" fontId="30" fillId="0" borderId="7" xfId="0" applyNumberFormat="1" applyFont="1" applyBorder="1"/>
    <xf numFmtId="165" fontId="30" fillId="4" borderId="7" xfId="0" applyNumberFormat="1" applyFont="1" applyFill="1" applyBorder="1" applyAlignment="1">
      <alignment vertical="center"/>
    </xf>
    <xf numFmtId="44" fontId="30" fillId="12" borderId="7" xfId="1" applyFont="1" applyFill="1" applyBorder="1" applyAlignment="1"/>
    <xf numFmtId="0" fontId="32" fillId="0" borderId="7" xfId="0" applyFont="1" applyBorder="1"/>
    <xf numFmtId="49" fontId="30" fillId="0" borderId="7" xfId="0" applyNumberFormat="1" applyFont="1" applyBorder="1" applyAlignment="1">
      <alignment vertical="center"/>
    </xf>
    <xf numFmtId="0" fontId="34" fillId="0" borderId="7" xfId="0" applyFont="1" applyBorder="1"/>
    <xf numFmtId="0" fontId="30" fillId="12" borderId="7" xfId="0" applyFont="1" applyFill="1" applyBorder="1" applyAlignment="1">
      <alignment vertical="center" wrapText="1"/>
    </xf>
    <xf numFmtId="49" fontId="30" fillId="11" borderId="9" xfId="0" applyNumberFormat="1" applyFont="1" applyFill="1" applyBorder="1" applyAlignment="1">
      <alignment vertical="center"/>
    </xf>
    <xf numFmtId="44" fontId="30" fillId="11" borderId="7" xfId="1" applyFont="1" applyFill="1" applyBorder="1" applyAlignment="1"/>
    <xf numFmtId="49" fontId="30" fillId="11" borderId="7" xfId="0" applyNumberFormat="1" applyFont="1" applyFill="1" applyBorder="1" applyAlignment="1">
      <alignment vertical="center"/>
    </xf>
    <xf numFmtId="44" fontId="30" fillId="0" borderId="8" xfId="1" applyFont="1" applyBorder="1" applyAlignment="1"/>
    <xf numFmtId="49" fontId="30" fillId="0" borderId="17" xfId="0" applyNumberFormat="1" applyFont="1" applyBorder="1" applyAlignment="1">
      <alignment vertical="center"/>
    </xf>
    <xf numFmtId="165" fontId="30" fillId="0" borderId="17" xfId="0" applyNumberFormat="1" applyFont="1" applyBorder="1" applyAlignment="1">
      <alignment vertical="center"/>
    </xf>
    <xf numFmtId="44" fontId="30" fillId="0" borderId="19" xfId="0" applyNumberFormat="1" applyFont="1" applyBorder="1"/>
    <xf numFmtId="44" fontId="30" fillId="0" borderId="19" xfId="1" applyFont="1" applyBorder="1" applyAlignment="1"/>
    <xf numFmtId="0" fontId="30" fillId="0" borderId="4" xfId="0" applyFont="1" applyBorder="1"/>
    <xf numFmtId="0" fontId="10" fillId="0" borderId="17" xfId="0" applyFont="1" applyBorder="1"/>
    <xf numFmtId="0" fontId="9" fillId="0" borderId="18" xfId="0" applyFont="1" applyBorder="1"/>
    <xf numFmtId="0" fontId="4" fillId="0" borderId="17" xfId="0" applyFont="1" applyBorder="1"/>
    <xf numFmtId="3" fontId="0" fillId="0" borderId="17" xfId="0" applyNumberFormat="1" applyBorder="1"/>
    <xf numFmtId="0" fontId="14" fillId="2" borderId="21" xfId="0" applyFont="1" applyFill="1" applyBorder="1" applyAlignment="1">
      <alignment horizontal="center"/>
    </xf>
    <xf numFmtId="49" fontId="30" fillId="12" borderId="17" xfId="0" applyNumberFormat="1" applyFont="1" applyFill="1" applyBorder="1" applyAlignment="1">
      <alignment vertical="center"/>
    </xf>
    <xf numFmtId="0" fontId="30" fillId="12" borderId="17" xfId="0" applyFont="1" applyFill="1" applyBorder="1"/>
    <xf numFmtId="0" fontId="30" fillId="12" borderId="17" xfId="0" applyFont="1" applyFill="1" applyBorder="1" applyAlignment="1">
      <alignment horizontal="center"/>
    </xf>
    <xf numFmtId="0" fontId="33" fillId="12" borderId="7" xfId="0" applyFont="1" applyFill="1" applyBorder="1"/>
    <xf numFmtId="44" fontId="30" fillId="12" borderId="7" xfId="0" applyNumberFormat="1" applyFont="1" applyFill="1" applyBorder="1"/>
    <xf numFmtId="44" fontId="30" fillId="12" borderId="19" xfId="1" applyFont="1" applyFill="1" applyBorder="1" applyAlignment="1"/>
    <xf numFmtId="164" fontId="14" fillId="2" borderId="21" xfId="0" applyNumberFormat="1" applyFont="1" applyFill="1" applyBorder="1"/>
    <xf numFmtId="164" fontId="30" fillId="0" borderId="7" xfId="1" applyNumberFormat="1" applyFont="1" applyBorder="1" applyAlignment="1"/>
    <xf numFmtId="164" fontId="15" fillId="0" borderId="7" xfId="0" applyNumberFormat="1" applyFont="1" applyBorder="1"/>
    <xf numFmtId="164" fontId="30" fillId="12" borderId="7" xfId="1" applyNumberFormat="1" applyFont="1" applyFill="1" applyBorder="1" applyAlignment="1"/>
    <xf numFmtId="164" fontId="30" fillId="11" borderId="7" xfId="1" applyNumberFormat="1" applyFont="1" applyFill="1" applyBorder="1" applyAlignment="1"/>
    <xf numFmtId="164" fontId="30" fillId="0" borderId="8" xfId="1" applyNumberFormat="1" applyFont="1" applyBorder="1" applyAlignment="1"/>
    <xf numFmtId="164" fontId="30" fillId="0" borderId="17" xfId="1" applyNumberFormat="1" applyFont="1" applyBorder="1" applyAlignment="1"/>
    <xf numFmtId="164" fontId="17" fillId="13" borderId="17" xfId="1" applyNumberFormat="1" applyFont="1" applyFill="1" applyBorder="1" applyAlignment="1">
      <alignment horizontal="center"/>
    </xf>
    <xf numFmtId="164" fontId="0" fillId="0" borderId="0" xfId="0" applyNumberFormat="1"/>
    <xf numFmtId="49" fontId="30" fillId="10" borderId="7" xfId="0" applyNumberFormat="1" applyFont="1" applyFill="1" applyBorder="1" applyAlignment="1">
      <alignment vertical="center"/>
    </xf>
    <xf numFmtId="44" fontId="30" fillId="10" borderId="7" xfId="1" applyFont="1" applyFill="1" applyBorder="1" applyAlignment="1"/>
    <xf numFmtId="164" fontId="30" fillId="10" borderId="7" xfId="1" applyNumberFormat="1" applyFont="1" applyFill="1" applyBorder="1" applyAlignment="1"/>
    <xf numFmtId="16" fontId="0" fillId="0" borderId="0" xfId="0" applyNumberFormat="1"/>
    <xf numFmtId="0" fontId="30" fillId="10" borderId="7" xfId="0" applyFont="1" applyFill="1" applyBorder="1" applyAlignment="1">
      <alignment vertical="center" wrapText="1"/>
    </xf>
    <xf numFmtId="0" fontId="30" fillId="10" borderId="4" xfId="0" applyFont="1" applyFill="1" applyBorder="1"/>
    <xf numFmtId="49" fontId="30" fillId="10" borderId="18" xfId="0" applyNumberFormat="1" applyFont="1" applyFill="1" applyBorder="1" applyAlignment="1">
      <alignment vertical="center"/>
    </xf>
    <xf numFmtId="0" fontId="30" fillId="10" borderId="18" xfId="0" applyFont="1" applyFill="1" applyBorder="1"/>
    <xf numFmtId="0" fontId="30" fillId="10" borderId="18" xfId="0" applyFont="1" applyFill="1" applyBorder="1" applyAlignment="1">
      <alignment horizontal="center"/>
    </xf>
    <xf numFmtId="44" fontId="30" fillId="10" borderId="8" xfId="1" applyFont="1" applyFill="1" applyBorder="1" applyAlignment="1"/>
    <xf numFmtId="0" fontId="30" fillId="14" borderId="7" xfId="0" applyFont="1" applyFill="1" applyBorder="1" applyAlignment="1">
      <alignment horizontal="center"/>
    </xf>
    <xf numFmtId="0" fontId="30" fillId="14" borderId="7" xfId="0" applyFont="1" applyFill="1" applyBorder="1"/>
    <xf numFmtId="44" fontId="30" fillId="14" borderId="7" xfId="1" applyFont="1" applyFill="1" applyBorder="1" applyAlignment="1">
      <alignment horizontal="center"/>
    </xf>
    <xf numFmtId="44" fontId="30" fillId="14" borderId="7" xfId="1" applyFont="1" applyFill="1" applyBorder="1"/>
    <xf numFmtId="0" fontId="15" fillId="14" borderId="7" xfId="0" applyFont="1" applyFill="1" applyBorder="1"/>
    <xf numFmtId="0" fontId="32" fillId="14" borderId="7" xfId="0" applyFont="1" applyFill="1" applyBorder="1"/>
    <xf numFmtId="0" fontId="15" fillId="14" borderId="7" xfId="0" applyFont="1" applyFill="1" applyBorder="1" applyAlignment="1">
      <alignment horizontal="center"/>
    </xf>
    <xf numFmtId="44" fontId="30" fillId="14" borderId="7" xfId="0" applyNumberFormat="1" applyFont="1" applyFill="1" applyBorder="1"/>
    <xf numFmtId="164" fontId="30" fillId="14" borderId="7" xfId="1" applyNumberFormat="1" applyFont="1" applyFill="1" applyBorder="1" applyAlignment="1"/>
    <xf numFmtId="44" fontId="30" fillId="14" borderId="7" xfId="1" applyFont="1" applyFill="1" applyBorder="1" applyAlignment="1"/>
    <xf numFmtId="49" fontId="30" fillId="14" borderId="7" xfId="0" applyNumberFormat="1" applyFont="1" applyFill="1" applyBorder="1" applyAlignment="1">
      <alignment vertical="center"/>
    </xf>
    <xf numFmtId="0" fontId="3" fillId="0" borderId="17" xfId="0" applyFont="1" applyBorder="1"/>
    <xf numFmtId="0" fontId="0" fillId="0" borderId="22" xfId="0" applyBorder="1" applyAlignment="1">
      <alignment horizontal="center"/>
    </xf>
    <xf numFmtId="0" fontId="33" fillId="12" borderId="2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44" fontId="30" fillId="0" borderId="4" xfId="1" applyFont="1" applyBorder="1" applyAlignment="1">
      <alignment horizontal="center"/>
    </xf>
    <xf numFmtId="44" fontId="17" fillId="0" borderId="4" xfId="0" applyNumberFormat="1" applyFont="1" applyBorder="1" applyAlignment="1">
      <alignment horizontal="center"/>
    </xf>
    <xf numFmtId="44" fontId="0" fillId="0" borderId="23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44" fontId="30" fillId="0" borderId="17" xfId="1" applyFont="1" applyBorder="1" applyAlignment="1">
      <alignment horizontal="center"/>
    </xf>
    <xf numFmtId="0" fontId="30" fillId="0" borderId="17" xfId="1" applyNumberFormat="1" applyFont="1" applyBorder="1" applyAlignment="1">
      <alignment horizontal="center"/>
    </xf>
    <xf numFmtId="0" fontId="30" fillId="10" borderId="24" xfId="0" applyFont="1" applyFill="1" applyBorder="1"/>
    <xf numFmtId="0" fontId="30" fillId="10" borderId="17" xfId="0" applyFont="1" applyFill="1" applyBorder="1"/>
    <xf numFmtId="44" fontId="30" fillId="0" borderId="17" xfId="1" applyFont="1" applyBorder="1" applyAlignment="1"/>
    <xf numFmtId="0" fontId="0" fillId="0" borderId="7" xfId="0" applyBorder="1"/>
    <xf numFmtId="3" fontId="0" fillId="0" borderId="7" xfId="0" applyNumberFormat="1" applyBorder="1"/>
    <xf numFmtId="0" fontId="9" fillId="0" borderId="7" xfId="0" applyFont="1" applyBorder="1"/>
    <xf numFmtId="0" fontId="0" fillId="0" borderId="7" xfId="0" applyBorder="1" applyAlignment="1">
      <alignment horizontal="center"/>
    </xf>
    <xf numFmtId="49" fontId="30" fillId="10" borderId="17" xfId="0" applyNumberFormat="1" applyFont="1" applyFill="1" applyBorder="1" applyAlignment="1">
      <alignment vertical="center"/>
    </xf>
    <xf numFmtId="0" fontId="30" fillId="0" borderId="18" xfId="0" applyFont="1" applyBorder="1"/>
    <xf numFmtId="0" fontId="4" fillId="0" borderId="7" xfId="0" applyFont="1" applyBorder="1"/>
    <xf numFmtId="0" fontId="9" fillId="0" borderId="7" xfId="0" applyFont="1" applyBorder="1" applyAlignment="1">
      <alignment wrapText="1"/>
    </xf>
    <xf numFmtId="0" fontId="3" fillId="0" borderId="7" xfId="0" applyFont="1" applyBorder="1"/>
    <xf numFmtId="0" fontId="0" fillId="0" borderId="7" xfId="0" applyBorder="1" applyAlignment="1">
      <alignment wrapText="1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4" fontId="30" fillId="10" borderId="19" xfId="1" applyFont="1" applyFill="1" applyBorder="1" applyAlignment="1"/>
    <xf numFmtId="44" fontId="30" fillId="12" borderId="17" xfId="1" applyFont="1" applyFill="1" applyBorder="1" applyAlignment="1"/>
    <xf numFmtId="164" fontId="30" fillId="12" borderId="17" xfId="1" applyNumberFormat="1" applyFont="1" applyFill="1" applyBorder="1" applyAlignment="1"/>
    <xf numFmtId="44" fontId="30" fillId="0" borderId="17" xfId="0" applyNumberFormat="1" applyFont="1" applyBorder="1"/>
    <xf numFmtId="164" fontId="30" fillId="0" borderId="4" xfId="1" applyNumberFormat="1" applyFont="1" applyBorder="1" applyAlignment="1"/>
    <xf numFmtId="0" fontId="30" fillId="0" borderId="9" xfId="0" applyFont="1" applyBorder="1"/>
    <xf numFmtId="44" fontId="30" fillId="0" borderId="2" xfId="1" applyFont="1" applyBorder="1" applyAlignment="1"/>
    <xf numFmtId="0" fontId="16" fillId="3" borderId="8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/>
    </xf>
    <xf numFmtId="44" fontId="30" fillId="0" borderId="8" xfId="0" applyNumberFormat="1" applyFont="1" applyBorder="1"/>
    <xf numFmtId="164" fontId="30" fillId="10" borderId="18" xfId="1" applyNumberFormat="1" applyFont="1" applyFill="1" applyBorder="1" applyAlignment="1"/>
    <xf numFmtId="0" fontId="39" fillId="15" borderId="17" xfId="0" applyFont="1" applyFill="1" applyBorder="1" applyAlignment="1">
      <alignment vertical="top" wrapText="1"/>
    </xf>
    <xf numFmtId="2" fontId="39" fillId="15" borderId="17" xfId="0" applyNumberFormat="1" applyFont="1" applyFill="1" applyBorder="1" applyAlignment="1">
      <alignment horizontal="left" vertical="top" wrapText="1"/>
    </xf>
    <xf numFmtId="49" fontId="39" fillId="15" borderId="17" xfId="0" applyNumberFormat="1" applyFont="1" applyFill="1" applyBorder="1" applyAlignment="1">
      <alignment vertical="top" wrapText="1"/>
    </xf>
    <xf numFmtId="164" fontId="16" fillId="3" borderId="8" xfId="0" applyNumberFormat="1" applyFont="1" applyFill="1" applyBorder="1" applyAlignment="1">
      <alignment horizontal="center" vertical="center" wrapText="1"/>
    </xf>
    <xf numFmtId="0" fontId="41" fillId="0" borderId="0" xfId="0" applyFont="1"/>
    <xf numFmtId="49" fontId="42" fillId="12" borderId="17" xfId="0" applyNumberFormat="1" applyFont="1" applyFill="1" applyBorder="1" applyAlignment="1">
      <alignment horizontal="center" vertical="center"/>
    </xf>
    <xf numFmtId="0" fontId="42" fillId="12" borderId="17" xfId="0" applyFont="1" applyFill="1" applyBorder="1" applyAlignment="1">
      <alignment horizontal="center"/>
    </xf>
    <xf numFmtId="49" fontId="43" fillId="15" borderId="17" xfId="0" applyNumberFormat="1" applyFont="1" applyFill="1" applyBorder="1" applyAlignment="1">
      <alignment horizontal="center" vertical="top" wrapText="1"/>
    </xf>
    <xf numFmtId="14" fontId="44" fillId="16" borderId="17" xfId="0" applyNumberFormat="1" applyFont="1" applyFill="1" applyBorder="1" applyAlignment="1">
      <alignment horizontal="left" vertical="center" wrapText="1" indent="1"/>
    </xf>
    <xf numFmtId="0" fontId="44" fillId="16" borderId="17" xfId="0" applyFont="1" applyFill="1" applyBorder="1" applyAlignment="1">
      <alignment horizontal="left" vertical="center" wrapText="1" indent="1"/>
    </xf>
    <xf numFmtId="0" fontId="0" fillId="13" borderId="17" xfId="0" applyFill="1" applyBorder="1"/>
    <xf numFmtId="164" fontId="0" fillId="13" borderId="17" xfId="0" applyNumberFormat="1" applyFill="1" applyBorder="1"/>
    <xf numFmtId="2" fontId="39" fillId="17" borderId="17" xfId="0" applyNumberFormat="1" applyFont="1" applyFill="1" applyBorder="1" applyAlignment="1">
      <alignment horizontal="left" vertical="top" wrapText="1"/>
    </xf>
    <xf numFmtId="0" fontId="39" fillId="17" borderId="17" xfId="0" applyFont="1" applyFill="1" applyBorder="1" applyAlignment="1">
      <alignment vertical="top" wrapText="1"/>
    </xf>
    <xf numFmtId="49" fontId="39" fillId="17" borderId="17" xfId="0" applyNumberFormat="1" applyFont="1" applyFill="1" applyBorder="1" applyAlignment="1">
      <alignment vertical="top" wrapText="1"/>
    </xf>
    <xf numFmtId="0" fontId="0" fillId="17" borderId="17" xfId="0" applyFill="1" applyBorder="1"/>
    <xf numFmtId="0" fontId="43" fillId="15" borderId="17" xfId="0" applyFont="1" applyFill="1" applyBorder="1" applyAlignment="1">
      <alignment vertical="top" wrapText="1"/>
    </xf>
    <xf numFmtId="2" fontId="43" fillId="15" borderId="17" xfId="0" applyNumberFormat="1" applyFont="1" applyFill="1" applyBorder="1" applyAlignment="1">
      <alignment vertical="top" wrapText="1"/>
    </xf>
    <xf numFmtId="49" fontId="43" fillId="15" borderId="17" xfId="0" applyNumberFormat="1" applyFont="1" applyFill="1" applyBorder="1" applyAlignment="1">
      <alignment vertical="top" wrapText="1"/>
    </xf>
    <xf numFmtId="0" fontId="42" fillId="15" borderId="17" xfId="0" applyFont="1" applyFill="1" applyBorder="1" applyAlignment="1">
      <alignment vertical="center" wrapText="1"/>
    </xf>
    <xf numFmtId="2" fontId="0" fillId="0" borderId="17" xfId="0" applyNumberFormat="1" applyBorder="1"/>
    <xf numFmtId="2" fontId="0" fillId="17" borderId="17" xfId="0" applyNumberFormat="1" applyFill="1" applyBorder="1"/>
    <xf numFmtId="8" fontId="0" fillId="0" borderId="0" xfId="0" applyNumberFormat="1"/>
    <xf numFmtId="44" fontId="2" fillId="0" borderId="17" xfId="0" applyNumberFormat="1" applyFont="1" applyBorder="1"/>
    <xf numFmtId="44" fontId="2" fillId="17" borderId="17" xfId="0" applyNumberFormat="1" applyFont="1" applyFill="1" applyBorder="1"/>
    <xf numFmtId="2" fontId="0" fillId="13" borderId="17" xfId="0" applyNumberFormat="1" applyFill="1" applyBorder="1"/>
    <xf numFmtId="0" fontId="15" fillId="0" borderId="3" xfId="0" applyFont="1" applyBorder="1"/>
    <xf numFmtId="0" fontId="15" fillId="0" borderId="11" xfId="0" applyFont="1" applyBorder="1"/>
    <xf numFmtId="0" fontId="21" fillId="2" borderId="2" xfId="0" applyFont="1" applyFill="1" applyBorder="1"/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33" fillId="12" borderId="17" xfId="0" applyFont="1" applyFill="1" applyBorder="1" applyAlignment="1">
      <alignment horizontal="center"/>
    </xf>
    <xf numFmtId="0" fontId="33" fillId="12" borderId="17" xfId="0" applyFont="1" applyFill="1" applyBorder="1" applyAlignment="1">
      <alignment horizontal="left"/>
    </xf>
    <xf numFmtId="164" fontId="0" fillId="0" borderId="17" xfId="0" applyNumberFormat="1" applyBorder="1"/>
    <xf numFmtId="49" fontId="0" fillId="0" borderId="17" xfId="0" applyNumberFormat="1" applyBorder="1" applyAlignment="1">
      <alignment horizontal="center"/>
    </xf>
    <xf numFmtId="49" fontId="40" fillId="0" borderId="17" xfId="0" applyNumberFormat="1" applyFont="1" applyBorder="1" applyAlignment="1">
      <alignment horizontal="center"/>
    </xf>
    <xf numFmtId="8" fontId="0" fillId="13" borderId="17" xfId="0" applyNumberFormat="1" applyFill="1" applyBorder="1"/>
    <xf numFmtId="0" fontId="30" fillId="0" borderId="17" xfId="0" applyFont="1" applyBorder="1" applyAlignment="1">
      <alignment horizontal="left" vertical="center" wrapText="1"/>
    </xf>
    <xf numFmtId="0" fontId="30" fillId="12" borderId="17" xfId="0" applyFont="1" applyFill="1" applyBorder="1" applyAlignment="1">
      <alignment horizontal="left"/>
    </xf>
    <xf numFmtId="49" fontId="46" fillId="15" borderId="17" xfId="0" applyNumberFormat="1" applyFont="1" applyFill="1" applyBorder="1" applyAlignment="1">
      <alignment horizontal="left" vertical="top" wrapText="1"/>
    </xf>
    <xf numFmtId="49" fontId="46" fillId="17" borderId="17" xfId="0" applyNumberFormat="1" applyFont="1" applyFill="1" applyBorder="1" applyAlignment="1">
      <alignment horizontal="left" vertical="top" wrapText="1"/>
    </xf>
    <xf numFmtId="49" fontId="16" fillId="3" borderId="5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46" fillId="15" borderId="17" xfId="0" applyFont="1" applyFill="1" applyBorder="1" applyAlignment="1">
      <alignment horizontal="left" vertical="top" wrapText="1"/>
    </xf>
    <xf numFmtId="0" fontId="17" fillId="0" borderId="17" xfId="0" applyFont="1" applyBorder="1" applyAlignment="1">
      <alignment horizontal="left"/>
    </xf>
    <xf numFmtId="0" fontId="46" fillId="17" borderId="17" xfId="0" applyFont="1" applyFill="1" applyBorder="1" applyAlignment="1">
      <alignment horizontal="left" vertical="top" wrapText="1"/>
    </xf>
    <xf numFmtId="0" fontId="17" fillId="17" borderId="17" xfId="0" applyFont="1" applyFill="1" applyBorder="1" applyAlignment="1">
      <alignment horizontal="left"/>
    </xf>
    <xf numFmtId="49" fontId="17" fillId="0" borderId="17" xfId="0" applyNumberFormat="1" applyFont="1" applyBorder="1" applyAlignment="1">
      <alignment horizontal="left"/>
    </xf>
    <xf numFmtId="49" fontId="30" fillId="0" borderId="17" xfId="0" applyNumberFormat="1" applyFont="1" applyBorder="1" applyAlignment="1">
      <alignment horizontal="left"/>
    </xf>
    <xf numFmtId="49" fontId="30" fillId="12" borderId="17" xfId="0" applyNumberFormat="1" applyFont="1" applyFill="1" applyBorder="1" applyAlignment="1">
      <alignment horizontal="left"/>
    </xf>
    <xf numFmtId="0" fontId="30" fillId="15" borderId="17" xfId="0" applyFont="1" applyFill="1" applyBorder="1" applyAlignment="1">
      <alignment horizontal="left" vertical="center" wrapText="1"/>
    </xf>
    <xf numFmtId="2" fontId="17" fillId="0" borderId="17" xfId="0" applyNumberFormat="1" applyFont="1" applyBorder="1" applyAlignment="1">
      <alignment horizontal="right"/>
    </xf>
    <xf numFmtId="2" fontId="17" fillId="17" borderId="17" xfId="0" applyNumberFormat="1" applyFont="1" applyFill="1" applyBorder="1" applyAlignment="1">
      <alignment horizontal="right"/>
    </xf>
    <xf numFmtId="0" fontId="21" fillId="2" borderId="2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5" fillId="0" borderId="11" xfId="0" applyFont="1" applyBorder="1"/>
    <xf numFmtId="0" fontId="14" fillId="2" borderId="13" xfId="0" applyFont="1" applyFill="1" applyBorder="1" applyAlignment="1">
      <alignment horizontal="center"/>
    </xf>
    <xf numFmtId="0" fontId="15" fillId="0" borderId="14" xfId="0" applyFont="1" applyBorder="1"/>
    <xf numFmtId="0" fontId="15" fillId="0" borderId="15" xfId="0" applyFont="1" applyBorder="1"/>
    <xf numFmtId="44" fontId="30" fillId="12" borderId="2" xfId="1" applyFont="1" applyFill="1" applyBorder="1" applyAlignment="1">
      <alignment horizontal="center"/>
    </xf>
    <xf numFmtId="44" fontId="30" fillId="12" borderId="4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1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12</xdr:row>
      <xdr:rowOff>0</xdr:rowOff>
    </xdr:from>
    <xdr:ext cx="304800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6" workbookViewId="0"/>
  </sheetViews>
  <sheetFormatPr defaultColWidth="12.5703125" defaultRowHeight="15" customHeight="1" x14ac:dyDescent="0.25"/>
  <cols>
    <col min="1" max="1" width="8.5703125" customWidth="1"/>
    <col min="2" max="2" width="14.5703125" customWidth="1"/>
    <col min="3" max="3" width="47.42578125" customWidth="1"/>
    <col min="4" max="4" width="17.5703125" customWidth="1"/>
    <col min="5" max="5" width="14.140625" customWidth="1"/>
    <col min="6" max="6" width="27.85546875" customWidth="1"/>
    <col min="7" max="7" width="12" customWidth="1"/>
    <col min="8" max="26" width="8.5703125" customWidth="1"/>
  </cols>
  <sheetData>
    <row r="1" spans="2:8" ht="14.25" customHeight="1" x14ac:dyDescent="0.25"/>
    <row r="2" spans="2:8" ht="14.25" customHeight="1" x14ac:dyDescent="0.25">
      <c r="B2" s="1"/>
      <c r="C2" s="362" t="s">
        <v>0</v>
      </c>
      <c r="D2" s="363"/>
      <c r="E2" s="363"/>
      <c r="F2" s="363"/>
      <c r="G2" s="364"/>
    </row>
    <row r="3" spans="2:8" ht="14.25" customHeight="1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6</v>
      </c>
    </row>
    <row r="4" spans="2:8" ht="14.25" customHeight="1" x14ac:dyDescent="0.25">
      <c r="B4" s="6" t="s">
        <v>7</v>
      </c>
      <c r="C4" s="7" t="s">
        <v>8</v>
      </c>
      <c r="D4" s="6" t="s">
        <v>9</v>
      </c>
      <c r="E4" s="6">
        <v>23</v>
      </c>
      <c r="F4" s="8">
        <f t="shared" ref="F4:F5" si="0">E4*16.5</f>
        <v>379.5</v>
      </c>
      <c r="G4" s="8" t="s">
        <v>10</v>
      </c>
    </row>
    <row r="5" spans="2:8" ht="14.25" customHeight="1" x14ac:dyDescent="0.25">
      <c r="B5" s="6" t="s">
        <v>11</v>
      </c>
      <c r="C5" s="9" t="s">
        <v>12</v>
      </c>
      <c r="D5" s="6" t="s">
        <v>13</v>
      </c>
      <c r="E5" s="6">
        <v>21</v>
      </c>
      <c r="F5" s="8">
        <f t="shared" si="0"/>
        <v>346.5</v>
      </c>
      <c r="G5" s="8">
        <v>120</v>
      </c>
    </row>
    <row r="6" spans="2:8" ht="12.75" customHeight="1" x14ac:dyDescent="0.25">
      <c r="B6" s="6" t="s">
        <v>14</v>
      </c>
      <c r="C6" s="9" t="s">
        <v>15</v>
      </c>
      <c r="D6" s="6" t="s">
        <v>16</v>
      </c>
      <c r="E6" s="6" t="s">
        <v>10</v>
      </c>
      <c r="F6" s="8" t="s">
        <v>10</v>
      </c>
      <c r="G6" s="8" t="s">
        <v>10</v>
      </c>
    </row>
    <row r="7" spans="2:8" ht="14.25" customHeight="1" x14ac:dyDescent="0.25">
      <c r="B7" s="6" t="s">
        <v>17</v>
      </c>
      <c r="C7" s="9" t="s">
        <v>18</v>
      </c>
      <c r="D7" s="6" t="s">
        <v>16</v>
      </c>
      <c r="E7" s="6">
        <v>0</v>
      </c>
      <c r="F7" s="8">
        <f t="shared" ref="F7:F36" si="1">E7*16.5</f>
        <v>0</v>
      </c>
      <c r="G7" s="8" t="s">
        <v>10</v>
      </c>
    </row>
    <row r="8" spans="2:8" ht="14.25" customHeight="1" x14ac:dyDescent="0.25">
      <c r="B8" s="6" t="s">
        <v>19</v>
      </c>
      <c r="C8" s="9" t="s">
        <v>20</v>
      </c>
      <c r="D8" s="6" t="s">
        <v>16</v>
      </c>
      <c r="E8" s="6">
        <v>12</v>
      </c>
      <c r="F8" s="8">
        <f t="shared" si="1"/>
        <v>198</v>
      </c>
      <c r="G8" s="8">
        <v>69</v>
      </c>
    </row>
    <row r="9" spans="2:8" ht="14.25" customHeight="1" x14ac:dyDescent="0.25">
      <c r="B9" s="6" t="s">
        <v>21</v>
      </c>
      <c r="C9" s="9" t="s">
        <v>22</v>
      </c>
      <c r="D9" s="6" t="s">
        <v>23</v>
      </c>
      <c r="E9" s="6">
        <v>21</v>
      </c>
      <c r="F9" s="8">
        <f t="shared" si="1"/>
        <v>346.5</v>
      </c>
      <c r="G9" s="8">
        <v>120</v>
      </c>
      <c r="H9" s="10" t="s">
        <v>24</v>
      </c>
    </row>
    <row r="10" spans="2:8" ht="14.25" customHeight="1" x14ac:dyDescent="0.25">
      <c r="B10" s="6" t="s">
        <v>25</v>
      </c>
      <c r="C10" s="9" t="s">
        <v>26</v>
      </c>
      <c r="D10" s="6" t="s">
        <v>9</v>
      </c>
      <c r="E10" s="6">
        <v>24</v>
      </c>
      <c r="F10" s="8">
        <f t="shared" si="1"/>
        <v>396</v>
      </c>
      <c r="G10" s="8">
        <v>120</v>
      </c>
    </row>
    <row r="11" spans="2:8" ht="14.25" customHeight="1" x14ac:dyDescent="0.25">
      <c r="B11" s="6" t="s">
        <v>27</v>
      </c>
      <c r="C11" s="9" t="s">
        <v>28</v>
      </c>
      <c r="D11" s="6" t="s">
        <v>29</v>
      </c>
      <c r="E11" s="6">
        <v>21</v>
      </c>
      <c r="F11" s="8">
        <f t="shared" si="1"/>
        <v>346.5</v>
      </c>
      <c r="G11" s="8">
        <v>120</v>
      </c>
    </row>
    <row r="12" spans="2:8" ht="14.25" customHeight="1" x14ac:dyDescent="0.25">
      <c r="B12" s="6" t="s">
        <v>30</v>
      </c>
      <c r="C12" s="9" t="s">
        <v>31</v>
      </c>
      <c r="D12" s="6" t="s">
        <v>32</v>
      </c>
      <c r="E12" s="6">
        <v>21</v>
      </c>
      <c r="F12" s="8">
        <f t="shared" si="1"/>
        <v>346.5</v>
      </c>
      <c r="G12" s="8">
        <v>120</v>
      </c>
    </row>
    <row r="13" spans="2:8" ht="15" customHeight="1" x14ac:dyDescent="0.25">
      <c r="B13" s="6" t="s">
        <v>33</v>
      </c>
      <c r="C13" s="9" t="s">
        <v>34</v>
      </c>
      <c r="D13" s="6" t="s">
        <v>35</v>
      </c>
      <c r="E13" s="6">
        <v>21</v>
      </c>
      <c r="F13" s="8">
        <f t="shared" si="1"/>
        <v>346.5</v>
      </c>
      <c r="G13" s="8">
        <v>120</v>
      </c>
    </row>
    <row r="14" spans="2:8" ht="15" customHeight="1" x14ac:dyDescent="0.25">
      <c r="B14" s="6" t="s">
        <v>36</v>
      </c>
      <c r="C14" s="9" t="s">
        <v>37</v>
      </c>
      <c r="D14" s="6" t="s">
        <v>29</v>
      </c>
      <c r="E14" s="6">
        <v>21</v>
      </c>
      <c r="F14" s="8">
        <f t="shared" si="1"/>
        <v>346.5</v>
      </c>
      <c r="G14" s="8">
        <v>120</v>
      </c>
    </row>
    <row r="15" spans="2:8" ht="15" customHeight="1" x14ac:dyDescent="0.25">
      <c r="B15" s="6" t="s">
        <v>38</v>
      </c>
      <c r="C15" s="9" t="s">
        <v>39</v>
      </c>
      <c r="D15" s="6" t="s">
        <v>40</v>
      </c>
      <c r="E15" s="6">
        <v>12</v>
      </c>
      <c r="F15" s="8">
        <f t="shared" si="1"/>
        <v>198</v>
      </c>
      <c r="G15" s="8" t="s">
        <v>10</v>
      </c>
    </row>
    <row r="16" spans="2:8" ht="15" customHeight="1" x14ac:dyDescent="0.25">
      <c r="B16" s="6" t="s">
        <v>41</v>
      </c>
      <c r="C16" s="9" t="s">
        <v>42</v>
      </c>
      <c r="D16" s="6" t="s">
        <v>35</v>
      </c>
      <c r="E16" s="6">
        <v>21</v>
      </c>
      <c r="F16" s="8">
        <f t="shared" si="1"/>
        <v>346.5</v>
      </c>
      <c r="G16" s="8">
        <v>120</v>
      </c>
    </row>
    <row r="17" spans="2:7" ht="13.5" customHeight="1" x14ac:dyDescent="0.25">
      <c r="B17" s="6" t="s">
        <v>43</v>
      </c>
      <c r="C17" s="9" t="s">
        <v>44</v>
      </c>
      <c r="D17" s="6" t="s">
        <v>40</v>
      </c>
      <c r="E17" s="6">
        <v>21</v>
      </c>
      <c r="F17" s="8">
        <f t="shared" si="1"/>
        <v>346.5</v>
      </c>
      <c r="G17" s="8" t="s">
        <v>10</v>
      </c>
    </row>
    <row r="18" spans="2:7" ht="14.25" customHeight="1" x14ac:dyDescent="0.25">
      <c r="B18" s="6" t="s">
        <v>45</v>
      </c>
      <c r="C18" s="9" t="s">
        <v>46</v>
      </c>
      <c r="D18" s="6" t="s">
        <v>47</v>
      </c>
      <c r="E18" s="6">
        <v>21</v>
      </c>
      <c r="F18" s="8">
        <f t="shared" si="1"/>
        <v>346.5</v>
      </c>
      <c r="G18" s="8">
        <v>120</v>
      </c>
    </row>
    <row r="19" spans="2:7" ht="14.25" customHeight="1" x14ac:dyDescent="0.25">
      <c r="B19" s="11" t="s">
        <v>48</v>
      </c>
      <c r="C19" s="9" t="s">
        <v>49</v>
      </c>
      <c r="D19" s="6" t="s">
        <v>50</v>
      </c>
      <c r="E19" s="6">
        <v>21</v>
      </c>
      <c r="F19" s="8">
        <f t="shared" si="1"/>
        <v>346.5</v>
      </c>
      <c r="G19" s="8">
        <v>120</v>
      </c>
    </row>
    <row r="20" spans="2:7" ht="14.25" customHeight="1" x14ac:dyDescent="0.25">
      <c r="B20" s="12">
        <v>10705364402</v>
      </c>
      <c r="C20" s="13" t="s">
        <v>51</v>
      </c>
      <c r="D20" s="6" t="s">
        <v>52</v>
      </c>
      <c r="E20" s="6">
        <v>21</v>
      </c>
      <c r="F20" s="8">
        <f t="shared" si="1"/>
        <v>346.5</v>
      </c>
      <c r="G20" s="8">
        <v>120</v>
      </c>
    </row>
    <row r="21" spans="2:7" ht="14.25" customHeight="1" x14ac:dyDescent="0.25">
      <c r="B21" s="6" t="s">
        <v>53</v>
      </c>
      <c r="C21" s="9" t="s">
        <v>54</v>
      </c>
      <c r="D21" s="6" t="s">
        <v>52</v>
      </c>
      <c r="E21" s="6">
        <v>21</v>
      </c>
      <c r="F21" s="8">
        <f t="shared" si="1"/>
        <v>346.5</v>
      </c>
      <c r="G21" s="8">
        <v>120</v>
      </c>
    </row>
    <row r="22" spans="2:7" ht="14.25" customHeight="1" x14ac:dyDescent="0.25">
      <c r="B22" s="14" t="s">
        <v>55</v>
      </c>
      <c r="C22" s="9" t="s">
        <v>56</v>
      </c>
      <c r="D22" s="6" t="s">
        <v>32</v>
      </c>
      <c r="E22" s="6">
        <v>12</v>
      </c>
      <c r="F22" s="8">
        <f t="shared" si="1"/>
        <v>198</v>
      </c>
      <c r="G22" s="8">
        <v>69</v>
      </c>
    </row>
    <row r="23" spans="2:7" ht="14.25" customHeight="1" x14ac:dyDescent="0.25">
      <c r="B23" s="14" t="s">
        <v>57</v>
      </c>
      <c r="C23" s="9" t="s">
        <v>58</v>
      </c>
      <c r="D23" s="6" t="s">
        <v>47</v>
      </c>
      <c r="E23" s="6">
        <v>12</v>
      </c>
      <c r="F23" s="8">
        <f t="shared" si="1"/>
        <v>198</v>
      </c>
      <c r="G23" s="8">
        <v>69</v>
      </c>
    </row>
    <row r="24" spans="2:7" ht="14.25" customHeight="1" x14ac:dyDescent="0.25">
      <c r="B24" s="6" t="s">
        <v>59</v>
      </c>
      <c r="C24" s="9" t="s">
        <v>60</v>
      </c>
      <c r="D24" s="6" t="s">
        <v>9</v>
      </c>
      <c r="E24" s="6">
        <v>23</v>
      </c>
      <c r="F24" s="8">
        <f t="shared" si="1"/>
        <v>379.5</v>
      </c>
      <c r="G24" s="8" t="s">
        <v>10</v>
      </c>
    </row>
    <row r="25" spans="2:7" ht="14.25" customHeight="1" x14ac:dyDescent="0.25">
      <c r="B25" s="6" t="s">
        <v>61</v>
      </c>
      <c r="C25" s="9" t="s">
        <v>62</v>
      </c>
      <c r="D25" s="6" t="s">
        <v>32</v>
      </c>
      <c r="E25" s="6">
        <v>21</v>
      </c>
      <c r="F25" s="8">
        <f t="shared" si="1"/>
        <v>346.5</v>
      </c>
      <c r="G25" s="8">
        <v>120</v>
      </c>
    </row>
    <row r="26" spans="2:7" ht="14.25" customHeight="1" x14ac:dyDescent="0.25">
      <c r="B26" s="14" t="s">
        <v>63</v>
      </c>
      <c r="C26" s="9" t="s">
        <v>64</v>
      </c>
      <c r="D26" s="6" t="s">
        <v>65</v>
      </c>
      <c r="E26" s="6">
        <v>12</v>
      </c>
      <c r="F26" s="8">
        <f t="shared" si="1"/>
        <v>198</v>
      </c>
      <c r="G26" s="8">
        <v>69</v>
      </c>
    </row>
    <row r="27" spans="2:7" ht="14.25" customHeight="1" x14ac:dyDescent="0.25">
      <c r="B27" s="14" t="s">
        <v>66</v>
      </c>
      <c r="C27" s="9" t="s">
        <v>67</v>
      </c>
      <c r="D27" s="6" t="s">
        <v>32</v>
      </c>
      <c r="E27" s="6">
        <v>21</v>
      </c>
      <c r="F27" s="8">
        <f t="shared" si="1"/>
        <v>346.5</v>
      </c>
      <c r="G27" s="8" t="s">
        <v>10</v>
      </c>
    </row>
    <row r="28" spans="2:7" ht="14.25" customHeight="1" x14ac:dyDescent="0.25">
      <c r="B28" s="6" t="s">
        <v>68</v>
      </c>
      <c r="C28" s="9" t="s">
        <v>69</v>
      </c>
      <c r="D28" s="6" t="s">
        <v>9</v>
      </c>
      <c r="E28" s="6">
        <v>23</v>
      </c>
      <c r="F28" s="8">
        <f t="shared" si="1"/>
        <v>379.5</v>
      </c>
      <c r="G28" s="8" t="s">
        <v>10</v>
      </c>
    </row>
    <row r="29" spans="2:7" ht="14.25" customHeight="1" x14ac:dyDescent="0.25">
      <c r="B29" s="6" t="s">
        <v>70</v>
      </c>
      <c r="C29" s="9" t="s">
        <v>71</v>
      </c>
      <c r="D29" s="6" t="s">
        <v>32</v>
      </c>
      <c r="E29" s="6">
        <v>21</v>
      </c>
      <c r="F29" s="8">
        <f t="shared" si="1"/>
        <v>346.5</v>
      </c>
      <c r="G29" s="8">
        <v>120</v>
      </c>
    </row>
    <row r="30" spans="2:7" ht="14.25" customHeight="1" x14ac:dyDescent="0.25">
      <c r="B30" s="6" t="s">
        <v>72</v>
      </c>
      <c r="C30" s="9" t="s">
        <v>73</v>
      </c>
      <c r="D30" s="6" t="s">
        <v>9</v>
      </c>
      <c r="E30" s="6">
        <v>23</v>
      </c>
      <c r="F30" s="8">
        <f t="shared" si="1"/>
        <v>379.5</v>
      </c>
      <c r="G30" s="8">
        <v>120</v>
      </c>
    </row>
    <row r="31" spans="2:7" ht="14.25" customHeight="1" x14ac:dyDescent="0.25">
      <c r="B31" s="14" t="s">
        <v>74</v>
      </c>
      <c r="C31" s="9" t="s">
        <v>75</v>
      </c>
      <c r="D31" s="6" t="s">
        <v>50</v>
      </c>
      <c r="E31" s="6">
        <v>21</v>
      </c>
      <c r="F31" s="8">
        <f t="shared" si="1"/>
        <v>346.5</v>
      </c>
      <c r="G31" s="8">
        <v>120</v>
      </c>
    </row>
    <row r="32" spans="2:7" ht="14.25" customHeight="1" x14ac:dyDescent="0.25">
      <c r="B32" s="14" t="s">
        <v>76</v>
      </c>
      <c r="C32" s="9" t="s">
        <v>77</v>
      </c>
      <c r="D32" s="6" t="s">
        <v>40</v>
      </c>
      <c r="E32" s="6">
        <v>13</v>
      </c>
      <c r="F32" s="8">
        <f t="shared" si="1"/>
        <v>214.5</v>
      </c>
      <c r="G32" s="8">
        <v>75</v>
      </c>
    </row>
    <row r="33" spans="2:7" ht="14.25" customHeight="1" x14ac:dyDescent="0.25">
      <c r="B33" s="6" t="s">
        <v>78</v>
      </c>
      <c r="C33" s="9" t="s">
        <v>79</v>
      </c>
      <c r="D33" s="6" t="s">
        <v>9</v>
      </c>
      <c r="E33" s="6">
        <v>23</v>
      </c>
      <c r="F33" s="8">
        <f t="shared" si="1"/>
        <v>379.5</v>
      </c>
      <c r="G33" s="8">
        <v>120</v>
      </c>
    </row>
    <row r="34" spans="2:7" ht="14.25" customHeight="1" x14ac:dyDescent="0.25">
      <c r="B34" s="14" t="s">
        <v>80</v>
      </c>
      <c r="C34" s="9" t="s">
        <v>81</v>
      </c>
      <c r="D34" s="6" t="s">
        <v>16</v>
      </c>
      <c r="E34" s="6">
        <v>21</v>
      </c>
      <c r="F34" s="8">
        <f t="shared" si="1"/>
        <v>346.5</v>
      </c>
      <c r="G34" s="8">
        <v>120</v>
      </c>
    </row>
    <row r="35" spans="2:7" ht="14.25" customHeight="1" x14ac:dyDescent="0.25">
      <c r="B35" s="6" t="s">
        <v>82</v>
      </c>
      <c r="C35" s="9" t="s">
        <v>83</v>
      </c>
      <c r="D35" s="6" t="s">
        <v>9</v>
      </c>
      <c r="E35" s="6">
        <v>23</v>
      </c>
      <c r="F35" s="8">
        <f t="shared" si="1"/>
        <v>379.5</v>
      </c>
      <c r="G35" s="8">
        <v>120</v>
      </c>
    </row>
    <row r="36" spans="2:7" ht="14.25" customHeight="1" x14ac:dyDescent="0.25">
      <c r="B36" s="14" t="s">
        <v>84</v>
      </c>
      <c r="C36" s="9" t="s">
        <v>85</v>
      </c>
      <c r="D36" s="6" t="s">
        <v>86</v>
      </c>
      <c r="E36" s="6">
        <v>21</v>
      </c>
      <c r="F36" s="8">
        <f t="shared" si="1"/>
        <v>346.5</v>
      </c>
      <c r="G36" s="8">
        <v>120</v>
      </c>
    </row>
    <row r="37" spans="2:7" ht="14.25" customHeight="1" x14ac:dyDescent="0.25">
      <c r="B37" s="14" t="s">
        <v>87</v>
      </c>
      <c r="C37" s="9" t="s">
        <v>88</v>
      </c>
      <c r="D37" s="6" t="s">
        <v>23</v>
      </c>
      <c r="E37" s="6">
        <v>12</v>
      </c>
      <c r="F37" s="8">
        <v>98</v>
      </c>
      <c r="G37" s="8" t="s">
        <v>10</v>
      </c>
    </row>
    <row r="38" spans="2:7" ht="13.5" customHeight="1" x14ac:dyDescent="0.25">
      <c r="B38" s="14" t="s">
        <v>89</v>
      </c>
      <c r="C38" s="9" t="s">
        <v>90</v>
      </c>
      <c r="D38" s="6" t="s">
        <v>35</v>
      </c>
      <c r="E38" s="6">
        <v>12</v>
      </c>
      <c r="F38" s="8">
        <f t="shared" ref="F38:F71" si="2">E38*16.5</f>
        <v>198</v>
      </c>
      <c r="G38" s="8" t="s">
        <v>10</v>
      </c>
    </row>
    <row r="39" spans="2:7" ht="14.25" customHeight="1" x14ac:dyDescent="0.25">
      <c r="B39" s="14" t="s">
        <v>91</v>
      </c>
      <c r="C39" s="9" t="s">
        <v>92</v>
      </c>
      <c r="D39" s="6" t="s">
        <v>35</v>
      </c>
      <c r="E39" s="6">
        <v>21</v>
      </c>
      <c r="F39" s="8">
        <f t="shared" si="2"/>
        <v>346.5</v>
      </c>
      <c r="G39" s="8">
        <v>120</v>
      </c>
    </row>
    <row r="40" spans="2:7" ht="14.25" customHeight="1" x14ac:dyDescent="0.25">
      <c r="B40" s="15" t="s">
        <v>93</v>
      </c>
      <c r="C40" s="7" t="s">
        <v>94</v>
      </c>
      <c r="D40" s="6" t="s">
        <v>52</v>
      </c>
      <c r="E40" s="6">
        <v>21</v>
      </c>
      <c r="F40" s="8">
        <f t="shared" si="2"/>
        <v>346.5</v>
      </c>
      <c r="G40" s="8" t="s">
        <v>10</v>
      </c>
    </row>
    <row r="41" spans="2:7" ht="14.25" customHeight="1" x14ac:dyDescent="0.25">
      <c r="B41" s="14" t="s">
        <v>95</v>
      </c>
      <c r="C41" s="9" t="s">
        <v>96</v>
      </c>
      <c r="D41" s="6" t="s">
        <v>47</v>
      </c>
      <c r="E41" s="6">
        <v>21</v>
      </c>
      <c r="F41" s="8">
        <f t="shared" si="2"/>
        <v>346.5</v>
      </c>
      <c r="G41" s="8">
        <v>120</v>
      </c>
    </row>
    <row r="42" spans="2:7" ht="13.5" customHeight="1" x14ac:dyDescent="0.25">
      <c r="B42" s="14" t="s">
        <v>97</v>
      </c>
      <c r="C42" s="9" t="s">
        <v>98</v>
      </c>
      <c r="D42" s="6" t="s">
        <v>86</v>
      </c>
      <c r="E42" s="6">
        <v>21</v>
      </c>
      <c r="F42" s="8">
        <f t="shared" si="2"/>
        <v>346.5</v>
      </c>
      <c r="G42" s="8">
        <v>120</v>
      </c>
    </row>
    <row r="43" spans="2:7" ht="15" customHeight="1" x14ac:dyDescent="0.25">
      <c r="B43" s="6" t="s">
        <v>99</v>
      </c>
      <c r="C43" s="9" t="s">
        <v>100</v>
      </c>
      <c r="D43" s="6" t="s">
        <v>13</v>
      </c>
      <c r="E43" s="6">
        <v>21</v>
      </c>
      <c r="F43" s="8">
        <f t="shared" si="2"/>
        <v>346.5</v>
      </c>
      <c r="G43" s="8">
        <v>120</v>
      </c>
    </row>
    <row r="44" spans="2:7" ht="13.5" customHeight="1" x14ac:dyDescent="0.25">
      <c r="B44" s="6" t="s">
        <v>101</v>
      </c>
      <c r="C44" s="9" t="s">
        <v>102</v>
      </c>
      <c r="D44" s="6" t="s">
        <v>103</v>
      </c>
      <c r="E44" s="6">
        <v>21</v>
      </c>
      <c r="F44" s="8">
        <f t="shared" si="2"/>
        <v>346.5</v>
      </c>
      <c r="G44" s="8" t="s">
        <v>10</v>
      </c>
    </row>
    <row r="45" spans="2:7" ht="14.25" customHeight="1" x14ac:dyDescent="0.25">
      <c r="B45" s="14" t="s">
        <v>104</v>
      </c>
      <c r="C45" s="9" t="s">
        <v>105</v>
      </c>
      <c r="D45" s="6" t="s">
        <v>9</v>
      </c>
      <c r="E45" s="6">
        <v>23</v>
      </c>
      <c r="F45" s="8">
        <f t="shared" si="2"/>
        <v>379.5</v>
      </c>
      <c r="G45" s="8">
        <v>120</v>
      </c>
    </row>
    <row r="46" spans="2:7" ht="14.25" customHeight="1" x14ac:dyDescent="0.25">
      <c r="B46" s="14" t="s">
        <v>106</v>
      </c>
      <c r="C46" s="9" t="s">
        <v>107</v>
      </c>
      <c r="D46" s="6" t="s">
        <v>65</v>
      </c>
      <c r="E46" s="6">
        <v>12</v>
      </c>
      <c r="F46" s="8">
        <f t="shared" si="2"/>
        <v>198</v>
      </c>
      <c r="G46" s="8">
        <v>69</v>
      </c>
    </row>
    <row r="47" spans="2:7" ht="13.5" customHeight="1" x14ac:dyDescent="0.25">
      <c r="B47" s="14" t="s">
        <v>108</v>
      </c>
      <c r="C47" s="9" t="s">
        <v>109</v>
      </c>
      <c r="D47" s="6" t="s">
        <v>23</v>
      </c>
      <c r="E47" s="6">
        <v>12</v>
      </c>
      <c r="F47" s="8">
        <f t="shared" si="2"/>
        <v>198</v>
      </c>
      <c r="G47" s="8">
        <v>69</v>
      </c>
    </row>
    <row r="48" spans="2:7" ht="14.25" customHeight="1" x14ac:dyDescent="0.25">
      <c r="B48" s="6" t="s">
        <v>110</v>
      </c>
      <c r="C48" s="9" t="s">
        <v>111</v>
      </c>
      <c r="D48" s="6" t="s">
        <v>32</v>
      </c>
      <c r="E48" s="6">
        <v>12</v>
      </c>
      <c r="F48" s="8">
        <f t="shared" si="2"/>
        <v>198</v>
      </c>
      <c r="G48" s="8">
        <v>69</v>
      </c>
    </row>
    <row r="49" spans="2:7" ht="14.25" customHeight="1" x14ac:dyDescent="0.25">
      <c r="B49" s="14" t="s">
        <v>112</v>
      </c>
      <c r="C49" s="9" t="s">
        <v>113</v>
      </c>
      <c r="D49" s="6" t="s">
        <v>52</v>
      </c>
      <c r="E49" s="6">
        <v>12</v>
      </c>
      <c r="F49" s="8">
        <f t="shared" si="2"/>
        <v>198</v>
      </c>
      <c r="G49" s="8">
        <v>69</v>
      </c>
    </row>
    <row r="50" spans="2:7" ht="14.25" customHeight="1" x14ac:dyDescent="0.25">
      <c r="B50" s="14" t="s">
        <v>114</v>
      </c>
      <c r="C50" s="9" t="s">
        <v>115</v>
      </c>
      <c r="D50" s="6" t="s">
        <v>50</v>
      </c>
      <c r="E50" s="6">
        <v>21</v>
      </c>
      <c r="F50" s="8">
        <f t="shared" si="2"/>
        <v>346.5</v>
      </c>
      <c r="G50" s="8">
        <v>120</v>
      </c>
    </row>
    <row r="51" spans="2:7" ht="14.25" customHeight="1" x14ac:dyDescent="0.25">
      <c r="B51" s="6" t="s">
        <v>116</v>
      </c>
      <c r="C51" s="9" t="s">
        <v>117</v>
      </c>
      <c r="D51" s="16" t="s">
        <v>23</v>
      </c>
      <c r="E51" s="6">
        <v>21</v>
      </c>
      <c r="F51" s="8">
        <f t="shared" si="2"/>
        <v>346.5</v>
      </c>
      <c r="G51" s="8">
        <v>120</v>
      </c>
    </row>
    <row r="52" spans="2:7" ht="14.25" customHeight="1" x14ac:dyDescent="0.25">
      <c r="B52" s="14" t="s">
        <v>118</v>
      </c>
      <c r="C52" s="9" t="s">
        <v>119</v>
      </c>
      <c r="D52" s="6" t="s">
        <v>9</v>
      </c>
      <c r="E52" s="6">
        <v>23</v>
      </c>
      <c r="F52" s="8">
        <f t="shared" si="2"/>
        <v>379.5</v>
      </c>
      <c r="G52" s="8">
        <v>120</v>
      </c>
    </row>
    <row r="53" spans="2:7" ht="14.25" customHeight="1" x14ac:dyDescent="0.25">
      <c r="B53" s="6" t="s">
        <v>120</v>
      </c>
      <c r="C53" s="9" t="s">
        <v>121</v>
      </c>
      <c r="D53" s="6" t="s">
        <v>52</v>
      </c>
      <c r="E53" s="6">
        <v>21</v>
      </c>
      <c r="F53" s="8">
        <f t="shared" si="2"/>
        <v>346.5</v>
      </c>
      <c r="G53" s="8" t="s">
        <v>10</v>
      </c>
    </row>
    <row r="54" spans="2:7" ht="14.25" customHeight="1" x14ac:dyDescent="0.25">
      <c r="B54" s="14" t="s">
        <v>122</v>
      </c>
      <c r="C54" s="9" t="s">
        <v>123</v>
      </c>
      <c r="D54" s="6" t="s">
        <v>50</v>
      </c>
      <c r="E54" s="6">
        <v>21</v>
      </c>
      <c r="F54" s="8">
        <f t="shared" si="2"/>
        <v>346.5</v>
      </c>
      <c r="G54" s="8">
        <v>120</v>
      </c>
    </row>
    <row r="55" spans="2:7" ht="14.25" customHeight="1" x14ac:dyDescent="0.25">
      <c r="B55" s="14" t="s">
        <v>124</v>
      </c>
      <c r="C55" s="9" t="s">
        <v>125</v>
      </c>
      <c r="D55" s="6" t="s">
        <v>86</v>
      </c>
      <c r="E55" s="6">
        <v>9</v>
      </c>
      <c r="F55" s="8">
        <f t="shared" si="2"/>
        <v>148.5</v>
      </c>
      <c r="G55" s="8">
        <v>52</v>
      </c>
    </row>
    <row r="56" spans="2:7" ht="14.25" customHeight="1" x14ac:dyDescent="0.25">
      <c r="B56" s="14" t="s">
        <v>126</v>
      </c>
      <c r="C56" s="9" t="s">
        <v>127</v>
      </c>
      <c r="D56" s="6" t="s">
        <v>29</v>
      </c>
      <c r="E56" s="6">
        <v>12</v>
      </c>
      <c r="F56" s="8">
        <f t="shared" si="2"/>
        <v>198</v>
      </c>
      <c r="G56" s="8">
        <v>69</v>
      </c>
    </row>
    <row r="57" spans="2:7" ht="14.25" customHeight="1" x14ac:dyDescent="0.25">
      <c r="B57" s="12">
        <v>4912836443</v>
      </c>
      <c r="C57" s="9" t="s">
        <v>128</v>
      </c>
      <c r="D57" s="6" t="s">
        <v>86</v>
      </c>
      <c r="E57" s="6">
        <v>12</v>
      </c>
      <c r="F57" s="8">
        <f t="shared" si="2"/>
        <v>198</v>
      </c>
      <c r="G57" s="8">
        <v>69</v>
      </c>
    </row>
    <row r="58" spans="2:7" ht="14.25" customHeight="1" x14ac:dyDescent="0.25">
      <c r="B58" s="17" t="s">
        <v>129</v>
      </c>
      <c r="C58" s="13" t="s">
        <v>130</v>
      </c>
      <c r="D58" s="6" t="s">
        <v>16</v>
      </c>
      <c r="E58" s="6">
        <v>21</v>
      </c>
      <c r="F58" s="8">
        <f t="shared" si="2"/>
        <v>346.5</v>
      </c>
      <c r="G58" s="8">
        <v>120</v>
      </c>
    </row>
    <row r="59" spans="2:7" ht="14.25" customHeight="1" x14ac:dyDescent="0.25">
      <c r="B59" s="14" t="s">
        <v>131</v>
      </c>
      <c r="C59" s="9" t="s">
        <v>132</v>
      </c>
      <c r="D59" s="6" t="s">
        <v>50</v>
      </c>
      <c r="E59" s="6">
        <v>12</v>
      </c>
      <c r="F59" s="8">
        <f t="shared" si="2"/>
        <v>198</v>
      </c>
      <c r="G59" s="8">
        <v>69</v>
      </c>
    </row>
    <row r="60" spans="2:7" ht="14.25" customHeight="1" x14ac:dyDescent="0.25">
      <c r="B60" s="6" t="s">
        <v>133</v>
      </c>
      <c r="C60" s="9" t="s">
        <v>134</v>
      </c>
      <c r="D60" s="6" t="s">
        <v>47</v>
      </c>
      <c r="E60" s="6">
        <v>21</v>
      </c>
      <c r="F60" s="8">
        <f t="shared" si="2"/>
        <v>346.5</v>
      </c>
      <c r="G60" s="8">
        <v>120</v>
      </c>
    </row>
    <row r="61" spans="2:7" ht="14.25" customHeight="1" x14ac:dyDescent="0.25">
      <c r="B61" s="14" t="s">
        <v>135</v>
      </c>
      <c r="C61" s="9" t="s">
        <v>136</v>
      </c>
      <c r="D61" s="6" t="s">
        <v>9</v>
      </c>
      <c r="E61" s="6">
        <v>15</v>
      </c>
      <c r="F61" s="8">
        <f t="shared" si="2"/>
        <v>247.5</v>
      </c>
      <c r="G61" s="8">
        <v>86</v>
      </c>
    </row>
    <row r="62" spans="2:7" ht="14.25" customHeight="1" x14ac:dyDescent="0.25">
      <c r="B62" s="14" t="s">
        <v>137</v>
      </c>
      <c r="C62" s="9" t="s">
        <v>138</v>
      </c>
      <c r="D62" s="6" t="s">
        <v>29</v>
      </c>
      <c r="E62" s="6">
        <v>12</v>
      </c>
      <c r="F62" s="8">
        <f t="shared" si="2"/>
        <v>198</v>
      </c>
      <c r="G62" s="8">
        <v>69</v>
      </c>
    </row>
    <row r="63" spans="2:7" ht="14.25" customHeight="1" x14ac:dyDescent="0.25">
      <c r="B63" s="14" t="s">
        <v>139</v>
      </c>
      <c r="C63" s="9" t="s">
        <v>140</v>
      </c>
      <c r="D63" s="6" t="s">
        <v>29</v>
      </c>
      <c r="E63" s="6">
        <v>8</v>
      </c>
      <c r="F63" s="8">
        <f t="shared" si="2"/>
        <v>132</v>
      </c>
      <c r="G63" s="8">
        <v>46</v>
      </c>
    </row>
    <row r="64" spans="2:7" ht="14.25" customHeight="1" x14ac:dyDescent="0.25">
      <c r="B64" s="6" t="s">
        <v>141</v>
      </c>
      <c r="C64" s="9" t="s">
        <v>142</v>
      </c>
      <c r="D64" s="6" t="s">
        <v>143</v>
      </c>
      <c r="E64" s="6">
        <v>21</v>
      </c>
      <c r="F64" s="8">
        <f t="shared" si="2"/>
        <v>346.5</v>
      </c>
      <c r="G64" s="8">
        <v>120</v>
      </c>
    </row>
    <row r="65" spans="1:26" ht="14.25" customHeight="1" x14ac:dyDescent="0.25">
      <c r="B65" s="6" t="s">
        <v>144</v>
      </c>
      <c r="C65" s="9" t="s">
        <v>145</v>
      </c>
      <c r="D65" s="6" t="s">
        <v>23</v>
      </c>
      <c r="E65" s="6">
        <v>21</v>
      </c>
      <c r="F65" s="8">
        <f t="shared" si="2"/>
        <v>346.5</v>
      </c>
      <c r="G65" s="8">
        <v>120</v>
      </c>
    </row>
    <row r="66" spans="1:26" ht="14.25" customHeight="1" x14ac:dyDescent="0.25">
      <c r="B66" s="14" t="s">
        <v>146</v>
      </c>
      <c r="C66" s="9" t="s">
        <v>147</v>
      </c>
      <c r="D66" s="6" t="s">
        <v>52</v>
      </c>
      <c r="E66" s="6">
        <v>21</v>
      </c>
      <c r="F66" s="8">
        <f t="shared" si="2"/>
        <v>346.5</v>
      </c>
      <c r="G66" s="8">
        <v>120</v>
      </c>
    </row>
    <row r="67" spans="1:26" ht="14.25" customHeight="1" x14ac:dyDescent="0.25">
      <c r="B67" s="14" t="s">
        <v>148</v>
      </c>
      <c r="C67" s="9" t="s">
        <v>149</v>
      </c>
      <c r="D67" s="6" t="s">
        <v>103</v>
      </c>
      <c r="E67" s="6">
        <v>21</v>
      </c>
      <c r="F67" s="8">
        <f t="shared" si="2"/>
        <v>346.5</v>
      </c>
      <c r="G67" s="8">
        <v>120</v>
      </c>
    </row>
    <row r="68" spans="1:26" ht="14.25" customHeight="1" x14ac:dyDescent="0.25">
      <c r="B68" s="6" t="s">
        <v>150</v>
      </c>
      <c r="C68" s="9" t="s">
        <v>151</v>
      </c>
      <c r="D68" s="6" t="s">
        <v>32</v>
      </c>
      <c r="E68" s="6">
        <v>21</v>
      </c>
      <c r="F68" s="8">
        <f t="shared" si="2"/>
        <v>346.5</v>
      </c>
      <c r="G68" s="8">
        <v>120</v>
      </c>
    </row>
    <row r="69" spans="1:26" ht="14.25" customHeight="1" x14ac:dyDescent="0.25">
      <c r="B69" s="6" t="s">
        <v>152</v>
      </c>
      <c r="C69" s="9" t="s">
        <v>153</v>
      </c>
      <c r="D69" s="6" t="s">
        <v>9</v>
      </c>
      <c r="E69" s="6">
        <v>23</v>
      </c>
      <c r="F69" s="8">
        <f t="shared" si="2"/>
        <v>379.5</v>
      </c>
      <c r="G69" s="8">
        <v>120</v>
      </c>
    </row>
    <row r="70" spans="1:26" ht="14.25" customHeight="1" x14ac:dyDescent="0.25">
      <c r="A70" s="18"/>
      <c r="B70" s="14" t="s">
        <v>154</v>
      </c>
      <c r="C70" s="9" t="s">
        <v>155</v>
      </c>
      <c r="D70" s="6" t="s">
        <v>65</v>
      </c>
      <c r="E70" s="6">
        <v>12</v>
      </c>
      <c r="F70" s="8">
        <f t="shared" si="2"/>
        <v>198</v>
      </c>
      <c r="G70" s="8">
        <v>69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6" t="s">
        <v>156</v>
      </c>
      <c r="C71" s="9" t="s">
        <v>157</v>
      </c>
      <c r="D71" s="6" t="s">
        <v>16</v>
      </c>
      <c r="E71" s="6">
        <v>7</v>
      </c>
      <c r="F71" s="8">
        <f t="shared" si="2"/>
        <v>115.5</v>
      </c>
      <c r="G71" s="8">
        <v>40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4" t="s">
        <v>158</v>
      </c>
      <c r="C72" s="9" t="s">
        <v>159</v>
      </c>
      <c r="D72" s="6" t="s">
        <v>29</v>
      </c>
      <c r="E72" s="6" t="s">
        <v>10</v>
      </c>
      <c r="F72" s="8" t="s">
        <v>10</v>
      </c>
      <c r="G72" s="8" t="s">
        <v>10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6" t="s">
        <v>160</v>
      </c>
      <c r="C73" s="9" t="s">
        <v>161</v>
      </c>
      <c r="D73" s="6" t="s">
        <v>9</v>
      </c>
      <c r="E73" s="6">
        <v>23</v>
      </c>
      <c r="F73" s="8">
        <f t="shared" ref="F73:F74" si="3">E73*16.5</f>
        <v>379.5</v>
      </c>
      <c r="G73" s="8">
        <v>120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4" t="s">
        <v>162</v>
      </c>
      <c r="C74" s="9" t="s">
        <v>163</v>
      </c>
      <c r="D74" s="6" t="s">
        <v>103</v>
      </c>
      <c r="E74" s="6">
        <v>21</v>
      </c>
      <c r="F74" s="8">
        <f t="shared" si="3"/>
        <v>346.5</v>
      </c>
      <c r="G74" s="8" t="s">
        <v>10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4" t="s">
        <v>164</v>
      </c>
      <c r="C75" s="9" t="s">
        <v>165</v>
      </c>
      <c r="D75" s="6" t="s">
        <v>29</v>
      </c>
      <c r="E75" s="19">
        <v>12</v>
      </c>
      <c r="F75" s="8">
        <v>198</v>
      </c>
      <c r="G75" s="8">
        <v>69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4" t="s">
        <v>166</v>
      </c>
      <c r="C76" s="9" t="s">
        <v>167</v>
      </c>
      <c r="D76" s="6" t="s">
        <v>52</v>
      </c>
      <c r="E76" s="6">
        <v>21</v>
      </c>
      <c r="F76" s="8">
        <f t="shared" ref="F76:F89" si="4">E76*16.5</f>
        <v>346.5</v>
      </c>
      <c r="G76" s="8" t="s">
        <v>10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4" t="s">
        <v>168</v>
      </c>
      <c r="C77" s="9" t="s">
        <v>169</v>
      </c>
      <c r="D77" s="6" t="s">
        <v>32</v>
      </c>
      <c r="E77" s="6">
        <v>12</v>
      </c>
      <c r="F77" s="8">
        <f t="shared" si="4"/>
        <v>198</v>
      </c>
      <c r="G77" s="8">
        <v>69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6" t="s">
        <v>170</v>
      </c>
      <c r="C78" s="9" t="s">
        <v>171</v>
      </c>
      <c r="D78" s="6" t="s">
        <v>52</v>
      </c>
      <c r="E78" s="6">
        <v>21</v>
      </c>
      <c r="F78" s="8">
        <f t="shared" si="4"/>
        <v>346.5</v>
      </c>
      <c r="G78" s="8">
        <v>120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4" t="s">
        <v>172</v>
      </c>
      <c r="C79" s="9" t="s">
        <v>173</v>
      </c>
      <c r="D79" s="6" t="s">
        <v>174</v>
      </c>
      <c r="E79" s="6">
        <v>12</v>
      </c>
      <c r="F79" s="8">
        <f t="shared" si="4"/>
        <v>198</v>
      </c>
      <c r="G79" s="8">
        <v>69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4" t="s">
        <v>175</v>
      </c>
      <c r="C80" s="9" t="s">
        <v>176</v>
      </c>
      <c r="D80" s="6" t="s">
        <v>9</v>
      </c>
      <c r="E80" s="6">
        <v>23</v>
      </c>
      <c r="F80" s="8">
        <f t="shared" si="4"/>
        <v>379.5</v>
      </c>
      <c r="G80" s="8">
        <v>120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20" t="s">
        <v>177</v>
      </c>
      <c r="C81" s="18" t="s">
        <v>178</v>
      </c>
      <c r="D81" s="21" t="s">
        <v>9</v>
      </c>
      <c r="E81" s="6">
        <v>23</v>
      </c>
      <c r="F81" s="22">
        <f t="shared" si="4"/>
        <v>379.5</v>
      </c>
      <c r="G81" s="22">
        <v>120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6" t="s">
        <v>179</v>
      </c>
      <c r="C82" s="9" t="s">
        <v>180</v>
      </c>
      <c r="D82" s="6" t="s">
        <v>65</v>
      </c>
      <c r="E82" s="6">
        <v>21</v>
      </c>
      <c r="F82" s="8">
        <f t="shared" si="4"/>
        <v>346.5</v>
      </c>
      <c r="G82" s="8">
        <v>120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6" t="s">
        <v>181</v>
      </c>
      <c r="C83" s="9" t="s">
        <v>182</v>
      </c>
      <c r="D83" s="6" t="s">
        <v>9</v>
      </c>
      <c r="E83" s="6">
        <v>23</v>
      </c>
      <c r="F83" s="8">
        <f t="shared" si="4"/>
        <v>379.5</v>
      </c>
      <c r="G83" s="8" t="s">
        <v>10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6" t="s">
        <v>183</v>
      </c>
      <c r="C84" s="9" t="s">
        <v>184</v>
      </c>
      <c r="D84" s="6" t="s">
        <v>32</v>
      </c>
      <c r="E84" s="6">
        <v>21</v>
      </c>
      <c r="F84" s="8">
        <f t="shared" si="4"/>
        <v>346.5</v>
      </c>
      <c r="G84" s="8">
        <v>120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4" t="s">
        <v>185</v>
      </c>
      <c r="C85" s="9" t="s">
        <v>186</v>
      </c>
      <c r="D85" s="6" t="s">
        <v>143</v>
      </c>
      <c r="E85" s="6">
        <v>12</v>
      </c>
      <c r="F85" s="8">
        <f t="shared" si="4"/>
        <v>198</v>
      </c>
      <c r="G85" s="8">
        <v>69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23" t="s">
        <v>187</v>
      </c>
      <c r="C86" s="9" t="s">
        <v>188</v>
      </c>
      <c r="D86" s="6" t="s">
        <v>29</v>
      </c>
      <c r="E86" s="6">
        <v>12</v>
      </c>
      <c r="F86" s="8">
        <f t="shared" si="4"/>
        <v>198</v>
      </c>
      <c r="G86" s="8" t="s">
        <v>10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23" t="s">
        <v>189</v>
      </c>
      <c r="C87" s="9" t="s">
        <v>190</v>
      </c>
      <c r="D87" s="6" t="s">
        <v>16</v>
      </c>
      <c r="E87" s="6">
        <v>16</v>
      </c>
      <c r="F87" s="8">
        <f t="shared" si="4"/>
        <v>264</v>
      </c>
      <c r="G87" s="8">
        <v>92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4" t="s">
        <v>191</v>
      </c>
      <c r="C88" s="9" t="s">
        <v>192</v>
      </c>
      <c r="D88" s="6" t="s">
        <v>47</v>
      </c>
      <c r="E88" s="6">
        <v>0</v>
      </c>
      <c r="F88" s="8">
        <f t="shared" si="4"/>
        <v>0</v>
      </c>
      <c r="G88" s="8">
        <v>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4" t="s">
        <v>193</v>
      </c>
      <c r="C89" s="9" t="s">
        <v>194</v>
      </c>
      <c r="D89" s="6" t="s">
        <v>52</v>
      </c>
      <c r="E89" s="6">
        <v>12</v>
      </c>
      <c r="F89" s="8">
        <f t="shared" si="4"/>
        <v>198</v>
      </c>
      <c r="G89" s="8" t="s">
        <v>10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4" t="s">
        <v>195</v>
      </c>
      <c r="C90" s="9" t="s">
        <v>196</v>
      </c>
      <c r="D90" s="6" t="s">
        <v>9</v>
      </c>
      <c r="E90" s="6">
        <v>15</v>
      </c>
      <c r="F90" s="8">
        <v>214.5</v>
      </c>
      <c r="G90" s="8">
        <v>86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6" t="s">
        <v>197</v>
      </c>
      <c r="C91" s="9" t="s">
        <v>198</v>
      </c>
      <c r="D91" s="6" t="s">
        <v>52</v>
      </c>
      <c r="E91" s="6">
        <v>21</v>
      </c>
      <c r="F91" s="8">
        <f t="shared" ref="F91:F100" si="5">E91*16.5</f>
        <v>346.5</v>
      </c>
      <c r="G91" s="8">
        <v>120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6" t="s">
        <v>199</v>
      </c>
      <c r="C92" s="9" t="s">
        <v>200</v>
      </c>
      <c r="D92" s="6" t="s">
        <v>9</v>
      </c>
      <c r="E92" s="6">
        <v>24</v>
      </c>
      <c r="F92" s="8">
        <f t="shared" si="5"/>
        <v>396</v>
      </c>
      <c r="G92" s="8">
        <v>120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6" t="s">
        <v>201</v>
      </c>
      <c r="C93" s="9" t="s">
        <v>202</v>
      </c>
      <c r="D93" s="6" t="s">
        <v>9</v>
      </c>
      <c r="E93" s="6">
        <v>23</v>
      </c>
      <c r="F93" s="8">
        <f t="shared" si="5"/>
        <v>379.5</v>
      </c>
      <c r="G93" s="8" t="s">
        <v>10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4" t="s">
        <v>203</v>
      </c>
      <c r="C94" s="9" t="s">
        <v>204</v>
      </c>
      <c r="D94" s="6" t="s">
        <v>52</v>
      </c>
      <c r="E94" s="6">
        <v>21</v>
      </c>
      <c r="F94" s="8">
        <f t="shared" si="5"/>
        <v>346.5</v>
      </c>
      <c r="G94" s="8">
        <v>120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6" t="s">
        <v>205</v>
      </c>
      <c r="C95" s="9" t="s">
        <v>206</v>
      </c>
      <c r="D95" s="6" t="s">
        <v>32</v>
      </c>
      <c r="E95" s="6">
        <v>21</v>
      </c>
      <c r="F95" s="8">
        <f t="shared" si="5"/>
        <v>346.5</v>
      </c>
      <c r="G95" s="8" t="s">
        <v>10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B96" s="12" t="s">
        <v>207</v>
      </c>
      <c r="C96" s="13" t="s">
        <v>208</v>
      </c>
      <c r="D96" s="6" t="s">
        <v>23</v>
      </c>
      <c r="E96" s="6">
        <v>21</v>
      </c>
      <c r="F96" s="8">
        <f t="shared" si="5"/>
        <v>346.5</v>
      </c>
      <c r="G96" s="8">
        <v>120</v>
      </c>
    </row>
    <row r="97" spans="2:7" ht="14.25" customHeight="1" x14ac:dyDescent="0.25">
      <c r="B97" s="14" t="s">
        <v>209</v>
      </c>
      <c r="C97" s="9" t="s">
        <v>210</v>
      </c>
      <c r="D97" s="6" t="s">
        <v>23</v>
      </c>
      <c r="E97" s="6">
        <v>21</v>
      </c>
      <c r="F97" s="8">
        <f t="shared" si="5"/>
        <v>346.5</v>
      </c>
      <c r="G97" s="8">
        <v>5.71</v>
      </c>
    </row>
    <row r="98" spans="2:7" ht="14.25" customHeight="1" x14ac:dyDescent="0.25">
      <c r="B98" s="6" t="s">
        <v>211</v>
      </c>
      <c r="C98" s="9" t="s">
        <v>212</v>
      </c>
      <c r="D98" s="6" t="s">
        <v>9</v>
      </c>
      <c r="E98" s="6">
        <v>23</v>
      </c>
      <c r="F98" s="8">
        <f t="shared" si="5"/>
        <v>379.5</v>
      </c>
      <c r="G98" s="8">
        <v>120</v>
      </c>
    </row>
    <row r="99" spans="2:7" ht="14.25" customHeight="1" x14ac:dyDescent="0.25">
      <c r="B99" s="14" t="s">
        <v>213</v>
      </c>
      <c r="C99" s="9" t="s">
        <v>214</v>
      </c>
      <c r="D99" s="6" t="s">
        <v>32</v>
      </c>
      <c r="E99" s="6">
        <v>12</v>
      </c>
      <c r="F99" s="8">
        <f t="shared" si="5"/>
        <v>198</v>
      </c>
      <c r="G99" s="8">
        <v>69</v>
      </c>
    </row>
    <row r="100" spans="2:7" ht="14.25" customHeight="1" x14ac:dyDescent="0.25">
      <c r="B100" s="6" t="s">
        <v>215</v>
      </c>
      <c r="C100" s="9" t="s">
        <v>216</v>
      </c>
      <c r="D100" s="16" t="s">
        <v>40</v>
      </c>
      <c r="E100" s="6">
        <v>21</v>
      </c>
      <c r="F100" s="8">
        <f t="shared" si="5"/>
        <v>346.5</v>
      </c>
      <c r="G100" s="8">
        <v>120</v>
      </c>
    </row>
    <row r="101" spans="2:7" ht="14.25" customHeight="1" x14ac:dyDescent="0.25">
      <c r="B101" s="24"/>
      <c r="C101" s="24"/>
      <c r="D101" s="24"/>
      <c r="E101" s="25" t="s">
        <v>217</v>
      </c>
      <c r="F101" s="26">
        <f t="shared" ref="F101:G101" si="6">SUM(F4:F100)</f>
        <v>28214</v>
      </c>
      <c r="G101" s="27">
        <f t="shared" si="6"/>
        <v>7604.71</v>
      </c>
    </row>
    <row r="102" spans="2:7" ht="14.25" customHeight="1" x14ac:dyDescent="0.25"/>
    <row r="103" spans="2:7" ht="14.25" customHeight="1" x14ac:dyDescent="0.25"/>
    <row r="104" spans="2:7" ht="14.25" customHeight="1" x14ac:dyDescent="0.25"/>
    <row r="105" spans="2:7" ht="14.25" customHeight="1" x14ac:dyDescent="0.25"/>
    <row r="106" spans="2:7" ht="14.25" customHeight="1" x14ac:dyDescent="0.25"/>
    <row r="107" spans="2:7" ht="14.25" customHeight="1" x14ac:dyDescent="0.25"/>
    <row r="108" spans="2:7" ht="14.25" customHeight="1" x14ac:dyDescent="0.25"/>
    <row r="109" spans="2:7" ht="14.25" customHeight="1" x14ac:dyDescent="0.25"/>
    <row r="110" spans="2:7" ht="14.25" customHeight="1" x14ac:dyDescent="0.25"/>
    <row r="111" spans="2:7" ht="14.25" customHeight="1" x14ac:dyDescent="0.25"/>
    <row r="112" spans="2:7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3:G101" xr:uid="{00000000-0009-0000-0000-000000000000}"/>
  <mergeCells count="1">
    <mergeCell ref="C2:G2"/>
  </mergeCells>
  <conditionalFormatting sqref="B30:B31 B33:B35">
    <cfRule type="expression" dxfId="30" priority="1">
      <formula>AND(B30&gt;TODAY(), B30-TODAY()&gt;=WEEKDAY(B30), B30-TODAY()&lt;WEEKDAY(B30)+7)</formula>
    </cfRule>
    <cfRule type="expression" dxfId="29" priority="2">
      <formula>OR(AND(B30&lt;=TODAY(), TODAY()-B30&lt;WEEKDAY(TODAY())), AND(TODAY()&lt;B30, B30-TODAY()&lt;WEEKDAY(B30)))</formula>
    </cfRule>
  </conditionalFormatting>
  <conditionalFormatting sqref="C59:C61 D86:D94">
    <cfRule type="expression" dxfId="28" priority="3" stopIfTrue="1">
      <formula>AND(COUNTIF(#REF!, C59)+COUNTIF($B:$B, C59)&gt;1,NOT(ISBLANK(C59)))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4.42578125" customWidth="1"/>
    <col min="3" max="3" width="15.85546875" customWidth="1"/>
    <col min="4" max="4" width="17.42578125" customWidth="1"/>
    <col min="5" max="5" width="42.5703125" customWidth="1"/>
    <col min="6" max="6" width="17.5703125" customWidth="1"/>
    <col min="7" max="7" width="12.42578125" customWidth="1"/>
    <col min="8" max="8" width="17.42578125" customWidth="1"/>
    <col min="9" max="9" width="17.5703125" customWidth="1"/>
    <col min="10" max="26" width="8.5703125" customWidth="1"/>
  </cols>
  <sheetData>
    <row r="1" spans="1:26" ht="14.25" customHeight="1" x14ac:dyDescent="0.25"/>
    <row r="2" spans="1:26" ht="14.25" customHeight="1" x14ac:dyDescent="0.25"/>
    <row r="3" spans="1:26" ht="14.25" customHeight="1" x14ac:dyDescent="0.25">
      <c r="B3" s="362" t="s">
        <v>218</v>
      </c>
      <c r="C3" s="363"/>
      <c r="D3" s="363"/>
      <c r="E3" s="363"/>
      <c r="F3" s="363"/>
      <c r="G3" s="363"/>
      <c r="H3" s="363"/>
      <c r="I3" s="365"/>
    </row>
    <row r="4" spans="1:26" ht="14.25" customHeight="1" x14ac:dyDescent="0.25">
      <c r="B4" s="28" t="s">
        <v>219</v>
      </c>
      <c r="C4" s="28" t="s">
        <v>220</v>
      </c>
      <c r="D4" s="28" t="s">
        <v>1</v>
      </c>
      <c r="E4" s="28" t="s">
        <v>2</v>
      </c>
      <c r="F4" s="28" t="s">
        <v>3</v>
      </c>
      <c r="G4" s="28" t="s">
        <v>4</v>
      </c>
      <c r="H4" s="29" t="s">
        <v>5</v>
      </c>
      <c r="I4" s="29" t="s">
        <v>6</v>
      </c>
    </row>
    <row r="5" spans="1:26" ht="14.25" customHeight="1" x14ac:dyDescent="0.25">
      <c r="A5" s="30"/>
      <c r="B5" s="31">
        <v>46034</v>
      </c>
      <c r="C5" s="31">
        <v>46035</v>
      </c>
      <c r="D5" s="32" t="s">
        <v>221</v>
      </c>
      <c r="E5" s="32" t="s">
        <v>222</v>
      </c>
      <c r="F5" s="32" t="s">
        <v>32</v>
      </c>
      <c r="G5" s="32">
        <v>11</v>
      </c>
      <c r="H5" s="8">
        <f t="shared" ref="H5:H8" si="0">G5*16.5</f>
        <v>181.5</v>
      </c>
      <c r="I5" s="32" t="s">
        <v>223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30"/>
      <c r="B6" s="31">
        <v>46042</v>
      </c>
      <c r="C6" s="31">
        <v>46042</v>
      </c>
      <c r="D6" s="32" t="s">
        <v>224</v>
      </c>
      <c r="E6" s="32" t="s">
        <v>225</v>
      </c>
      <c r="F6" s="32" t="s">
        <v>143</v>
      </c>
      <c r="G6" s="32">
        <v>9</v>
      </c>
      <c r="H6" s="8">
        <f t="shared" si="0"/>
        <v>148.5</v>
      </c>
      <c r="I6" s="32" t="s">
        <v>226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x14ac:dyDescent="0.25">
      <c r="A7" s="30"/>
      <c r="B7" s="31">
        <v>46044</v>
      </c>
      <c r="C7" s="31">
        <v>46044</v>
      </c>
      <c r="D7" s="32" t="s">
        <v>227</v>
      </c>
      <c r="E7" s="32" t="s">
        <v>228</v>
      </c>
      <c r="F7" s="32" t="s">
        <v>65</v>
      </c>
      <c r="G7" s="32">
        <v>6</v>
      </c>
      <c r="H7" s="8">
        <f t="shared" si="0"/>
        <v>99</v>
      </c>
      <c r="I7" s="33">
        <v>35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30"/>
      <c r="B8" s="31">
        <v>46048</v>
      </c>
      <c r="C8" s="31">
        <v>46048</v>
      </c>
      <c r="D8" s="32" t="s">
        <v>229</v>
      </c>
      <c r="E8" s="32" t="s">
        <v>230</v>
      </c>
      <c r="F8" s="32" t="s">
        <v>143</v>
      </c>
      <c r="G8" s="32">
        <v>5</v>
      </c>
      <c r="H8" s="8">
        <f t="shared" si="0"/>
        <v>82.5</v>
      </c>
      <c r="I8" s="33">
        <f>G8*120/21</f>
        <v>28.571428571428573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3:I3"/>
  </mergeCells>
  <pageMargins left="0.511811024" right="0.511811024" top="0.78740157499999996" bottom="0.78740157499999996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4.42578125" customWidth="1"/>
    <col min="3" max="3" width="48" customWidth="1"/>
    <col min="4" max="4" width="17.5703125" customWidth="1"/>
    <col min="5" max="5" width="9.85546875" customWidth="1"/>
    <col min="6" max="6" width="17" customWidth="1"/>
    <col min="7" max="7" width="14.42578125" customWidth="1"/>
    <col min="8" max="8" width="13.85546875" customWidth="1"/>
    <col min="9" max="26" width="8.5703125" customWidth="1"/>
  </cols>
  <sheetData>
    <row r="1" spans="2:8" ht="14.25" customHeight="1" x14ac:dyDescent="0.25">
      <c r="H1" s="34"/>
    </row>
    <row r="2" spans="2:8" ht="14.25" customHeight="1" x14ac:dyDescent="0.25">
      <c r="B2" s="1"/>
      <c r="C2" s="366" t="s">
        <v>231</v>
      </c>
      <c r="D2" s="367"/>
      <c r="E2" s="367"/>
      <c r="F2" s="367"/>
      <c r="G2" s="367"/>
      <c r="H2" s="368"/>
    </row>
    <row r="3" spans="2:8" ht="14.25" customHeight="1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232</v>
      </c>
      <c r="H3" s="5" t="s">
        <v>233</v>
      </c>
    </row>
    <row r="4" spans="2:8" ht="14.25" customHeight="1" x14ac:dyDescent="0.25">
      <c r="B4" s="6" t="s">
        <v>7</v>
      </c>
      <c r="C4" s="7" t="s">
        <v>8</v>
      </c>
      <c r="D4" s="6" t="s">
        <v>9</v>
      </c>
      <c r="E4" s="6">
        <v>22</v>
      </c>
      <c r="F4" s="8">
        <f>E4*16.5</f>
        <v>363</v>
      </c>
      <c r="G4" s="8" t="s">
        <v>10</v>
      </c>
      <c r="H4" s="8">
        <v>156.15</v>
      </c>
    </row>
    <row r="5" spans="2:8" ht="14.25" customHeight="1" x14ac:dyDescent="0.25">
      <c r="B5" s="6" t="s">
        <v>14</v>
      </c>
      <c r="C5" s="9" t="s">
        <v>15</v>
      </c>
      <c r="D5" s="6" t="s">
        <v>16</v>
      </c>
      <c r="E5" s="6" t="s">
        <v>10</v>
      </c>
      <c r="F5" s="8" t="s">
        <v>10</v>
      </c>
      <c r="G5" s="8" t="s">
        <v>10</v>
      </c>
      <c r="H5" s="8" t="s">
        <v>10</v>
      </c>
    </row>
    <row r="6" spans="2:8" ht="14.25" customHeight="1" x14ac:dyDescent="0.25">
      <c r="B6" s="6" t="s">
        <v>17</v>
      </c>
      <c r="C6" s="9" t="s">
        <v>18</v>
      </c>
      <c r="D6" s="6" t="s">
        <v>16</v>
      </c>
      <c r="E6" s="6">
        <v>19</v>
      </c>
      <c r="F6" s="8">
        <f t="shared" ref="F6:F14" si="0">E6*16.5</f>
        <v>313.5</v>
      </c>
      <c r="G6" s="8">
        <v>120</v>
      </c>
      <c r="H6" s="8" t="s">
        <v>10</v>
      </c>
    </row>
    <row r="7" spans="2:8" ht="14.25" customHeight="1" x14ac:dyDescent="0.25">
      <c r="B7" s="6" t="s">
        <v>19</v>
      </c>
      <c r="C7" s="9" t="s">
        <v>20</v>
      </c>
      <c r="D7" s="6" t="s">
        <v>16</v>
      </c>
      <c r="E7" s="6">
        <v>19</v>
      </c>
      <c r="F7" s="8">
        <f t="shared" si="0"/>
        <v>313.5</v>
      </c>
      <c r="G7" s="8">
        <v>120</v>
      </c>
      <c r="H7" s="8" t="s">
        <v>10</v>
      </c>
    </row>
    <row r="8" spans="2:8" ht="14.25" customHeight="1" x14ac:dyDescent="0.25">
      <c r="B8" s="6" t="s">
        <v>21</v>
      </c>
      <c r="C8" s="9" t="s">
        <v>22</v>
      </c>
      <c r="D8" s="6" t="s">
        <v>23</v>
      </c>
      <c r="E8" s="6">
        <v>19</v>
      </c>
      <c r="F8" s="8">
        <f t="shared" si="0"/>
        <v>313.5</v>
      </c>
      <c r="G8" s="8">
        <v>120</v>
      </c>
      <c r="H8" s="8" t="s">
        <v>10</v>
      </c>
    </row>
    <row r="9" spans="2:8" ht="14.25" customHeight="1" x14ac:dyDescent="0.25">
      <c r="B9" s="6" t="s">
        <v>27</v>
      </c>
      <c r="C9" s="9" t="s">
        <v>28</v>
      </c>
      <c r="D9" s="6" t="s">
        <v>29</v>
      </c>
      <c r="E9" s="6">
        <v>19</v>
      </c>
      <c r="F9" s="8">
        <f t="shared" si="0"/>
        <v>313.5</v>
      </c>
      <c r="G9" s="8">
        <v>120</v>
      </c>
      <c r="H9" s="8" t="s">
        <v>10</v>
      </c>
    </row>
    <row r="10" spans="2:8" ht="14.25" customHeight="1" x14ac:dyDescent="0.25">
      <c r="B10" s="6" t="s">
        <v>30</v>
      </c>
      <c r="C10" s="9" t="s">
        <v>31</v>
      </c>
      <c r="D10" s="6" t="s">
        <v>32</v>
      </c>
      <c r="E10" s="6">
        <v>19</v>
      </c>
      <c r="F10" s="8">
        <f t="shared" si="0"/>
        <v>313.5</v>
      </c>
      <c r="G10" s="8">
        <v>120</v>
      </c>
      <c r="H10" s="8" t="s">
        <v>10</v>
      </c>
    </row>
    <row r="11" spans="2:8" ht="14.25" customHeight="1" x14ac:dyDescent="0.25">
      <c r="B11" s="6" t="s">
        <v>33</v>
      </c>
      <c r="C11" s="9" t="s">
        <v>34</v>
      </c>
      <c r="D11" s="6" t="s">
        <v>35</v>
      </c>
      <c r="E11" s="6">
        <v>19</v>
      </c>
      <c r="F11" s="8">
        <f t="shared" si="0"/>
        <v>313.5</v>
      </c>
      <c r="G11" s="8">
        <v>120</v>
      </c>
      <c r="H11" s="8" t="s">
        <v>10</v>
      </c>
    </row>
    <row r="12" spans="2:8" ht="14.25" customHeight="1" x14ac:dyDescent="0.25">
      <c r="B12" s="6" t="s">
        <v>36</v>
      </c>
      <c r="C12" s="9" t="s">
        <v>37</v>
      </c>
      <c r="D12" s="6" t="s">
        <v>29</v>
      </c>
      <c r="E12" s="6">
        <v>19</v>
      </c>
      <c r="F12" s="8">
        <f t="shared" si="0"/>
        <v>313.5</v>
      </c>
      <c r="G12" s="8">
        <v>120</v>
      </c>
      <c r="H12" s="8" t="s">
        <v>10</v>
      </c>
    </row>
    <row r="13" spans="2:8" ht="14.25" customHeight="1" x14ac:dyDescent="0.25">
      <c r="B13" s="6" t="s">
        <v>38</v>
      </c>
      <c r="C13" s="9" t="s">
        <v>39</v>
      </c>
      <c r="D13" s="6" t="s">
        <v>40</v>
      </c>
      <c r="E13" s="6">
        <v>19</v>
      </c>
      <c r="F13" s="8">
        <f t="shared" si="0"/>
        <v>313.5</v>
      </c>
      <c r="G13" s="8" t="s">
        <v>10</v>
      </c>
      <c r="H13" s="8" t="s">
        <v>10</v>
      </c>
    </row>
    <row r="14" spans="2:8" ht="14.25" customHeight="1" x14ac:dyDescent="0.25">
      <c r="B14" s="6" t="s">
        <v>41</v>
      </c>
      <c r="C14" s="9" t="s">
        <v>42</v>
      </c>
      <c r="D14" s="6" t="s">
        <v>35</v>
      </c>
      <c r="E14" s="6">
        <v>5</v>
      </c>
      <c r="F14" s="8">
        <f t="shared" si="0"/>
        <v>82.5</v>
      </c>
      <c r="G14" s="8">
        <v>31.57</v>
      </c>
      <c r="H14" s="8" t="s">
        <v>10</v>
      </c>
    </row>
    <row r="15" spans="2:8" ht="14.25" customHeight="1" x14ac:dyDescent="0.25">
      <c r="B15" s="6" t="s">
        <v>234</v>
      </c>
      <c r="C15" s="9" t="s">
        <v>235</v>
      </c>
      <c r="D15" s="6" t="s">
        <v>103</v>
      </c>
      <c r="E15" s="6">
        <v>19</v>
      </c>
      <c r="F15" s="8">
        <v>600</v>
      </c>
      <c r="G15" s="8" t="s">
        <v>10</v>
      </c>
      <c r="H15" s="8" t="s">
        <v>10</v>
      </c>
    </row>
    <row r="16" spans="2:8" ht="14.25" customHeight="1" x14ac:dyDescent="0.25">
      <c r="B16" s="6" t="s">
        <v>43</v>
      </c>
      <c r="C16" s="9" t="s">
        <v>44</v>
      </c>
      <c r="D16" s="6" t="s">
        <v>40</v>
      </c>
      <c r="E16" s="6">
        <v>19</v>
      </c>
      <c r="F16" s="8">
        <f t="shared" ref="F16:F67" si="1">E16*16.5</f>
        <v>313.5</v>
      </c>
      <c r="G16" s="8" t="s">
        <v>10</v>
      </c>
      <c r="H16" s="8" t="s">
        <v>10</v>
      </c>
    </row>
    <row r="17" spans="2:8" ht="14.25" customHeight="1" x14ac:dyDescent="0.25">
      <c r="B17" s="6" t="s">
        <v>45</v>
      </c>
      <c r="C17" s="9" t="s">
        <v>46</v>
      </c>
      <c r="D17" s="6" t="s">
        <v>47</v>
      </c>
      <c r="E17" s="6">
        <v>19</v>
      </c>
      <c r="F17" s="8">
        <f t="shared" si="1"/>
        <v>313.5</v>
      </c>
      <c r="G17" s="8">
        <v>120</v>
      </c>
      <c r="H17" s="8" t="s">
        <v>10</v>
      </c>
    </row>
    <row r="18" spans="2:8" ht="14.25" customHeight="1" x14ac:dyDescent="0.25">
      <c r="B18" s="12">
        <v>10705364402</v>
      </c>
      <c r="C18" s="13" t="s">
        <v>51</v>
      </c>
      <c r="D18" s="6" t="s">
        <v>52</v>
      </c>
      <c r="E18" s="6">
        <v>19</v>
      </c>
      <c r="F18" s="8">
        <f t="shared" si="1"/>
        <v>313.5</v>
      </c>
      <c r="G18" s="8">
        <v>120</v>
      </c>
      <c r="H18" s="8" t="s">
        <v>10</v>
      </c>
    </row>
    <row r="19" spans="2:8" ht="14.25" customHeight="1" x14ac:dyDescent="0.25">
      <c r="B19" s="6" t="s">
        <v>53</v>
      </c>
      <c r="C19" s="9" t="s">
        <v>54</v>
      </c>
      <c r="D19" s="6" t="s">
        <v>52</v>
      </c>
      <c r="E19" s="6">
        <v>19</v>
      </c>
      <c r="F19" s="8">
        <f t="shared" si="1"/>
        <v>313.5</v>
      </c>
      <c r="G19" s="8">
        <v>120</v>
      </c>
      <c r="H19" s="8" t="s">
        <v>10</v>
      </c>
    </row>
    <row r="20" spans="2:8" ht="14.25" customHeight="1" x14ac:dyDescent="0.25">
      <c r="B20" s="14" t="s">
        <v>55</v>
      </c>
      <c r="C20" s="9" t="s">
        <v>56</v>
      </c>
      <c r="D20" s="6" t="s">
        <v>32</v>
      </c>
      <c r="E20" s="6">
        <v>19</v>
      </c>
      <c r="F20" s="8">
        <f t="shared" si="1"/>
        <v>313.5</v>
      </c>
      <c r="G20" s="8">
        <v>120</v>
      </c>
      <c r="H20" s="8" t="s">
        <v>10</v>
      </c>
    </row>
    <row r="21" spans="2:8" ht="14.25" customHeight="1" x14ac:dyDescent="0.25">
      <c r="B21" s="14" t="s">
        <v>57</v>
      </c>
      <c r="C21" s="9" t="s">
        <v>58</v>
      </c>
      <c r="D21" s="6" t="s">
        <v>47</v>
      </c>
      <c r="E21" s="6">
        <v>19</v>
      </c>
      <c r="F21" s="8">
        <f t="shared" si="1"/>
        <v>313.5</v>
      </c>
      <c r="G21" s="8">
        <v>120</v>
      </c>
      <c r="H21" s="8" t="s">
        <v>10</v>
      </c>
    </row>
    <row r="22" spans="2:8" ht="14.25" customHeight="1" x14ac:dyDescent="0.25">
      <c r="B22" s="6" t="s">
        <v>59</v>
      </c>
      <c r="C22" s="9" t="s">
        <v>60</v>
      </c>
      <c r="D22" s="6" t="s">
        <v>9</v>
      </c>
      <c r="E22" s="6">
        <v>20</v>
      </c>
      <c r="F22" s="8">
        <f t="shared" si="1"/>
        <v>330</v>
      </c>
      <c r="G22" s="8" t="s">
        <v>10</v>
      </c>
      <c r="H22" s="8">
        <v>87.42</v>
      </c>
    </row>
    <row r="23" spans="2:8" ht="14.25" customHeight="1" x14ac:dyDescent="0.25">
      <c r="B23" s="6" t="s">
        <v>61</v>
      </c>
      <c r="C23" s="9" t="s">
        <v>62</v>
      </c>
      <c r="D23" s="6" t="s">
        <v>32</v>
      </c>
      <c r="E23" s="6">
        <v>19</v>
      </c>
      <c r="F23" s="8">
        <f t="shared" si="1"/>
        <v>313.5</v>
      </c>
      <c r="G23" s="8">
        <v>120</v>
      </c>
      <c r="H23" s="8" t="s">
        <v>10</v>
      </c>
    </row>
    <row r="24" spans="2:8" ht="14.25" customHeight="1" x14ac:dyDescent="0.25">
      <c r="B24" s="14" t="s">
        <v>63</v>
      </c>
      <c r="C24" s="9" t="s">
        <v>64</v>
      </c>
      <c r="D24" s="6" t="s">
        <v>65</v>
      </c>
      <c r="E24" s="6">
        <v>9</v>
      </c>
      <c r="F24" s="8">
        <f t="shared" si="1"/>
        <v>148.5</v>
      </c>
      <c r="G24" s="8">
        <v>56.84</v>
      </c>
      <c r="H24" s="8" t="s">
        <v>10</v>
      </c>
    </row>
    <row r="25" spans="2:8" ht="14.25" customHeight="1" x14ac:dyDescent="0.25">
      <c r="B25" s="14" t="s">
        <v>66</v>
      </c>
      <c r="C25" s="9" t="s">
        <v>67</v>
      </c>
      <c r="D25" s="6" t="s">
        <v>32</v>
      </c>
      <c r="E25" s="6">
        <v>19</v>
      </c>
      <c r="F25" s="8">
        <f t="shared" si="1"/>
        <v>313.5</v>
      </c>
      <c r="G25" s="8">
        <v>120</v>
      </c>
      <c r="H25" s="8" t="s">
        <v>10</v>
      </c>
    </row>
    <row r="26" spans="2:8" ht="14.25" customHeight="1" x14ac:dyDescent="0.25">
      <c r="B26" s="6" t="s">
        <v>68</v>
      </c>
      <c r="C26" s="9" t="s">
        <v>69</v>
      </c>
      <c r="D26" s="6" t="s">
        <v>9</v>
      </c>
      <c r="E26" s="6">
        <v>20</v>
      </c>
      <c r="F26" s="8">
        <f t="shared" si="1"/>
        <v>330</v>
      </c>
      <c r="G26" s="8" t="s">
        <v>10</v>
      </c>
      <c r="H26" s="8" t="s">
        <v>10</v>
      </c>
    </row>
    <row r="27" spans="2:8" ht="14.25" customHeight="1" x14ac:dyDescent="0.25">
      <c r="B27" s="6" t="s">
        <v>224</v>
      </c>
      <c r="C27" s="35" t="s">
        <v>225</v>
      </c>
      <c r="D27" s="6" t="s">
        <v>143</v>
      </c>
      <c r="E27" s="6">
        <v>19</v>
      </c>
      <c r="F27" s="8">
        <f t="shared" si="1"/>
        <v>313.5</v>
      </c>
      <c r="G27" s="6" t="s">
        <v>10</v>
      </c>
      <c r="H27" s="8" t="s">
        <v>10</v>
      </c>
    </row>
    <row r="28" spans="2:8" ht="14.25" customHeight="1" x14ac:dyDescent="0.25">
      <c r="B28" s="6" t="s">
        <v>70</v>
      </c>
      <c r="C28" s="9" t="s">
        <v>71</v>
      </c>
      <c r="D28" s="6" t="s">
        <v>32</v>
      </c>
      <c r="E28" s="6">
        <v>19</v>
      </c>
      <c r="F28" s="8">
        <f t="shared" si="1"/>
        <v>313.5</v>
      </c>
      <c r="G28" s="8">
        <v>120</v>
      </c>
      <c r="H28" s="8" t="s">
        <v>10</v>
      </c>
    </row>
    <row r="29" spans="2:8" ht="14.25" customHeight="1" x14ac:dyDescent="0.25">
      <c r="B29" s="6" t="s">
        <v>72</v>
      </c>
      <c r="C29" s="9" t="s">
        <v>73</v>
      </c>
      <c r="D29" s="6" t="s">
        <v>9</v>
      </c>
      <c r="E29" s="6">
        <v>22</v>
      </c>
      <c r="F29" s="8">
        <f t="shared" si="1"/>
        <v>363</v>
      </c>
      <c r="G29" s="8">
        <v>120</v>
      </c>
      <c r="H29" s="8" t="s">
        <v>10</v>
      </c>
    </row>
    <row r="30" spans="2:8" ht="14.25" customHeight="1" x14ac:dyDescent="0.25">
      <c r="B30" s="14" t="s">
        <v>74</v>
      </c>
      <c r="C30" s="9" t="s">
        <v>75</v>
      </c>
      <c r="D30" s="6" t="s">
        <v>50</v>
      </c>
      <c r="E30" s="6">
        <v>19</v>
      </c>
      <c r="F30" s="8">
        <f t="shared" si="1"/>
        <v>313.5</v>
      </c>
      <c r="G30" s="8">
        <v>120</v>
      </c>
      <c r="H30" s="8" t="s">
        <v>10</v>
      </c>
    </row>
    <row r="31" spans="2:8" ht="14.25" customHeight="1" x14ac:dyDescent="0.25">
      <c r="B31" s="14" t="s">
        <v>76</v>
      </c>
      <c r="C31" s="9" t="s">
        <v>77</v>
      </c>
      <c r="D31" s="6" t="s">
        <v>40</v>
      </c>
      <c r="E31" s="6">
        <v>19</v>
      </c>
      <c r="F31" s="8">
        <f t="shared" si="1"/>
        <v>313.5</v>
      </c>
      <c r="G31" s="8">
        <v>120</v>
      </c>
      <c r="H31" s="8" t="s">
        <v>10</v>
      </c>
    </row>
    <row r="32" spans="2:8" ht="14.25" customHeight="1" x14ac:dyDescent="0.25">
      <c r="B32" s="6" t="s">
        <v>229</v>
      </c>
      <c r="C32" s="35" t="s">
        <v>230</v>
      </c>
      <c r="D32" s="6" t="s">
        <v>143</v>
      </c>
      <c r="E32" s="6">
        <v>19</v>
      </c>
      <c r="F32" s="8">
        <f t="shared" si="1"/>
        <v>313.5</v>
      </c>
      <c r="G32" s="8">
        <v>120</v>
      </c>
      <c r="H32" s="8" t="s">
        <v>10</v>
      </c>
    </row>
    <row r="33" spans="2:8" ht="14.25" customHeight="1" x14ac:dyDescent="0.25">
      <c r="B33" s="14" t="s">
        <v>80</v>
      </c>
      <c r="C33" s="9" t="s">
        <v>81</v>
      </c>
      <c r="D33" s="6" t="s">
        <v>16</v>
      </c>
      <c r="E33" s="6">
        <v>19</v>
      </c>
      <c r="F33" s="8">
        <f t="shared" si="1"/>
        <v>313.5</v>
      </c>
      <c r="G33" s="8">
        <v>120</v>
      </c>
      <c r="H33" s="8" t="s">
        <v>10</v>
      </c>
    </row>
    <row r="34" spans="2:8" ht="14.25" customHeight="1" x14ac:dyDescent="0.25">
      <c r="B34" s="14" t="s">
        <v>84</v>
      </c>
      <c r="C34" s="9" t="s">
        <v>85</v>
      </c>
      <c r="D34" s="6" t="s">
        <v>86</v>
      </c>
      <c r="E34" s="6">
        <v>19</v>
      </c>
      <c r="F34" s="8">
        <f t="shared" si="1"/>
        <v>313.5</v>
      </c>
      <c r="G34" s="8">
        <v>120</v>
      </c>
      <c r="H34" s="8" t="s">
        <v>10</v>
      </c>
    </row>
    <row r="35" spans="2:8" ht="14.25" customHeight="1" x14ac:dyDescent="0.25">
      <c r="B35" s="14" t="s">
        <v>87</v>
      </c>
      <c r="C35" s="9" t="s">
        <v>88</v>
      </c>
      <c r="D35" s="6" t="s">
        <v>23</v>
      </c>
      <c r="E35" s="6">
        <v>19</v>
      </c>
      <c r="F35" s="8">
        <f t="shared" si="1"/>
        <v>313.5</v>
      </c>
      <c r="G35" s="8" t="s">
        <v>10</v>
      </c>
      <c r="H35" s="8" t="s">
        <v>10</v>
      </c>
    </row>
    <row r="36" spans="2:8" ht="14.25" customHeight="1" x14ac:dyDescent="0.25">
      <c r="B36" s="14" t="s">
        <v>89</v>
      </c>
      <c r="C36" s="9" t="s">
        <v>90</v>
      </c>
      <c r="D36" s="6" t="s">
        <v>35</v>
      </c>
      <c r="E36" s="6">
        <v>19</v>
      </c>
      <c r="F36" s="8">
        <f t="shared" si="1"/>
        <v>313.5</v>
      </c>
      <c r="G36" s="8" t="s">
        <v>10</v>
      </c>
      <c r="H36" s="8" t="s">
        <v>10</v>
      </c>
    </row>
    <row r="37" spans="2:8" ht="14.25" customHeight="1" x14ac:dyDescent="0.25">
      <c r="B37" s="14" t="s">
        <v>91</v>
      </c>
      <c r="C37" s="9" t="s">
        <v>92</v>
      </c>
      <c r="D37" s="6" t="s">
        <v>35</v>
      </c>
      <c r="E37" s="6">
        <v>19</v>
      </c>
      <c r="F37" s="8">
        <f t="shared" si="1"/>
        <v>313.5</v>
      </c>
      <c r="G37" s="8">
        <v>120</v>
      </c>
      <c r="H37" s="8" t="s">
        <v>10</v>
      </c>
    </row>
    <row r="38" spans="2:8" ht="14.25" customHeight="1" x14ac:dyDescent="0.25">
      <c r="B38" s="15" t="s">
        <v>93</v>
      </c>
      <c r="C38" s="7" t="s">
        <v>94</v>
      </c>
      <c r="D38" s="6" t="s">
        <v>52</v>
      </c>
      <c r="E38" s="6">
        <v>19</v>
      </c>
      <c r="F38" s="8">
        <f t="shared" si="1"/>
        <v>313.5</v>
      </c>
      <c r="G38" s="8" t="s">
        <v>10</v>
      </c>
      <c r="H38" s="8">
        <v>403.25</v>
      </c>
    </row>
    <row r="39" spans="2:8" ht="14.25" customHeight="1" x14ac:dyDescent="0.25">
      <c r="B39" s="14" t="s">
        <v>95</v>
      </c>
      <c r="C39" s="9" t="s">
        <v>96</v>
      </c>
      <c r="D39" s="6" t="s">
        <v>47</v>
      </c>
      <c r="E39" s="6">
        <v>19</v>
      </c>
      <c r="F39" s="8">
        <f t="shared" si="1"/>
        <v>313.5</v>
      </c>
      <c r="G39" s="8">
        <v>120</v>
      </c>
      <c r="H39" s="8" t="s">
        <v>10</v>
      </c>
    </row>
    <row r="40" spans="2:8" ht="14.25" customHeight="1" x14ac:dyDescent="0.25">
      <c r="B40" s="14" t="s">
        <v>97</v>
      </c>
      <c r="C40" s="9" t="s">
        <v>98</v>
      </c>
      <c r="D40" s="6" t="s">
        <v>86</v>
      </c>
      <c r="E40" s="6">
        <v>19</v>
      </c>
      <c r="F40" s="8">
        <f t="shared" si="1"/>
        <v>313.5</v>
      </c>
      <c r="G40" s="8">
        <v>120</v>
      </c>
      <c r="H40" s="8" t="s">
        <v>10</v>
      </c>
    </row>
    <row r="41" spans="2:8" ht="14.25" customHeight="1" x14ac:dyDescent="0.25">
      <c r="B41" s="6" t="s">
        <v>99</v>
      </c>
      <c r="C41" s="9" t="s">
        <v>100</v>
      </c>
      <c r="D41" s="6" t="s">
        <v>13</v>
      </c>
      <c r="E41" s="6">
        <v>19</v>
      </c>
      <c r="F41" s="8">
        <f t="shared" si="1"/>
        <v>313.5</v>
      </c>
      <c r="G41" s="8">
        <v>120</v>
      </c>
      <c r="H41" s="8" t="s">
        <v>10</v>
      </c>
    </row>
    <row r="42" spans="2:8" ht="14.25" customHeight="1" x14ac:dyDescent="0.25">
      <c r="B42" s="6" t="s">
        <v>101</v>
      </c>
      <c r="C42" s="9" t="s">
        <v>102</v>
      </c>
      <c r="D42" s="6" t="s">
        <v>103</v>
      </c>
      <c r="E42" s="6">
        <v>19</v>
      </c>
      <c r="F42" s="8">
        <f t="shared" si="1"/>
        <v>313.5</v>
      </c>
      <c r="G42" s="8" t="s">
        <v>10</v>
      </c>
      <c r="H42" s="8" t="s">
        <v>10</v>
      </c>
    </row>
    <row r="43" spans="2:8" ht="14.25" customHeight="1" x14ac:dyDescent="0.25">
      <c r="B43" s="6" t="s">
        <v>227</v>
      </c>
      <c r="C43" s="35" t="s">
        <v>228</v>
      </c>
      <c r="D43" s="6" t="s">
        <v>65</v>
      </c>
      <c r="E43" s="6">
        <v>19</v>
      </c>
      <c r="F43" s="8">
        <f t="shared" si="1"/>
        <v>313.5</v>
      </c>
      <c r="G43" s="8">
        <v>120</v>
      </c>
      <c r="H43" s="8" t="s">
        <v>10</v>
      </c>
    </row>
    <row r="44" spans="2:8" ht="14.25" customHeight="1" x14ac:dyDescent="0.25">
      <c r="B44" s="14" t="s">
        <v>104</v>
      </c>
      <c r="C44" s="9" t="s">
        <v>105</v>
      </c>
      <c r="D44" s="6" t="s">
        <v>9</v>
      </c>
      <c r="E44" s="6">
        <v>22</v>
      </c>
      <c r="F44" s="8">
        <f t="shared" si="1"/>
        <v>363</v>
      </c>
      <c r="G44" s="8">
        <v>120</v>
      </c>
      <c r="H44" s="8" t="s">
        <v>10</v>
      </c>
    </row>
    <row r="45" spans="2:8" ht="14.25" customHeight="1" x14ac:dyDescent="0.25">
      <c r="B45" s="14" t="s">
        <v>106</v>
      </c>
      <c r="C45" s="9" t="s">
        <v>107</v>
      </c>
      <c r="D45" s="6" t="s">
        <v>65</v>
      </c>
      <c r="E45" s="6">
        <v>19</v>
      </c>
      <c r="F45" s="8">
        <f t="shared" si="1"/>
        <v>313.5</v>
      </c>
      <c r="G45" s="8">
        <v>120</v>
      </c>
      <c r="H45" s="8" t="s">
        <v>10</v>
      </c>
    </row>
    <row r="46" spans="2:8" ht="14.25" customHeight="1" x14ac:dyDescent="0.25">
      <c r="B46" s="14" t="s">
        <v>108</v>
      </c>
      <c r="C46" s="9" t="s">
        <v>109</v>
      </c>
      <c r="D46" s="6" t="s">
        <v>23</v>
      </c>
      <c r="E46" s="6">
        <v>19</v>
      </c>
      <c r="F46" s="8">
        <f t="shared" si="1"/>
        <v>313.5</v>
      </c>
      <c r="G46" s="8">
        <v>120</v>
      </c>
      <c r="H46" s="8" t="s">
        <v>10</v>
      </c>
    </row>
    <row r="47" spans="2:8" ht="14.25" customHeight="1" x14ac:dyDescent="0.25">
      <c r="B47" s="6" t="s">
        <v>110</v>
      </c>
      <c r="C47" s="9" t="s">
        <v>111</v>
      </c>
      <c r="D47" s="6" t="s">
        <v>32</v>
      </c>
      <c r="E47" s="6">
        <v>19</v>
      </c>
      <c r="F47" s="8">
        <f t="shared" si="1"/>
        <v>313.5</v>
      </c>
      <c r="G47" s="8">
        <v>120</v>
      </c>
      <c r="H47" s="8" t="s">
        <v>10</v>
      </c>
    </row>
    <row r="48" spans="2:8" ht="14.25" customHeight="1" x14ac:dyDescent="0.25">
      <c r="B48" s="14" t="s">
        <v>112</v>
      </c>
      <c r="C48" s="9" t="s">
        <v>113</v>
      </c>
      <c r="D48" s="6" t="s">
        <v>52</v>
      </c>
      <c r="E48" s="6">
        <v>19</v>
      </c>
      <c r="F48" s="8">
        <f t="shared" si="1"/>
        <v>313.5</v>
      </c>
      <c r="G48" s="8">
        <v>120</v>
      </c>
      <c r="H48" s="8" t="s">
        <v>10</v>
      </c>
    </row>
    <row r="49" spans="2:8" ht="14.25" customHeight="1" x14ac:dyDescent="0.25">
      <c r="B49" s="14" t="s">
        <v>114</v>
      </c>
      <c r="C49" s="9" t="s">
        <v>115</v>
      </c>
      <c r="D49" s="6" t="s">
        <v>50</v>
      </c>
      <c r="E49" s="6">
        <v>19</v>
      </c>
      <c r="F49" s="8">
        <f t="shared" si="1"/>
        <v>313.5</v>
      </c>
      <c r="G49" s="8">
        <v>120</v>
      </c>
      <c r="H49" s="8" t="s">
        <v>10</v>
      </c>
    </row>
    <row r="50" spans="2:8" ht="14.25" customHeight="1" x14ac:dyDescent="0.25">
      <c r="B50" s="6" t="s">
        <v>116</v>
      </c>
      <c r="C50" s="9" t="s">
        <v>117</v>
      </c>
      <c r="D50" s="16" t="s">
        <v>23</v>
      </c>
      <c r="E50" s="6">
        <v>19</v>
      </c>
      <c r="F50" s="8">
        <f t="shared" si="1"/>
        <v>313.5</v>
      </c>
      <c r="G50" s="8">
        <v>120</v>
      </c>
      <c r="H50" s="8" t="s">
        <v>10</v>
      </c>
    </row>
    <row r="51" spans="2:8" ht="14.25" customHeight="1" x14ac:dyDescent="0.25">
      <c r="B51" s="14" t="s">
        <v>118</v>
      </c>
      <c r="C51" s="9" t="s">
        <v>119</v>
      </c>
      <c r="D51" s="6" t="s">
        <v>9</v>
      </c>
      <c r="E51" s="6">
        <v>20</v>
      </c>
      <c r="F51" s="8">
        <f t="shared" si="1"/>
        <v>330</v>
      </c>
      <c r="G51" s="8">
        <v>120</v>
      </c>
      <c r="H51" s="8" t="s">
        <v>10</v>
      </c>
    </row>
    <row r="52" spans="2:8" ht="14.25" customHeight="1" x14ac:dyDescent="0.25">
      <c r="B52" s="6" t="s">
        <v>120</v>
      </c>
      <c r="C52" s="9" t="s">
        <v>121</v>
      </c>
      <c r="D52" s="6" t="s">
        <v>52</v>
      </c>
      <c r="E52" s="6">
        <v>19</v>
      </c>
      <c r="F52" s="8">
        <f t="shared" si="1"/>
        <v>313.5</v>
      </c>
      <c r="G52" s="8" t="s">
        <v>10</v>
      </c>
      <c r="H52" s="8">
        <v>99.8</v>
      </c>
    </row>
    <row r="53" spans="2:8" ht="14.25" customHeight="1" x14ac:dyDescent="0.25">
      <c r="B53" s="14" t="s">
        <v>122</v>
      </c>
      <c r="C53" s="9" t="s">
        <v>123</v>
      </c>
      <c r="D53" s="6" t="s">
        <v>50</v>
      </c>
      <c r="E53" s="6">
        <v>19</v>
      </c>
      <c r="F53" s="8">
        <f t="shared" si="1"/>
        <v>313.5</v>
      </c>
      <c r="G53" s="8">
        <v>120</v>
      </c>
      <c r="H53" s="8" t="s">
        <v>10</v>
      </c>
    </row>
    <row r="54" spans="2:8" ht="14.25" customHeight="1" x14ac:dyDescent="0.25">
      <c r="B54" s="14" t="s">
        <v>124</v>
      </c>
      <c r="C54" s="9" t="s">
        <v>125</v>
      </c>
      <c r="D54" s="6" t="s">
        <v>86</v>
      </c>
      <c r="E54" s="6">
        <v>19</v>
      </c>
      <c r="F54" s="8">
        <f t="shared" si="1"/>
        <v>313.5</v>
      </c>
      <c r="G54" s="8">
        <v>120</v>
      </c>
      <c r="H54" s="8" t="s">
        <v>10</v>
      </c>
    </row>
    <row r="55" spans="2:8" ht="14.25" customHeight="1" x14ac:dyDescent="0.25">
      <c r="B55" s="14" t="s">
        <v>126</v>
      </c>
      <c r="C55" s="9" t="s">
        <v>127</v>
      </c>
      <c r="D55" s="6" t="s">
        <v>29</v>
      </c>
      <c r="E55" s="6">
        <v>19</v>
      </c>
      <c r="F55" s="8">
        <f t="shared" si="1"/>
        <v>313.5</v>
      </c>
      <c r="G55" s="8">
        <v>120</v>
      </c>
      <c r="H55" s="8" t="s">
        <v>10</v>
      </c>
    </row>
    <row r="56" spans="2:8" ht="14.25" customHeight="1" x14ac:dyDescent="0.25">
      <c r="B56" s="12">
        <v>4912836443</v>
      </c>
      <c r="C56" s="9" t="s">
        <v>128</v>
      </c>
      <c r="D56" s="6" t="s">
        <v>86</v>
      </c>
      <c r="E56" s="6">
        <v>19</v>
      </c>
      <c r="F56" s="8">
        <f t="shared" si="1"/>
        <v>313.5</v>
      </c>
      <c r="G56" s="8">
        <v>120</v>
      </c>
      <c r="H56" s="8" t="s">
        <v>10</v>
      </c>
    </row>
    <row r="57" spans="2:8" ht="14.25" customHeight="1" x14ac:dyDescent="0.25">
      <c r="B57" s="17" t="s">
        <v>129</v>
      </c>
      <c r="C57" s="13" t="s">
        <v>130</v>
      </c>
      <c r="D57" s="6" t="s">
        <v>16</v>
      </c>
      <c r="E57" s="6">
        <v>19</v>
      </c>
      <c r="F57" s="8">
        <f t="shared" si="1"/>
        <v>313.5</v>
      </c>
      <c r="G57" s="8">
        <v>120</v>
      </c>
      <c r="H57" s="8" t="s">
        <v>10</v>
      </c>
    </row>
    <row r="58" spans="2:8" ht="14.25" customHeight="1" x14ac:dyDescent="0.25">
      <c r="B58" s="14" t="s">
        <v>131</v>
      </c>
      <c r="C58" s="9" t="s">
        <v>132</v>
      </c>
      <c r="D58" s="6" t="s">
        <v>50</v>
      </c>
      <c r="E58" s="6">
        <v>19</v>
      </c>
      <c r="F58" s="8">
        <f t="shared" si="1"/>
        <v>313.5</v>
      </c>
      <c r="G58" s="8">
        <v>120</v>
      </c>
      <c r="H58" s="8" t="s">
        <v>10</v>
      </c>
    </row>
    <row r="59" spans="2:8" ht="14.25" customHeight="1" x14ac:dyDescent="0.25">
      <c r="B59" s="6" t="s">
        <v>133</v>
      </c>
      <c r="C59" s="9" t="s">
        <v>134</v>
      </c>
      <c r="D59" s="6" t="s">
        <v>47</v>
      </c>
      <c r="E59" s="6">
        <v>19</v>
      </c>
      <c r="F59" s="8">
        <f t="shared" si="1"/>
        <v>313.5</v>
      </c>
      <c r="G59" s="8">
        <v>120</v>
      </c>
      <c r="H59" s="8" t="s">
        <v>10</v>
      </c>
    </row>
    <row r="60" spans="2:8" ht="14.25" customHeight="1" x14ac:dyDescent="0.25">
      <c r="B60" s="14" t="s">
        <v>135</v>
      </c>
      <c r="C60" s="9" t="s">
        <v>136</v>
      </c>
      <c r="D60" s="6" t="s">
        <v>9</v>
      </c>
      <c r="E60" s="6">
        <v>22</v>
      </c>
      <c r="F60" s="8">
        <f t="shared" si="1"/>
        <v>363</v>
      </c>
      <c r="G60" s="8">
        <v>120</v>
      </c>
      <c r="H60" s="8" t="s">
        <v>10</v>
      </c>
    </row>
    <row r="61" spans="2:8" ht="14.25" customHeight="1" x14ac:dyDescent="0.25">
      <c r="B61" s="14" t="s">
        <v>137</v>
      </c>
      <c r="C61" s="9" t="s">
        <v>138</v>
      </c>
      <c r="D61" s="6" t="s">
        <v>29</v>
      </c>
      <c r="E61" s="6">
        <v>19</v>
      </c>
      <c r="F61" s="8">
        <f t="shared" si="1"/>
        <v>313.5</v>
      </c>
      <c r="G61" s="8">
        <v>120</v>
      </c>
      <c r="H61" s="8" t="s">
        <v>10</v>
      </c>
    </row>
    <row r="62" spans="2:8" ht="14.25" customHeight="1" x14ac:dyDescent="0.25">
      <c r="B62" s="14" t="s">
        <v>139</v>
      </c>
      <c r="C62" s="9" t="s">
        <v>140</v>
      </c>
      <c r="D62" s="6" t="s">
        <v>29</v>
      </c>
      <c r="E62" s="6">
        <v>19</v>
      </c>
      <c r="F62" s="8">
        <f t="shared" si="1"/>
        <v>313.5</v>
      </c>
      <c r="G62" s="8">
        <v>120</v>
      </c>
      <c r="H62" s="8" t="s">
        <v>10</v>
      </c>
    </row>
    <row r="63" spans="2:8" ht="14.25" customHeight="1" x14ac:dyDescent="0.25">
      <c r="B63" s="6" t="s">
        <v>141</v>
      </c>
      <c r="C63" s="9" t="s">
        <v>142</v>
      </c>
      <c r="D63" s="6" t="s">
        <v>143</v>
      </c>
      <c r="E63" s="6">
        <v>19</v>
      </c>
      <c r="F63" s="8">
        <f t="shared" si="1"/>
        <v>313.5</v>
      </c>
      <c r="G63" s="8">
        <v>120</v>
      </c>
      <c r="H63" s="8" t="s">
        <v>10</v>
      </c>
    </row>
    <row r="64" spans="2:8" ht="14.25" customHeight="1" x14ac:dyDescent="0.25">
      <c r="B64" s="6" t="s">
        <v>144</v>
      </c>
      <c r="C64" s="9" t="s">
        <v>145</v>
      </c>
      <c r="D64" s="6" t="s">
        <v>23</v>
      </c>
      <c r="E64" s="6">
        <v>19</v>
      </c>
      <c r="F64" s="8">
        <f t="shared" si="1"/>
        <v>313.5</v>
      </c>
      <c r="G64" s="8">
        <v>120</v>
      </c>
      <c r="H64" s="8" t="s">
        <v>10</v>
      </c>
    </row>
    <row r="65" spans="2:8" ht="14.25" customHeight="1" x14ac:dyDescent="0.25">
      <c r="B65" s="14" t="s">
        <v>146</v>
      </c>
      <c r="C65" s="9" t="s">
        <v>147</v>
      </c>
      <c r="D65" s="6" t="s">
        <v>52</v>
      </c>
      <c r="E65" s="6">
        <v>19</v>
      </c>
      <c r="F65" s="8">
        <f t="shared" si="1"/>
        <v>313.5</v>
      </c>
      <c r="G65" s="8">
        <v>120</v>
      </c>
      <c r="H65" s="8" t="s">
        <v>10</v>
      </c>
    </row>
    <row r="66" spans="2:8" ht="14.25" customHeight="1" x14ac:dyDescent="0.25">
      <c r="B66" s="14" t="s">
        <v>148</v>
      </c>
      <c r="C66" s="9" t="s">
        <v>149</v>
      </c>
      <c r="D66" s="6" t="s">
        <v>103</v>
      </c>
      <c r="E66" s="6">
        <v>19</v>
      </c>
      <c r="F66" s="8">
        <f t="shared" si="1"/>
        <v>313.5</v>
      </c>
      <c r="G66" s="8">
        <v>120</v>
      </c>
      <c r="H66" s="8" t="s">
        <v>10</v>
      </c>
    </row>
    <row r="67" spans="2:8" ht="14.25" customHeight="1" x14ac:dyDescent="0.25">
      <c r="B67" s="6" t="s">
        <v>150</v>
      </c>
      <c r="C67" s="9" t="s">
        <v>151</v>
      </c>
      <c r="D67" s="6" t="s">
        <v>32</v>
      </c>
      <c r="E67" s="6">
        <v>19</v>
      </c>
      <c r="F67" s="8">
        <f t="shared" si="1"/>
        <v>313.5</v>
      </c>
      <c r="G67" s="8">
        <v>120</v>
      </c>
      <c r="H67" s="8" t="s">
        <v>10</v>
      </c>
    </row>
    <row r="68" spans="2:8" ht="14.25" customHeight="1" x14ac:dyDescent="0.25">
      <c r="B68" s="14" t="s">
        <v>158</v>
      </c>
      <c r="C68" s="9" t="s">
        <v>159</v>
      </c>
      <c r="D68" s="6" t="s">
        <v>29</v>
      </c>
      <c r="E68" s="6" t="s">
        <v>10</v>
      </c>
      <c r="F68" s="8" t="s">
        <v>10</v>
      </c>
      <c r="G68" s="8" t="s">
        <v>10</v>
      </c>
      <c r="H68" s="8" t="s">
        <v>10</v>
      </c>
    </row>
    <row r="69" spans="2:8" ht="14.25" customHeight="1" x14ac:dyDescent="0.25">
      <c r="B69" s="6" t="s">
        <v>152</v>
      </c>
      <c r="C69" s="9" t="s">
        <v>153</v>
      </c>
      <c r="D69" s="6" t="s">
        <v>13</v>
      </c>
      <c r="E69" s="6">
        <v>19</v>
      </c>
      <c r="F69" s="8">
        <f t="shared" ref="F69:F100" si="2">E69*16.5</f>
        <v>313.5</v>
      </c>
      <c r="G69" s="8">
        <v>120</v>
      </c>
      <c r="H69" s="8" t="s">
        <v>10</v>
      </c>
    </row>
    <row r="70" spans="2:8" ht="14.25" customHeight="1" x14ac:dyDescent="0.25">
      <c r="B70" s="14" t="s">
        <v>154</v>
      </c>
      <c r="C70" s="9" t="s">
        <v>155</v>
      </c>
      <c r="D70" s="6" t="s">
        <v>65</v>
      </c>
      <c r="E70" s="6">
        <v>19</v>
      </c>
      <c r="F70" s="8">
        <f t="shared" si="2"/>
        <v>313.5</v>
      </c>
      <c r="G70" s="8">
        <v>120</v>
      </c>
      <c r="H70" s="8" t="s">
        <v>10</v>
      </c>
    </row>
    <row r="71" spans="2:8" ht="14.25" customHeight="1" x14ac:dyDescent="0.25">
      <c r="B71" s="6" t="s">
        <v>156</v>
      </c>
      <c r="C71" s="9" t="s">
        <v>157</v>
      </c>
      <c r="D71" s="6" t="s">
        <v>16</v>
      </c>
      <c r="E71" s="6">
        <v>19</v>
      </c>
      <c r="F71" s="8">
        <f t="shared" si="2"/>
        <v>313.5</v>
      </c>
      <c r="G71" s="8">
        <v>120</v>
      </c>
      <c r="H71" s="8" t="s">
        <v>10</v>
      </c>
    </row>
    <row r="72" spans="2:8" ht="14.25" customHeight="1" x14ac:dyDescent="0.25">
      <c r="B72" s="6" t="s">
        <v>160</v>
      </c>
      <c r="C72" s="9" t="s">
        <v>161</v>
      </c>
      <c r="D72" s="6" t="s">
        <v>9</v>
      </c>
      <c r="E72" s="6">
        <v>21</v>
      </c>
      <c r="F72" s="8">
        <f t="shared" si="2"/>
        <v>346.5</v>
      </c>
      <c r="G72" s="8">
        <v>120</v>
      </c>
      <c r="H72" s="8" t="s">
        <v>10</v>
      </c>
    </row>
    <row r="73" spans="2:8" ht="14.25" customHeight="1" x14ac:dyDescent="0.25">
      <c r="B73" s="14" t="s">
        <v>162</v>
      </c>
      <c r="C73" s="9" t="s">
        <v>163</v>
      </c>
      <c r="D73" s="6" t="s">
        <v>103</v>
      </c>
      <c r="E73" s="6">
        <v>19</v>
      </c>
      <c r="F73" s="8">
        <f t="shared" si="2"/>
        <v>313.5</v>
      </c>
      <c r="G73" s="8" t="s">
        <v>10</v>
      </c>
      <c r="H73" s="8" t="s">
        <v>10</v>
      </c>
    </row>
    <row r="74" spans="2:8" ht="14.25" customHeight="1" x14ac:dyDescent="0.25">
      <c r="B74" s="14" t="s">
        <v>164</v>
      </c>
      <c r="C74" s="9" t="s">
        <v>165</v>
      </c>
      <c r="D74" s="6" t="s">
        <v>29</v>
      </c>
      <c r="E74" s="6">
        <v>8</v>
      </c>
      <c r="F74" s="8">
        <f t="shared" si="2"/>
        <v>132</v>
      </c>
      <c r="G74" s="8">
        <v>50.52</v>
      </c>
      <c r="H74" s="8" t="s">
        <v>10</v>
      </c>
    </row>
    <row r="75" spans="2:8" ht="14.25" customHeight="1" x14ac:dyDescent="0.25">
      <c r="B75" s="6" t="s">
        <v>221</v>
      </c>
      <c r="C75" s="35" t="s">
        <v>222</v>
      </c>
      <c r="D75" s="6" t="s">
        <v>32</v>
      </c>
      <c r="E75" s="6">
        <v>19</v>
      </c>
      <c r="F75" s="8">
        <f t="shared" si="2"/>
        <v>313.5</v>
      </c>
      <c r="G75" s="6" t="s">
        <v>10</v>
      </c>
      <c r="H75" s="8">
        <v>196.45</v>
      </c>
    </row>
    <row r="76" spans="2:8" ht="14.25" customHeight="1" x14ac:dyDescent="0.25">
      <c r="B76" s="14" t="s">
        <v>166</v>
      </c>
      <c r="C76" s="9" t="s">
        <v>167</v>
      </c>
      <c r="D76" s="6" t="s">
        <v>52</v>
      </c>
      <c r="E76" s="6">
        <v>19</v>
      </c>
      <c r="F76" s="8">
        <f t="shared" si="2"/>
        <v>313.5</v>
      </c>
      <c r="G76" s="8" t="s">
        <v>10</v>
      </c>
      <c r="H76" s="8">
        <v>572.35</v>
      </c>
    </row>
    <row r="77" spans="2:8" ht="14.25" customHeight="1" x14ac:dyDescent="0.25">
      <c r="B77" s="20" t="s">
        <v>168</v>
      </c>
      <c r="C77" s="18" t="s">
        <v>169</v>
      </c>
      <c r="D77" s="21" t="s">
        <v>32</v>
      </c>
      <c r="E77" s="6">
        <v>19</v>
      </c>
      <c r="F77" s="22">
        <f t="shared" si="2"/>
        <v>313.5</v>
      </c>
      <c r="G77" s="8">
        <v>120</v>
      </c>
      <c r="H77" s="8" t="s">
        <v>10</v>
      </c>
    </row>
    <row r="78" spans="2:8" ht="14.25" customHeight="1" x14ac:dyDescent="0.25">
      <c r="B78" s="6" t="s">
        <v>170</v>
      </c>
      <c r="C78" s="9" t="s">
        <v>171</v>
      </c>
      <c r="D78" s="6" t="s">
        <v>52</v>
      </c>
      <c r="E78" s="6">
        <v>19</v>
      </c>
      <c r="F78" s="8">
        <f t="shared" si="2"/>
        <v>313.5</v>
      </c>
      <c r="G78" s="8">
        <v>120</v>
      </c>
      <c r="H78" s="8" t="s">
        <v>10</v>
      </c>
    </row>
    <row r="79" spans="2:8" ht="14.25" customHeight="1" x14ac:dyDescent="0.25">
      <c r="B79" s="14" t="s">
        <v>172</v>
      </c>
      <c r="C79" s="9" t="s">
        <v>173</v>
      </c>
      <c r="D79" s="6" t="s">
        <v>174</v>
      </c>
      <c r="E79" s="6">
        <v>19</v>
      </c>
      <c r="F79" s="8">
        <f t="shared" si="2"/>
        <v>313.5</v>
      </c>
      <c r="G79" s="8">
        <v>120</v>
      </c>
      <c r="H79" s="8" t="s">
        <v>10</v>
      </c>
    </row>
    <row r="80" spans="2:8" ht="14.25" customHeight="1" x14ac:dyDescent="0.25">
      <c r="B80" s="14" t="s">
        <v>175</v>
      </c>
      <c r="C80" s="9" t="s">
        <v>176</v>
      </c>
      <c r="D80" s="6" t="s">
        <v>9</v>
      </c>
      <c r="E80" s="6">
        <v>22</v>
      </c>
      <c r="F80" s="8">
        <f t="shared" si="2"/>
        <v>363</v>
      </c>
      <c r="G80" s="8">
        <v>120</v>
      </c>
      <c r="H80" s="8" t="s">
        <v>10</v>
      </c>
    </row>
    <row r="81" spans="2:8" ht="14.25" customHeight="1" x14ac:dyDescent="0.25">
      <c r="B81" s="14" t="s">
        <v>177</v>
      </c>
      <c r="C81" s="9" t="s">
        <v>178</v>
      </c>
      <c r="D81" s="6" t="s">
        <v>9</v>
      </c>
      <c r="E81" s="6">
        <v>21</v>
      </c>
      <c r="F81" s="8">
        <f t="shared" si="2"/>
        <v>346.5</v>
      </c>
      <c r="G81" s="8">
        <v>120</v>
      </c>
      <c r="H81" s="8" t="s">
        <v>10</v>
      </c>
    </row>
    <row r="82" spans="2:8" ht="14.25" customHeight="1" x14ac:dyDescent="0.25">
      <c r="B82" s="36" t="s">
        <v>179</v>
      </c>
      <c r="C82" s="9" t="s">
        <v>180</v>
      </c>
      <c r="D82" s="6" t="s">
        <v>65</v>
      </c>
      <c r="E82" s="6">
        <v>5</v>
      </c>
      <c r="F82" s="8">
        <f t="shared" si="2"/>
        <v>82.5</v>
      </c>
      <c r="G82" s="8">
        <v>31.57</v>
      </c>
      <c r="H82" s="8" t="s">
        <v>10</v>
      </c>
    </row>
    <row r="83" spans="2:8" ht="14.25" customHeight="1" x14ac:dyDescent="0.25">
      <c r="B83" s="36" t="s">
        <v>181</v>
      </c>
      <c r="C83" s="9" t="s">
        <v>182</v>
      </c>
      <c r="D83" s="6" t="s">
        <v>9</v>
      </c>
      <c r="E83" s="6">
        <v>21</v>
      </c>
      <c r="F83" s="8">
        <f t="shared" si="2"/>
        <v>346.5</v>
      </c>
      <c r="G83" s="8" t="s">
        <v>10</v>
      </c>
      <c r="H83" s="8">
        <v>167.85</v>
      </c>
    </row>
    <row r="84" spans="2:8" ht="14.25" customHeight="1" x14ac:dyDescent="0.25">
      <c r="B84" s="6" t="s">
        <v>183</v>
      </c>
      <c r="C84" s="9" t="s">
        <v>184</v>
      </c>
      <c r="D84" s="6" t="s">
        <v>32</v>
      </c>
      <c r="E84" s="6">
        <v>19</v>
      </c>
      <c r="F84" s="8">
        <f t="shared" si="2"/>
        <v>313.5</v>
      </c>
      <c r="G84" s="8">
        <v>120</v>
      </c>
      <c r="H84" s="8" t="s">
        <v>10</v>
      </c>
    </row>
    <row r="85" spans="2:8" ht="14.25" customHeight="1" x14ac:dyDescent="0.25">
      <c r="B85" s="14" t="s">
        <v>185</v>
      </c>
      <c r="C85" s="9" t="s">
        <v>186</v>
      </c>
      <c r="D85" s="6" t="s">
        <v>143</v>
      </c>
      <c r="E85" s="6">
        <v>19</v>
      </c>
      <c r="F85" s="8">
        <f t="shared" si="2"/>
        <v>313.5</v>
      </c>
      <c r="G85" s="8">
        <v>120</v>
      </c>
      <c r="H85" s="8" t="s">
        <v>10</v>
      </c>
    </row>
    <row r="86" spans="2:8" ht="14.25" customHeight="1" x14ac:dyDescent="0.25">
      <c r="B86" s="14" t="s">
        <v>187</v>
      </c>
      <c r="C86" s="9" t="s">
        <v>188</v>
      </c>
      <c r="D86" s="6" t="s">
        <v>29</v>
      </c>
      <c r="E86" s="6">
        <v>19</v>
      </c>
      <c r="F86" s="8">
        <f t="shared" si="2"/>
        <v>313.5</v>
      </c>
      <c r="G86" s="8" t="s">
        <v>10</v>
      </c>
      <c r="H86" s="8" t="s">
        <v>10</v>
      </c>
    </row>
    <row r="87" spans="2:8" ht="14.25" customHeight="1" x14ac:dyDescent="0.25">
      <c r="B87" s="14" t="s">
        <v>189</v>
      </c>
      <c r="C87" s="9" t="s">
        <v>190</v>
      </c>
      <c r="D87" s="6" t="s">
        <v>16</v>
      </c>
      <c r="E87" s="6">
        <v>19</v>
      </c>
      <c r="F87" s="8">
        <f t="shared" si="2"/>
        <v>313.5</v>
      </c>
      <c r="G87" s="8">
        <v>120</v>
      </c>
      <c r="H87" s="8" t="s">
        <v>10</v>
      </c>
    </row>
    <row r="88" spans="2:8" ht="14.25" customHeight="1" x14ac:dyDescent="0.25">
      <c r="B88" s="14" t="s">
        <v>191</v>
      </c>
      <c r="C88" s="9" t="s">
        <v>192</v>
      </c>
      <c r="D88" s="6" t="s">
        <v>47</v>
      </c>
      <c r="E88" s="6">
        <v>19</v>
      </c>
      <c r="F88" s="8">
        <f t="shared" si="2"/>
        <v>313.5</v>
      </c>
      <c r="G88" s="8">
        <v>120</v>
      </c>
      <c r="H88" s="8" t="s">
        <v>10</v>
      </c>
    </row>
    <row r="89" spans="2:8" ht="14.25" customHeight="1" x14ac:dyDescent="0.25">
      <c r="B89" s="14" t="s">
        <v>193</v>
      </c>
      <c r="C89" s="9" t="s">
        <v>194</v>
      </c>
      <c r="D89" s="6" t="s">
        <v>52</v>
      </c>
      <c r="E89" s="6">
        <v>19</v>
      </c>
      <c r="F89" s="8">
        <f t="shared" si="2"/>
        <v>313.5</v>
      </c>
      <c r="G89" s="8" t="s">
        <v>10</v>
      </c>
      <c r="H89" s="8" t="s">
        <v>10</v>
      </c>
    </row>
    <row r="90" spans="2:8" ht="14.25" customHeight="1" x14ac:dyDescent="0.25">
      <c r="B90" s="14" t="s">
        <v>195</v>
      </c>
      <c r="C90" s="9" t="s">
        <v>196</v>
      </c>
      <c r="D90" s="6" t="s">
        <v>9</v>
      </c>
      <c r="E90" s="6">
        <v>9</v>
      </c>
      <c r="F90" s="8">
        <f t="shared" si="2"/>
        <v>148.5</v>
      </c>
      <c r="G90" s="8">
        <v>49.09</v>
      </c>
      <c r="H90" s="8" t="s">
        <v>10</v>
      </c>
    </row>
    <row r="91" spans="2:8" ht="14.25" customHeight="1" x14ac:dyDescent="0.25">
      <c r="B91" s="6" t="s">
        <v>197</v>
      </c>
      <c r="C91" s="9" t="s">
        <v>198</v>
      </c>
      <c r="D91" s="6" t="s">
        <v>52</v>
      </c>
      <c r="E91" s="6">
        <v>19</v>
      </c>
      <c r="F91" s="8">
        <f t="shared" si="2"/>
        <v>313.5</v>
      </c>
      <c r="G91" s="8">
        <v>120</v>
      </c>
      <c r="H91" s="8" t="s">
        <v>10</v>
      </c>
    </row>
    <row r="92" spans="2:8" ht="14.25" customHeight="1" x14ac:dyDescent="0.25">
      <c r="B92" s="6" t="s">
        <v>199</v>
      </c>
      <c r="C92" s="9" t="s">
        <v>200</v>
      </c>
      <c r="D92" s="6" t="s">
        <v>9</v>
      </c>
      <c r="E92" s="6">
        <v>20</v>
      </c>
      <c r="F92" s="8">
        <f t="shared" si="2"/>
        <v>330</v>
      </c>
      <c r="G92" s="8">
        <v>120</v>
      </c>
      <c r="H92" s="8" t="s">
        <v>10</v>
      </c>
    </row>
    <row r="93" spans="2:8" ht="14.25" customHeight="1" x14ac:dyDescent="0.25">
      <c r="B93" s="6" t="s">
        <v>201</v>
      </c>
      <c r="C93" s="9" t="s">
        <v>202</v>
      </c>
      <c r="D93" s="6" t="s">
        <v>9</v>
      </c>
      <c r="E93" s="6">
        <v>20</v>
      </c>
      <c r="F93" s="8">
        <f t="shared" si="2"/>
        <v>330</v>
      </c>
      <c r="G93" s="8" t="s">
        <v>10</v>
      </c>
      <c r="H93" s="8">
        <v>166.15</v>
      </c>
    </row>
    <row r="94" spans="2:8" ht="14.25" customHeight="1" x14ac:dyDescent="0.25">
      <c r="B94" s="14" t="s">
        <v>203</v>
      </c>
      <c r="C94" s="9" t="s">
        <v>204</v>
      </c>
      <c r="D94" s="6" t="s">
        <v>52</v>
      </c>
      <c r="E94" s="6">
        <v>19</v>
      </c>
      <c r="F94" s="8">
        <f t="shared" si="2"/>
        <v>313.5</v>
      </c>
      <c r="G94" s="8">
        <v>120</v>
      </c>
      <c r="H94" s="8" t="s">
        <v>10</v>
      </c>
    </row>
    <row r="95" spans="2:8" ht="14.25" customHeight="1" x14ac:dyDescent="0.25">
      <c r="B95" s="6" t="s">
        <v>205</v>
      </c>
      <c r="C95" s="9" t="s">
        <v>206</v>
      </c>
      <c r="D95" s="6" t="s">
        <v>32</v>
      </c>
      <c r="E95" s="6">
        <v>19</v>
      </c>
      <c r="F95" s="8">
        <f t="shared" si="2"/>
        <v>313.5</v>
      </c>
      <c r="G95" s="8">
        <v>120</v>
      </c>
      <c r="H95" s="8" t="s">
        <v>10</v>
      </c>
    </row>
    <row r="96" spans="2:8" ht="14.25" customHeight="1" x14ac:dyDescent="0.25">
      <c r="B96" s="12" t="s">
        <v>207</v>
      </c>
      <c r="C96" s="13" t="s">
        <v>208</v>
      </c>
      <c r="D96" s="6" t="s">
        <v>23</v>
      </c>
      <c r="E96" s="6">
        <v>19</v>
      </c>
      <c r="F96" s="8">
        <f t="shared" si="2"/>
        <v>313.5</v>
      </c>
      <c r="G96" s="8">
        <v>120</v>
      </c>
      <c r="H96" s="8" t="s">
        <v>10</v>
      </c>
    </row>
    <row r="97" spans="2:8" ht="14.25" customHeight="1" x14ac:dyDescent="0.25">
      <c r="B97" s="14" t="s">
        <v>209</v>
      </c>
      <c r="C97" s="9" t="s">
        <v>210</v>
      </c>
      <c r="D97" s="6" t="s">
        <v>23</v>
      </c>
      <c r="E97" s="6">
        <v>19</v>
      </c>
      <c r="F97" s="8">
        <f t="shared" si="2"/>
        <v>313.5</v>
      </c>
      <c r="G97" s="8">
        <v>120</v>
      </c>
      <c r="H97" s="8" t="s">
        <v>10</v>
      </c>
    </row>
    <row r="98" spans="2:8" ht="14.25" customHeight="1" x14ac:dyDescent="0.25">
      <c r="B98" s="6" t="s">
        <v>211</v>
      </c>
      <c r="C98" s="9" t="s">
        <v>212</v>
      </c>
      <c r="D98" s="6" t="s">
        <v>9</v>
      </c>
      <c r="E98" s="6">
        <v>20</v>
      </c>
      <c r="F98" s="8">
        <f t="shared" si="2"/>
        <v>330</v>
      </c>
      <c r="G98" s="8">
        <v>120</v>
      </c>
      <c r="H98" s="8" t="s">
        <v>10</v>
      </c>
    </row>
    <row r="99" spans="2:8" ht="14.25" customHeight="1" x14ac:dyDescent="0.25">
      <c r="B99" s="14" t="s">
        <v>213</v>
      </c>
      <c r="C99" s="9" t="s">
        <v>214</v>
      </c>
      <c r="D99" s="6" t="s">
        <v>32</v>
      </c>
      <c r="E99" s="6">
        <v>19</v>
      </c>
      <c r="F99" s="8">
        <f t="shared" si="2"/>
        <v>313.5</v>
      </c>
      <c r="G99" s="8">
        <v>120</v>
      </c>
      <c r="H99" s="8" t="s">
        <v>10</v>
      </c>
    </row>
    <row r="100" spans="2:8" ht="14.25" customHeight="1" x14ac:dyDescent="0.25">
      <c r="B100" s="6" t="s">
        <v>215</v>
      </c>
      <c r="C100" s="9" t="s">
        <v>216</v>
      </c>
      <c r="D100" s="16" t="s">
        <v>40</v>
      </c>
      <c r="E100" s="6">
        <v>19</v>
      </c>
      <c r="F100" s="8">
        <f t="shared" si="2"/>
        <v>313.5</v>
      </c>
      <c r="G100" s="8">
        <v>120</v>
      </c>
      <c r="H100" s="8" t="s">
        <v>10</v>
      </c>
    </row>
    <row r="101" spans="2:8" ht="14.25" customHeight="1" x14ac:dyDescent="0.25">
      <c r="B101" s="24"/>
      <c r="C101" s="24"/>
      <c r="D101" s="24"/>
      <c r="E101" s="25" t="s">
        <v>217</v>
      </c>
      <c r="F101" s="26">
        <f t="shared" ref="F101:H101" si="3">SUM(F4:F100)</f>
        <v>29541</v>
      </c>
      <c r="G101" s="26">
        <f t="shared" si="3"/>
        <v>8739.59</v>
      </c>
      <c r="H101" s="26">
        <f t="shared" si="3"/>
        <v>1849.42</v>
      </c>
    </row>
    <row r="102" spans="2:8" ht="14.25" customHeight="1" x14ac:dyDescent="0.25">
      <c r="H102" s="34"/>
    </row>
    <row r="103" spans="2:8" ht="14.25" customHeight="1" x14ac:dyDescent="0.25">
      <c r="H103" s="34"/>
    </row>
    <row r="104" spans="2:8" ht="14.25" customHeight="1" x14ac:dyDescent="0.25">
      <c r="H104" s="34"/>
    </row>
    <row r="105" spans="2:8" ht="14.25" customHeight="1" x14ac:dyDescent="0.25">
      <c r="H105" s="34"/>
    </row>
    <row r="106" spans="2:8" ht="14.25" customHeight="1" x14ac:dyDescent="0.25">
      <c r="H106" s="34"/>
    </row>
    <row r="107" spans="2:8" ht="14.25" customHeight="1" x14ac:dyDescent="0.25">
      <c r="H107" s="34"/>
    </row>
    <row r="108" spans="2:8" ht="14.25" customHeight="1" x14ac:dyDescent="0.25">
      <c r="H108" s="34"/>
    </row>
    <row r="109" spans="2:8" ht="14.25" customHeight="1" x14ac:dyDescent="0.25">
      <c r="H109" s="34"/>
    </row>
    <row r="110" spans="2:8" ht="14.25" customHeight="1" x14ac:dyDescent="0.25">
      <c r="H110" s="34"/>
    </row>
    <row r="111" spans="2:8" ht="14.25" customHeight="1" x14ac:dyDescent="0.25">
      <c r="H111" s="34"/>
    </row>
    <row r="112" spans="2:8" ht="14.25" customHeight="1" x14ac:dyDescent="0.25">
      <c r="H112" s="34"/>
    </row>
    <row r="113" spans="8:8" ht="14.25" customHeight="1" x14ac:dyDescent="0.25">
      <c r="H113" s="34"/>
    </row>
    <row r="114" spans="8:8" ht="14.25" customHeight="1" x14ac:dyDescent="0.25">
      <c r="H114" s="34"/>
    </row>
    <row r="115" spans="8:8" ht="14.25" customHeight="1" x14ac:dyDescent="0.25">
      <c r="H115" s="34"/>
    </row>
    <row r="116" spans="8:8" ht="14.25" customHeight="1" x14ac:dyDescent="0.25">
      <c r="H116" s="34"/>
    </row>
    <row r="117" spans="8:8" ht="14.25" customHeight="1" x14ac:dyDescent="0.25">
      <c r="H117" s="34"/>
    </row>
    <row r="118" spans="8:8" ht="14.25" customHeight="1" x14ac:dyDescent="0.25">
      <c r="H118" s="34"/>
    </row>
    <row r="119" spans="8:8" ht="14.25" customHeight="1" x14ac:dyDescent="0.25">
      <c r="H119" s="34"/>
    </row>
    <row r="120" spans="8:8" ht="14.25" customHeight="1" x14ac:dyDescent="0.25">
      <c r="H120" s="34"/>
    </row>
    <row r="121" spans="8:8" ht="14.25" customHeight="1" x14ac:dyDescent="0.25">
      <c r="H121" s="34"/>
    </row>
    <row r="122" spans="8:8" ht="14.25" customHeight="1" x14ac:dyDescent="0.25">
      <c r="H122" s="34"/>
    </row>
    <row r="123" spans="8:8" ht="14.25" customHeight="1" x14ac:dyDescent="0.25">
      <c r="H123" s="34"/>
    </row>
    <row r="124" spans="8:8" ht="14.25" customHeight="1" x14ac:dyDescent="0.25">
      <c r="H124" s="34"/>
    </row>
    <row r="125" spans="8:8" ht="14.25" customHeight="1" x14ac:dyDescent="0.25">
      <c r="H125" s="34"/>
    </row>
    <row r="126" spans="8:8" ht="14.25" customHeight="1" x14ac:dyDescent="0.25">
      <c r="H126" s="34"/>
    </row>
    <row r="127" spans="8:8" ht="14.25" customHeight="1" x14ac:dyDescent="0.25">
      <c r="H127" s="34"/>
    </row>
    <row r="128" spans="8:8" ht="14.25" customHeight="1" x14ac:dyDescent="0.25">
      <c r="H128" s="34"/>
    </row>
    <row r="129" spans="8:8" ht="14.25" customHeight="1" x14ac:dyDescent="0.25">
      <c r="H129" s="34"/>
    </row>
    <row r="130" spans="8:8" ht="14.25" customHeight="1" x14ac:dyDescent="0.25">
      <c r="H130" s="34"/>
    </row>
    <row r="131" spans="8:8" ht="14.25" customHeight="1" x14ac:dyDescent="0.25">
      <c r="H131" s="34"/>
    </row>
    <row r="132" spans="8:8" ht="14.25" customHeight="1" x14ac:dyDescent="0.25">
      <c r="H132" s="34"/>
    </row>
    <row r="133" spans="8:8" ht="14.25" customHeight="1" x14ac:dyDescent="0.25">
      <c r="H133" s="34"/>
    </row>
    <row r="134" spans="8:8" ht="14.25" customHeight="1" x14ac:dyDescent="0.25">
      <c r="H134" s="34"/>
    </row>
    <row r="135" spans="8:8" ht="14.25" customHeight="1" x14ac:dyDescent="0.25">
      <c r="H135" s="34"/>
    </row>
    <row r="136" spans="8:8" ht="14.25" customHeight="1" x14ac:dyDescent="0.25">
      <c r="H136" s="34"/>
    </row>
    <row r="137" spans="8:8" ht="14.25" customHeight="1" x14ac:dyDescent="0.25">
      <c r="H137" s="34"/>
    </row>
    <row r="138" spans="8:8" ht="14.25" customHeight="1" x14ac:dyDescent="0.25">
      <c r="H138" s="34"/>
    </row>
    <row r="139" spans="8:8" ht="14.25" customHeight="1" x14ac:dyDescent="0.25">
      <c r="H139" s="34"/>
    </row>
    <row r="140" spans="8:8" ht="14.25" customHeight="1" x14ac:dyDescent="0.25">
      <c r="H140" s="34"/>
    </row>
    <row r="141" spans="8:8" ht="14.25" customHeight="1" x14ac:dyDescent="0.25">
      <c r="H141" s="34"/>
    </row>
    <row r="142" spans="8:8" ht="14.25" customHeight="1" x14ac:dyDescent="0.25">
      <c r="H142" s="34"/>
    </row>
    <row r="143" spans="8:8" ht="14.25" customHeight="1" x14ac:dyDescent="0.25">
      <c r="H143" s="34"/>
    </row>
    <row r="144" spans="8:8" ht="14.25" customHeight="1" x14ac:dyDescent="0.25">
      <c r="H144" s="34"/>
    </row>
    <row r="145" spans="8:8" ht="14.25" customHeight="1" x14ac:dyDescent="0.25">
      <c r="H145" s="34"/>
    </row>
    <row r="146" spans="8:8" ht="14.25" customHeight="1" x14ac:dyDescent="0.25">
      <c r="H146" s="34"/>
    </row>
    <row r="147" spans="8:8" ht="14.25" customHeight="1" x14ac:dyDescent="0.25">
      <c r="H147" s="34"/>
    </row>
    <row r="148" spans="8:8" ht="14.25" customHeight="1" x14ac:dyDescent="0.25">
      <c r="H148" s="34"/>
    </row>
    <row r="149" spans="8:8" ht="14.25" customHeight="1" x14ac:dyDescent="0.25">
      <c r="H149" s="34"/>
    </row>
    <row r="150" spans="8:8" ht="14.25" customHeight="1" x14ac:dyDescent="0.25">
      <c r="H150" s="34"/>
    </row>
    <row r="151" spans="8:8" ht="14.25" customHeight="1" x14ac:dyDescent="0.25">
      <c r="H151" s="34"/>
    </row>
    <row r="152" spans="8:8" ht="14.25" customHeight="1" x14ac:dyDescent="0.25">
      <c r="H152" s="34"/>
    </row>
    <row r="153" spans="8:8" ht="14.25" customHeight="1" x14ac:dyDescent="0.25">
      <c r="H153" s="34"/>
    </row>
    <row r="154" spans="8:8" ht="14.25" customHeight="1" x14ac:dyDescent="0.25">
      <c r="H154" s="34"/>
    </row>
    <row r="155" spans="8:8" ht="14.25" customHeight="1" x14ac:dyDescent="0.25">
      <c r="H155" s="34"/>
    </row>
    <row r="156" spans="8:8" ht="14.25" customHeight="1" x14ac:dyDescent="0.25">
      <c r="H156" s="34"/>
    </row>
    <row r="157" spans="8:8" ht="14.25" customHeight="1" x14ac:dyDescent="0.25">
      <c r="H157" s="34"/>
    </row>
    <row r="158" spans="8:8" ht="14.25" customHeight="1" x14ac:dyDescent="0.25">
      <c r="H158" s="34"/>
    </row>
    <row r="159" spans="8:8" ht="14.25" customHeight="1" x14ac:dyDescent="0.25">
      <c r="H159" s="34"/>
    </row>
    <row r="160" spans="8:8" ht="14.25" customHeight="1" x14ac:dyDescent="0.25">
      <c r="H160" s="34"/>
    </row>
    <row r="161" spans="8:8" ht="14.25" customHeight="1" x14ac:dyDescent="0.25">
      <c r="H161" s="34"/>
    </row>
    <row r="162" spans="8:8" ht="14.25" customHeight="1" x14ac:dyDescent="0.25">
      <c r="H162" s="34"/>
    </row>
    <row r="163" spans="8:8" ht="14.25" customHeight="1" x14ac:dyDescent="0.25">
      <c r="H163" s="34"/>
    </row>
    <row r="164" spans="8:8" ht="14.25" customHeight="1" x14ac:dyDescent="0.25">
      <c r="H164" s="34"/>
    </row>
    <row r="165" spans="8:8" ht="14.25" customHeight="1" x14ac:dyDescent="0.25">
      <c r="H165" s="34"/>
    </row>
    <row r="166" spans="8:8" ht="14.25" customHeight="1" x14ac:dyDescent="0.25">
      <c r="H166" s="34"/>
    </row>
    <row r="167" spans="8:8" ht="14.25" customHeight="1" x14ac:dyDescent="0.25">
      <c r="H167" s="34"/>
    </row>
    <row r="168" spans="8:8" ht="14.25" customHeight="1" x14ac:dyDescent="0.25">
      <c r="H168" s="34"/>
    </row>
    <row r="169" spans="8:8" ht="14.25" customHeight="1" x14ac:dyDescent="0.25">
      <c r="H169" s="34"/>
    </row>
    <row r="170" spans="8:8" ht="14.25" customHeight="1" x14ac:dyDescent="0.25">
      <c r="H170" s="34"/>
    </row>
    <row r="171" spans="8:8" ht="14.25" customHeight="1" x14ac:dyDescent="0.25">
      <c r="H171" s="34"/>
    </row>
    <row r="172" spans="8:8" ht="14.25" customHeight="1" x14ac:dyDescent="0.25">
      <c r="H172" s="34"/>
    </row>
    <row r="173" spans="8:8" ht="14.25" customHeight="1" x14ac:dyDescent="0.25">
      <c r="H173" s="34"/>
    </row>
    <row r="174" spans="8:8" ht="14.25" customHeight="1" x14ac:dyDescent="0.25">
      <c r="H174" s="34"/>
    </row>
    <row r="175" spans="8:8" ht="14.25" customHeight="1" x14ac:dyDescent="0.25">
      <c r="H175" s="34"/>
    </row>
    <row r="176" spans="8:8" ht="14.25" customHeight="1" x14ac:dyDescent="0.25">
      <c r="H176" s="34"/>
    </row>
    <row r="177" spans="8:8" ht="14.25" customHeight="1" x14ac:dyDescent="0.25">
      <c r="H177" s="34"/>
    </row>
    <row r="178" spans="8:8" ht="14.25" customHeight="1" x14ac:dyDescent="0.25">
      <c r="H178" s="34"/>
    </row>
    <row r="179" spans="8:8" ht="14.25" customHeight="1" x14ac:dyDescent="0.25">
      <c r="H179" s="34"/>
    </row>
    <row r="180" spans="8:8" ht="14.25" customHeight="1" x14ac:dyDescent="0.25">
      <c r="H180" s="34"/>
    </row>
    <row r="181" spans="8:8" ht="14.25" customHeight="1" x14ac:dyDescent="0.25">
      <c r="H181" s="34"/>
    </row>
    <row r="182" spans="8:8" ht="14.25" customHeight="1" x14ac:dyDescent="0.25">
      <c r="H182" s="34"/>
    </row>
    <row r="183" spans="8:8" ht="14.25" customHeight="1" x14ac:dyDescent="0.25">
      <c r="H183" s="34"/>
    </row>
    <row r="184" spans="8:8" ht="14.25" customHeight="1" x14ac:dyDescent="0.25">
      <c r="H184" s="34"/>
    </row>
    <row r="185" spans="8:8" ht="14.25" customHeight="1" x14ac:dyDescent="0.25">
      <c r="H185" s="34"/>
    </row>
    <row r="186" spans="8:8" ht="14.25" customHeight="1" x14ac:dyDescent="0.25">
      <c r="H186" s="34"/>
    </row>
    <row r="187" spans="8:8" ht="14.25" customHeight="1" x14ac:dyDescent="0.25">
      <c r="H187" s="34"/>
    </row>
    <row r="188" spans="8:8" ht="14.25" customHeight="1" x14ac:dyDescent="0.25">
      <c r="H188" s="34"/>
    </row>
    <row r="189" spans="8:8" ht="14.25" customHeight="1" x14ac:dyDescent="0.25">
      <c r="H189" s="34"/>
    </row>
    <row r="190" spans="8:8" ht="14.25" customHeight="1" x14ac:dyDescent="0.25">
      <c r="H190" s="34"/>
    </row>
    <row r="191" spans="8:8" ht="14.25" customHeight="1" x14ac:dyDescent="0.25">
      <c r="H191" s="34"/>
    </row>
    <row r="192" spans="8:8" ht="14.25" customHeight="1" x14ac:dyDescent="0.25">
      <c r="H192" s="34"/>
    </row>
    <row r="193" spans="8:8" ht="14.25" customHeight="1" x14ac:dyDescent="0.25">
      <c r="H193" s="34"/>
    </row>
    <row r="194" spans="8:8" ht="14.25" customHeight="1" x14ac:dyDescent="0.25">
      <c r="H194" s="34"/>
    </row>
    <row r="195" spans="8:8" ht="14.25" customHeight="1" x14ac:dyDescent="0.25">
      <c r="H195" s="34"/>
    </row>
    <row r="196" spans="8:8" ht="14.25" customHeight="1" x14ac:dyDescent="0.25">
      <c r="H196" s="34"/>
    </row>
    <row r="197" spans="8:8" ht="14.25" customHeight="1" x14ac:dyDescent="0.25">
      <c r="H197" s="34"/>
    </row>
    <row r="198" spans="8:8" ht="14.25" customHeight="1" x14ac:dyDescent="0.25">
      <c r="H198" s="34"/>
    </row>
    <row r="199" spans="8:8" ht="14.25" customHeight="1" x14ac:dyDescent="0.25">
      <c r="H199" s="34"/>
    </row>
    <row r="200" spans="8:8" ht="14.25" customHeight="1" x14ac:dyDescent="0.25">
      <c r="H200" s="34"/>
    </row>
    <row r="201" spans="8:8" ht="14.25" customHeight="1" x14ac:dyDescent="0.25">
      <c r="H201" s="34"/>
    </row>
    <row r="202" spans="8:8" ht="14.25" customHeight="1" x14ac:dyDescent="0.25">
      <c r="H202" s="34"/>
    </row>
    <row r="203" spans="8:8" ht="14.25" customHeight="1" x14ac:dyDescent="0.25">
      <c r="H203" s="34"/>
    </row>
    <row r="204" spans="8:8" ht="14.25" customHeight="1" x14ac:dyDescent="0.25">
      <c r="H204" s="34"/>
    </row>
    <row r="205" spans="8:8" ht="14.25" customHeight="1" x14ac:dyDescent="0.25">
      <c r="H205" s="34"/>
    </row>
    <row r="206" spans="8:8" ht="14.25" customHeight="1" x14ac:dyDescent="0.25">
      <c r="H206" s="34"/>
    </row>
    <row r="207" spans="8:8" ht="14.25" customHeight="1" x14ac:dyDescent="0.25">
      <c r="H207" s="34"/>
    </row>
    <row r="208" spans="8:8" ht="14.25" customHeight="1" x14ac:dyDescent="0.25">
      <c r="H208" s="34"/>
    </row>
    <row r="209" spans="8:8" ht="14.25" customHeight="1" x14ac:dyDescent="0.25">
      <c r="H209" s="34"/>
    </row>
    <row r="210" spans="8:8" ht="14.25" customHeight="1" x14ac:dyDescent="0.25">
      <c r="H210" s="34"/>
    </row>
    <row r="211" spans="8:8" ht="14.25" customHeight="1" x14ac:dyDescent="0.25">
      <c r="H211" s="34"/>
    </row>
    <row r="212" spans="8:8" ht="14.25" customHeight="1" x14ac:dyDescent="0.25">
      <c r="H212" s="34"/>
    </row>
    <row r="213" spans="8:8" ht="14.25" customHeight="1" x14ac:dyDescent="0.25">
      <c r="H213" s="34"/>
    </row>
    <row r="214" spans="8:8" ht="14.25" customHeight="1" x14ac:dyDescent="0.25">
      <c r="H214" s="34"/>
    </row>
    <row r="215" spans="8:8" ht="14.25" customHeight="1" x14ac:dyDescent="0.25">
      <c r="H215" s="34"/>
    </row>
    <row r="216" spans="8:8" ht="14.25" customHeight="1" x14ac:dyDescent="0.25">
      <c r="H216" s="34"/>
    </row>
    <row r="217" spans="8:8" ht="14.25" customHeight="1" x14ac:dyDescent="0.25">
      <c r="H217" s="34"/>
    </row>
    <row r="218" spans="8:8" ht="14.25" customHeight="1" x14ac:dyDescent="0.25">
      <c r="H218" s="34"/>
    </row>
    <row r="219" spans="8:8" ht="14.25" customHeight="1" x14ac:dyDescent="0.25">
      <c r="H219" s="34"/>
    </row>
    <row r="220" spans="8:8" ht="14.25" customHeight="1" x14ac:dyDescent="0.25">
      <c r="H220" s="34"/>
    </row>
    <row r="221" spans="8:8" ht="14.25" customHeight="1" x14ac:dyDescent="0.25">
      <c r="H221" s="34"/>
    </row>
    <row r="222" spans="8:8" ht="14.25" customHeight="1" x14ac:dyDescent="0.25">
      <c r="H222" s="34"/>
    </row>
    <row r="223" spans="8:8" ht="14.25" customHeight="1" x14ac:dyDescent="0.25">
      <c r="H223" s="34"/>
    </row>
    <row r="224" spans="8:8" ht="14.25" customHeight="1" x14ac:dyDescent="0.25">
      <c r="H224" s="34"/>
    </row>
    <row r="225" spans="8:8" ht="14.25" customHeight="1" x14ac:dyDescent="0.25">
      <c r="H225" s="34"/>
    </row>
    <row r="226" spans="8:8" ht="14.25" customHeight="1" x14ac:dyDescent="0.25">
      <c r="H226" s="34"/>
    </row>
    <row r="227" spans="8:8" ht="14.25" customHeight="1" x14ac:dyDescent="0.25">
      <c r="H227" s="34"/>
    </row>
    <row r="228" spans="8:8" ht="14.25" customHeight="1" x14ac:dyDescent="0.25">
      <c r="H228" s="34"/>
    </row>
    <row r="229" spans="8:8" ht="14.25" customHeight="1" x14ac:dyDescent="0.25">
      <c r="H229" s="34"/>
    </row>
    <row r="230" spans="8:8" ht="14.25" customHeight="1" x14ac:dyDescent="0.25">
      <c r="H230" s="34"/>
    </row>
    <row r="231" spans="8:8" ht="14.25" customHeight="1" x14ac:dyDescent="0.25">
      <c r="H231" s="34"/>
    </row>
    <row r="232" spans="8:8" ht="14.25" customHeight="1" x14ac:dyDescent="0.25">
      <c r="H232" s="34"/>
    </row>
    <row r="233" spans="8:8" ht="14.25" customHeight="1" x14ac:dyDescent="0.25">
      <c r="H233" s="34"/>
    </row>
    <row r="234" spans="8:8" ht="14.25" customHeight="1" x14ac:dyDescent="0.25">
      <c r="H234" s="34"/>
    </row>
    <row r="235" spans="8:8" ht="14.25" customHeight="1" x14ac:dyDescent="0.25">
      <c r="H235" s="34"/>
    </row>
    <row r="236" spans="8:8" ht="14.25" customHeight="1" x14ac:dyDescent="0.25">
      <c r="H236" s="34"/>
    </row>
    <row r="237" spans="8:8" ht="14.25" customHeight="1" x14ac:dyDescent="0.25">
      <c r="H237" s="34"/>
    </row>
    <row r="238" spans="8:8" ht="14.25" customHeight="1" x14ac:dyDescent="0.25">
      <c r="H238" s="34"/>
    </row>
    <row r="239" spans="8:8" ht="14.25" customHeight="1" x14ac:dyDescent="0.25">
      <c r="H239" s="34"/>
    </row>
    <row r="240" spans="8:8" ht="14.25" customHeight="1" x14ac:dyDescent="0.25">
      <c r="H240" s="34"/>
    </row>
    <row r="241" spans="8:8" ht="14.25" customHeight="1" x14ac:dyDescent="0.25">
      <c r="H241" s="34"/>
    </row>
    <row r="242" spans="8:8" ht="14.25" customHeight="1" x14ac:dyDescent="0.25">
      <c r="H242" s="34"/>
    </row>
    <row r="243" spans="8:8" ht="14.25" customHeight="1" x14ac:dyDescent="0.25">
      <c r="H243" s="34"/>
    </row>
    <row r="244" spans="8:8" ht="14.25" customHeight="1" x14ac:dyDescent="0.25">
      <c r="H244" s="34"/>
    </row>
    <row r="245" spans="8:8" ht="14.25" customHeight="1" x14ac:dyDescent="0.25">
      <c r="H245" s="34"/>
    </row>
    <row r="246" spans="8:8" ht="14.25" customHeight="1" x14ac:dyDescent="0.25">
      <c r="H246" s="34"/>
    </row>
    <row r="247" spans="8:8" ht="14.25" customHeight="1" x14ac:dyDescent="0.25">
      <c r="H247" s="34"/>
    </row>
    <row r="248" spans="8:8" ht="14.25" customHeight="1" x14ac:dyDescent="0.25">
      <c r="H248" s="34"/>
    </row>
    <row r="249" spans="8:8" ht="14.25" customHeight="1" x14ac:dyDescent="0.25">
      <c r="H249" s="34"/>
    </row>
    <row r="250" spans="8:8" ht="14.25" customHeight="1" x14ac:dyDescent="0.25">
      <c r="H250" s="34"/>
    </row>
    <row r="251" spans="8:8" ht="14.25" customHeight="1" x14ac:dyDescent="0.25">
      <c r="H251" s="34"/>
    </row>
    <row r="252" spans="8:8" ht="14.25" customHeight="1" x14ac:dyDescent="0.25">
      <c r="H252" s="34"/>
    </row>
    <row r="253" spans="8:8" ht="14.25" customHeight="1" x14ac:dyDescent="0.25">
      <c r="H253" s="34"/>
    </row>
    <row r="254" spans="8:8" ht="14.25" customHeight="1" x14ac:dyDescent="0.25">
      <c r="H254" s="34"/>
    </row>
    <row r="255" spans="8:8" ht="14.25" customHeight="1" x14ac:dyDescent="0.25">
      <c r="H255" s="34"/>
    </row>
    <row r="256" spans="8:8" ht="14.25" customHeight="1" x14ac:dyDescent="0.25">
      <c r="H256" s="34"/>
    </row>
    <row r="257" spans="8:8" ht="14.25" customHeight="1" x14ac:dyDescent="0.25">
      <c r="H257" s="34"/>
    </row>
    <row r="258" spans="8:8" ht="14.25" customHeight="1" x14ac:dyDescent="0.25">
      <c r="H258" s="34"/>
    </row>
    <row r="259" spans="8:8" ht="14.25" customHeight="1" x14ac:dyDescent="0.25">
      <c r="H259" s="34"/>
    </row>
    <row r="260" spans="8:8" ht="14.25" customHeight="1" x14ac:dyDescent="0.25">
      <c r="H260" s="34"/>
    </row>
    <row r="261" spans="8:8" ht="14.25" customHeight="1" x14ac:dyDescent="0.25">
      <c r="H261" s="34"/>
    </row>
    <row r="262" spans="8:8" ht="14.25" customHeight="1" x14ac:dyDescent="0.25">
      <c r="H262" s="34"/>
    </row>
    <row r="263" spans="8:8" ht="14.25" customHeight="1" x14ac:dyDescent="0.25">
      <c r="H263" s="34"/>
    </row>
    <row r="264" spans="8:8" ht="14.25" customHeight="1" x14ac:dyDescent="0.25">
      <c r="H264" s="34"/>
    </row>
    <row r="265" spans="8:8" ht="14.25" customHeight="1" x14ac:dyDescent="0.25">
      <c r="H265" s="34"/>
    </row>
    <row r="266" spans="8:8" ht="14.25" customHeight="1" x14ac:dyDescent="0.25">
      <c r="H266" s="34"/>
    </row>
    <row r="267" spans="8:8" ht="14.25" customHeight="1" x14ac:dyDescent="0.25">
      <c r="H267" s="34"/>
    </row>
    <row r="268" spans="8:8" ht="14.25" customHeight="1" x14ac:dyDescent="0.25">
      <c r="H268" s="34"/>
    </row>
    <row r="269" spans="8:8" ht="14.25" customHeight="1" x14ac:dyDescent="0.25">
      <c r="H269" s="34"/>
    </row>
    <row r="270" spans="8:8" ht="14.25" customHeight="1" x14ac:dyDescent="0.25">
      <c r="H270" s="34"/>
    </row>
    <row r="271" spans="8:8" ht="14.25" customHeight="1" x14ac:dyDescent="0.25">
      <c r="H271" s="34"/>
    </row>
    <row r="272" spans="8:8" ht="14.25" customHeight="1" x14ac:dyDescent="0.25">
      <c r="H272" s="34"/>
    </row>
    <row r="273" spans="8:8" ht="14.25" customHeight="1" x14ac:dyDescent="0.25">
      <c r="H273" s="34"/>
    </row>
    <row r="274" spans="8:8" ht="14.25" customHeight="1" x14ac:dyDescent="0.25">
      <c r="H274" s="34"/>
    </row>
    <row r="275" spans="8:8" ht="14.25" customHeight="1" x14ac:dyDescent="0.25">
      <c r="H275" s="34"/>
    </row>
    <row r="276" spans="8:8" ht="14.25" customHeight="1" x14ac:dyDescent="0.25">
      <c r="H276" s="34"/>
    </row>
    <row r="277" spans="8:8" ht="14.25" customHeight="1" x14ac:dyDescent="0.25">
      <c r="H277" s="34"/>
    </row>
    <row r="278" spans="8:8" ht="14.25" customHeight="1" x14ac:dyDescent="0.25">
      <c r="H278" s="34"/>
    </row>
    <row r="279" spans="8:8" ht="14.25" customHeight="1" x14ac:dyDescent="0.25">
      <c r="H279" s="34"/>
    </row>
    <row r="280" spans="8:8" ht="14.25" customHeight="1" x14ac:dyDescent="0.25">
      <c r="H280" s="34"/>
    </row>
    <row r="281" spans="8:8" ht="14.25" customHeight="1" x14ac:dyDescent="0.25">
      <c r="H281" s="34"/>
    </row>
    <row r="282" spans="8:8" ht="14.25" customHeight="1" x14ac:dyDescent="0.25">
      <c r="H282" s="34"/>
    </row>
    <row r="283" spans="8:8" ht="14.25" customHeight="1" x14ac:dyDescent="0.25">
      <c r="H283" s="34"/>
    </row>
    <row r="284" spans="8:8" ht="14.25" customHeight="1" x14ac:dyDescent="0.25">
      <c r="H284" s="34"/>
    </row>
    <row r="285" spans="8:8" ht="14.25" customHeight="1" x14ac:dyDescent="0.25">
      <c r="H285" s="34"/>
    </row>
    <row r="286" spans="8:8" ht="14.25" customHeight="1" x14ac:dyDescent="0.25">
      <c r="H286" s="34"/>
    </row>
    <row r="287" spans="8:8" ht="14.25" customHeight="1" x14ac:dyDescent="0.25">
      <c r="H287" s="34"/>
    </row>
    <row r="288" spans="8:8" ht="14.25" customHeight="1" x14ac:dyDescent="0.25">
      <c r="H288" s="34"/>
    </row>
    <row r="289" spans="8:8" ht="14.25" customHeight="1" x14ac:dyDescent="0.25">
      <c r="H289" s="34"/>
    </row>
    <row r="290" spans="8:8" ht="14.25" customHeight="1" x14ac:dyDescent="0.25">
      <c r="H290" s="34"/>
    </row>
    <row r="291" spans="8:8" ht="14.25" customHeight="1" x14ac:dyDescent="0.25">
      <c r="H291" s="34"/>
    </row>
    <row r="292" spans="8:8" ht="14.25" customHeight="1" x14ac:dyDescent="0.25">
      <c r="H292" s="34"/>
    </row>
    <row r="293" spans="8:8" ht="14.25" customHeight="1" x14ac:dyDescent="0.25">
      <c r="H293" s="34"/>
    </row>
    <row r="294" spans="8:8" ht="14.25" customHeight="1" x14ac:dyDescent="0.25">
      <c r="H294" s="34"/>
    </row>
    <row r="295" spans="8:8" ht="14.25" customHeight="1" x14ac:dyDescent="0.25">
      <c r="H295" s="34"/>
    </row>
    <row r="296" spans="8:8" ht="14.25" customHeight="1" x14ac:dyDescent="0.25">
      <c r="H296" s="34"/>
    </row>
    <row r="297" spans="8:8" ht="14.25" customHeight="1" x14ac:dyDescent="0.25">
      <c r="H297" s="34"/>
    </row>
    <row r="298" spans="8:8" ht="14.25" customHeight="1" x14ac:dyDescent="0.25">
      <c r="H298" s="34"/>
    </row>
    <row r="299" spans="8:8" ht="14.25" customHeight="1" x14ac:dyDescent="0.25">
      <c r="H299" s="34"/>
    </row>
    <row r="300" spans="8:8" ht="14.25" customHeight="1" x14ac:dyDescent="0.25">
      <c r="H300" s="34"/>
    </row>
    <row r="301" spans="8:8" ht="14.25" customHeight="1" x14ac:dyDescent="0.25">
      <c r="H301" s="34"/>
    </row>
    <row r="302" spans="8:8" ht="14.25" customHeight="1" x14ac:dyDescent="0.25">
      <c r="H302" s="34"/>
    </row>
    <row r="303" spans="8:8" ht="14.25" customHeight="1" x14ac:dyDescent="0.25">
      <c r="H303" s="34"/>
    </row>
    <row r="304" spans="8:8" ht="14.25" customHeight="1" x14ac:dyDescent="0.25">
      <c r="H304" s="34"/>
    </row>
    <row r="305" spans="8:8" ht="14.25" customHeight="1" x14ac:dyDescent="0.25">
      <c r="H305" s="34"/>
    </row>
    <row r="306" spans="8:8" ht="14.25" customHeight="1" x14ac:dyDescent="0.25">
      <c r="H306" s="34"/>
    </row>
    <row r="307" spans="8:8" ht="14.25" customHeight="1" x14ac:dyDescent="0.25">
      <c r="H307" s="34"/>
    </row>
    <row r="308" spans="8:8" ht="14.25" customHeight="1" x14ac:dyDescent="0.25">
      <c r="H308" s="34"/>
    </row>
    <row r="309" spans="8:8" ht="14.25" customHeight="1" x14ac:dyDescent="0.25">
      <c r="H309" s="34"/>
    </row>
    <row r="310" spans="8:8" ht="14.25" customHeight="1" x14ac:dyDescent="0.25">
      <c r="H310" s="34"/>
    </row>
    <row r="311" spans="8:8" ht="14.25" customHeight="1" x14ac:dyDescent="0.25">
      <c r="H311" s="34"/>
    </row>
    <row r="312" spans="8:8" ht="14.25" customHeight="1" x14ac:dyDescent="0.25">
      <c r="H312" s="34"/>
    </row>
    <row r="313" spans="8:8" ht="14.25" customHeight="1" x14ac:dyDescent="0.25">
      <c r="H313" s="34"/>
    </row>
    <row r="314" spans="8:8" ht="14.25" customHeight="1" x14ac:dyDescent="0.25">
      <c r="H314" s="34"/>
    </row>
    <row r="315" spans="8:8" ht="14.25" customHeight="1" x14ac:dyDescent="0.25">
      <c r="H315" s="34"/>
    </row>
    <row r="316" spans="8:8" ht="14.25" customHeight="1" x14ac:dyDescent="0.25">
      <c r="H316" s="34"/>
    </row>
    <row r="317" spans="8:8" ht="14.25" customHeight="1" x14ac:dyDescent="0.25">
      <c r="H317" s="34"/>
    </row>
    <row r="318" spans="8:8" ht="14.25" customHeight="1" x14ac:dyDescent="0.25">
      <c r="H318" s="34"/>
    </row>
    <row r="319" spans="8:8" ht="14.25" customHeight="1" x14ac:dyDescent="0.25">
      <c r="H319" s="34"/>
    </row>
    <row r="320" spans="8:8" ht="14.25" customHeight="1" x14ac:dyDescent="0.25">
      <c r="H320" s="34"/>
    </row>
    <row r="321" spans="8:8" ht="14.25" customHeight="1" x14ac:dyDescent="0.25">
      <c r="H321" s="34"/>
    </row>
    <row r="322" spans="8:8" ht="14.25" customHeight="1" x14ac:dyDescent="0.25">
      <c r="H322" s="34"/>
    </row>
    <row r="323" spans="8:8" ht="14.25" customHeight="1" x14ac:dyDescent="0.25">
      <c r="H323" s="34"/>
    </row>
    <row r="324" spans="8:8" ht="14.25" customHeight="1" x14ac:dyDescent="0.25">
      <c r="H324" s="34"/>
    </row>
    <row r="325" spans="8:8" ht="14.25" customHeight="1" x14ac:dyDescent="0.25">
      <c r="H325" s="34"/>
    </row>
    <row r="326" spans="8:8" ht="14.25" customHeight="1" x14ac:dyDescent="0.25">
      <c r="H326" s="34"/>
    </row>
    <row r="327" spans="8:8" ht="14.25" customHeight="1" x14ac:dyDescent="0.25">
      <c r="H327" s="34"/>
    </row>
    <row r="328" spans="8:8" ht="14.25" customHeight="1" x14ac:dyDescent="0.25">
      <c r="H328" s="34"/>
    </row>
    <row r="329" spans="8:8" ht="14.25" customHeight="1" x14ac:dyDescent="0.25">
      <c r="H329" s="34"/>
    </row>
    <row r="330" spans="8:8" ht="14.25" customHeight="1" x14ac:dyDescent="0.25">
      <c r="H330" s="34"/>
    </row>
    <row r="331" spans="8:8" ht="14.25" customHeight="1" x14ac:dyDescent="0.25">
      <c r="H331" s="34"/>
    </row>
    <row r="332" spans="8:8" ht="14.25" customHeight="1" x14ac:dyDescent="0.25">
      <c r="H332" s="34"/>
    </row>
    <row r="333" spans="8:8" ht="14.25" customHeight="1" x14ac:dyDescent="0.25">
      <c r="H333" s="34"/>
    </row>
    <row r="334" spans="8:8" ht="14.25" customHeight="1" x14ac:dyDescent="0.25">
      <c r="H334" s="34"/>
    </row>
    <row r="335" spans="8:8" ht="14.25" customHeight="1" x14ac:dyDescent="0.25">
      <c r="H335" s="34"/>
    </row>
    <row r="336" spans="8:8" ht="14.25" customHeight="1" x14ac:dyDescent="0.25">
      <c r="H336" s="34"/>
    </row>
    <row r="337" spans="8:8" ht="14.25" customHeight="1" x14ac:dyDescent="0.25">
      <c r="H337" s="34"/>
    </row>
    <row r="338" spans="8:8" ht="14.25" customHeight="1" x14ac:dyDescent="0.25">
      <c r="H338" s="34"/>
    </row>
    <row r="339" spans="8:8" ht="14.25" customHeight="1" x14ac:dyDescent="0.25">
      <c r="H339" s="34"/>
    </row>
    <row r="340" spans="8:8" ht="14.25" customHeight="1" x14ac:dyDescent="0.25">
      <c r="H340" s="34"/>
    </row>
    <row r="341" spans="8:8" ht="14.25" customHeight="1" x14ac:dyDescent="0.25">
      <c r="H341" s="34"/>
    </row>
    <row r="342" spans="8:8" ht="14.25" customHeight="1" x14ac:dyDescent="0.25">
      <c r="H342" s="34"/>
    </row>
    <row r="343" spans="8:8" ht="14.25" customHeight="1" x14ac:dyDescent="0.25">
      <c r="H343" s="34"/>
    </row>
    <row r="344" spans="8:8" ht="14.25" customHeight="1" x14ac:dyDescent="0.25">
      <c r="H344" s="34"/>
    </row>
    <row r="345" spans="8:8" ht="14.25" customHeight="1" x14ac:dyDescent="0.25">
      <c r="H345" s="34"/>
    </row>
    <row r="346" spans="8:8" ht="14.25" customHeight="1" x14ac:dyDescent="0.25">
      <c r="H346" s="34"/>
    </row>
    <row r="347" spans="8:8" ht="14.25" customHeight="1" x14ac:dyDescent="0.25">
      <c r="H347" s="34"/>
    </row>
    <row r="348" spans="8:8" ht="14.25" customHeight="1" x14ac:dyDescent="0.25">
      <c r="H348" s="34"/>
    </row>
    <row r="349" spans="8:8" ht="14.25" customHeight="1" x14ac:dyDescent="0.25">
      <c r="H349" s="34"/>
    </row>
    <row r="350" spans="8:8" ht="14.25" customHeight="1" x14ac:dyDescent="0.25">
      <c r="H350" s="34"/>
    </row>
    <row r="351" spans="8:8" ht="14.25" customHeight="1" x14ac:dyDescent="0.25">
      <c r="H351" s="34"/>
    </row>
    <row r="352" spans="8:8" ht="14.25" customHeight="1" x14ac:dyDescent="0.25">
      <c r="H352" s="34"/>
    </row>
    <row r="353" spans="8:8" ht="14.25" customHeight="1" x14ac:dyDescent="0.25">
      <c r="H353" s="34"/>
    </row>
    <row r="354" spans="8:8" ht="14.25" customHeight="1" x14ac:dyDescent="0.25">
      <c r="H354" s="34"/>
    </row>
    <row r="355" spans="8:8" ht="14.25" customHeight="1" x14ac:dyDescent="0.25">
      <c r="H355" s="34"/>
    </row>
    <row r="356" spans="8:8" ht="14.25" customHeight="1" x14ac:dyDescent="0.25">
      <c r="H356" s="34"/>
    </row>
    <row r="357" spans="8:8" ht="14.25" customHeight="1" x14ac:dyDescent="0.25">
      <c r="H357" s="34"/>
    </row>
    <row r="358" spans="8:8" ht="14.25" customHeight="1" x14ac:dyDescent="0.25">
      <c r="H358" s="34"/>
    </row>
    <row r="359" spans="8:8" ht="14.25" customHeight="1" x14ac:dyDescent="0.25">
      <c r="H359" s="34"/>
    </row>
    <row r="360" spans="8:8" ht="14.25" customHeight="1" x14ac:dyDescent="0.25">
      <c r="H360" s="34"/>
    </row>
    <row r="361" spans="8:8" ht="14.25" customHeight="1" x14ac:dyDescent="0.25">
      <c r="H361" s="34"/>
    </row>
    <row r="362" spans="8:8" ht="14.25" customHeight="1" x14ac:dyDescent="0.25">
      <c r="H362" s="34"/>
    </row>
    <row r="363" spans="8:8" ht="14.25" customHeight="1" x14ac:dyDescent="0.25">
      <c r="H363" s="34"/>
    </row>
    <row r="364" spans="8:8" ht="14.25" customHeight="1" x14ac:dyDescent="0.25">
      <c r="H364" s="34"/>
    </row>
    <row r="365" spans="8:8" ht="14.25" customHeight="1" x14ac:dyDescent="0.25">
      <c r="H365" s="34"/>
    </row>
    <row r="366" spans="8:8" ht="14.25" customHeight="1" x14ac:dyDescent="0.25">
      <c r="H366" s="34"/>
    </row>
    <row r="367" spans="8:8" ht="14.25" customHeight="1" x14ac:dyDescent="0.25">
      <c r="H367" s="34"/>
    </row>
    <row r="368" spans="8:8" ht="14.25" customHeight="1" x14ac:dyDescent="0.25">
      <c r="H368" s="34"/>
    </row>
    <row r="369" spans="8:8" ht="14.25" customHeight="1" x14ac:dyDescent="0.25">
      <c r="H369" s="34"/>
    </row>
    <row r="370" spans="8:8" ht="14.25" customHeight="1" x14ac:dyDescent="0.25">
      <c r="H370" s="34"/>
    </row>
    <row r="371" spans="8:8" ht="14.25" customHeight="1" x14ac:dyDescent="0.25">
      <c r="H371" s="34"/>
    </row>
    <row r="372" spans="8:8" ht="14.25" customHeight="1" x14ac:dyDescent="0.25">
      <c r="H372" s="34"/>
    </row>
    <row r="373" spans="8:8" ht="14.25" customHeight="1" x14ac:dyDescent="0.25">
      <c r="H373" s="34"/>
    </row>
    <row r="374" spans="8:8" ht="14.25" customHeight="1" x14ac:dyDescent="0.25">
      <c r="H374" s="34"/>
    </row>
    <row r="375" spans="8:8" ht="14.25" customHeight="1" x14ac:dyDescent="0.25">
      <c r="H375" s="34"/>
    </row>
    <row r="376" spans="8:8" ht="14.25" customHeight="1" x14ac:dyDescent="0.25">
      <c r="H376" s="34"/>
    </row>
    <row r="377" spans="8:8" ht="14.25" customHeight="1" x14ac:dyDescent="0.25">
      <c r="H377" s="34"/>
    </row>
    <row r="378" spans="8:8" ht="14.25" customHeight="1" x14ac:dyDescent="0.25">
      <c r="H378" s="34"/>
    </row>
    <row r="379" spans="8:8" ht="14.25" customHeight="1" x14ac:dyDescent="0.25">
      <c r="H379" s="34"/>
    </row>
    <row r="380" spans="8:8" ht="14.25" customHeight="1" x14ac:dyDescent="0.25">
      <c r="H380" s="34"/>
    </row>
    <row r="381" spans="8:8" ht="14.25" customHeight="1" x14ac:dyDescent="0.25">
      <c r="H381" s="34"/>
    </row>
    <row r="382" spans="8:8" ht="14.25" customHeight="1" x14ac:dyDescent="0.25">
      <c r="H382" s="34"/>
    </row>
    <row r="383" spans="8:8" ht="14.25" customHeight="1" x14ac:dyDescent="0.25">
      <c r="H383" s="34"/>
    </row>
    <row r="384" spans="8:8" ht="14.25" customHeight="1" x14ac:dyDescent="0.25">
      <c r="H384" s="34"/>
    </row>
    <row r="385" spans="8:8" ht="14.25" customHeight="1" x14ac:dyDescent="0.25">
      <c r="H385" s="34"/>
    </row>
    <row r="386" spans="8:8" ht="14.25" customHeight="1" x14ac:dyDescent="0.25">
      <c r="H386" s="34"/>
    </row>
    <row r="387" spans="8:8" ht="14.25" customHeight="1" x14ac:dyDescent="0.25">
      <c r="H387" s="34"/>
    </row>
    <row r="388" spans="8:8" ht="14.25" customHeight="1" x14ac:dyDescent="0.25">
      <c r="H388" s="34"/>
    </row>
    <row r="389" spans="8:8" ht="14.25" customHeight="1" x14ac:dyDescent="0.25">
      <c r="H389" s="34"/>
    </row>
    <row r="390" spans="8:8" ht="14.25" customHeight="1" x14ac:dyDescent="0.25">
      <c r="H390" s="34"/>
    </row>
    <row r="391" spans="8:8" ht="14.25" customHeight="1" x14ac:dyDescent="0.25">
      <c r="H391" s="34"/>
    </row>
    <row r="392" spans="8:8" ht="14.25" customHeight="1" x14ac:dyDescent="0.25">
      <c r="H392" s="34"/>
    </row>
    <row r="393" spans="8:8" ht="14.25" customHeight="1" x14ac:dyDescent="0.25">
      <c r="H393" s="34"/>
    </row>
    <row r="394" spans="8:8" ht="14.25" customHeight="1" x14ac:dyDescent="0.25">
      <c r="H394" s="34"/>
    </row>
    <row r="395" spans="8:8" ht="14.25" customHeight="1" x14ac:dyDescent="0.25">
      <c r="H395" s="34"/>
    </row>
    <row r="396" spans="8:8" ht="14.25" customHeight="1" x14ac:dyDescent="0.25">
      <c r="H396" s="34"/>
    </row>
    <row r="397" spans="8:8" ht="14.25" customHeight="1" x14ac:dyDescent="0.25">
      <c r="H397" s="34"/>
    </row>
    <row r="398" spans="8:8" ht="14.25" customHeight="1" x14ac:dyDescent="0.25">
      <c r="H398" s="34"/>
    </row>
    <row r="399" spans="8:8" ht="14.25" customHeight="1" x14ac:dyDescent="0.25">
      <c r="H399" s="34"/>
    </row>
    <row r="400" spans="8:8" ht="14.25" customHeight="1" x14ac:dyDescent="0.25">
      <c r="H400" s="34"/>
    </row>
    <row r="401" spans="8:8" ht="14.25" customHeight="1" x14ac:dyDescent="0.25">
      <c r="H401" s="34"/>
    </row>
    <row r="402" spans="8:8" ht="14.25" customHeight="1" x14ac:dyDescent="0.25">
      <c r="H402" s="34"/>
    </row>
    <row r="403" spans="8:8" ht="14.25" customHeight="1" x14ac:dyDescent="0.25">
      <c r="H403" s="34"/>
    </row>
    <row r="404" spans="8:8" ht="14.25" customHeight="1" x14ac:dyDescent="0.25">
      <c r="H404" s="34"/>
    </row>
    <row r="405" spans="8:8" ht="14.25" customHeight="1" x14ac:dyDescent="0.25">
      <c r="H405" s="34"/>
    </row>
    <row r="406" spans="8:8" ht="14.25" customHeight="1" x14ac:dyDescent="0.25">
      <c r="H406" s="34"/>
    </row>
    <row r="407" spans="8:8" ht="14.25" customHeight="1" x14ac:dyDescent="0.25">
      <c r="H407" s="34"/>
    </row>
    <row r="408" spans="8:8" ht="14.25" customHeight="1" x14ac:dyDescent="0.25">
      <c r="H408" s="34"/>
    </row>
    <row r="409" spans="8:8" ht="14.25" customHeight="1" x14ac:dyDescent="0.25">
      <c r="H409" s="34"/>
    </row>
    <row r="410" spans="8:8" ht="14.25" customHeight="1" x14ac:dyDescent="0.25">
      <c r="H410" s="34"/>
    </row>
    <row r="411" spans="8:8" ht="14.25" customHeight="1" x14ac:dyDescent="0.25">
      <c r="H411" s="34"/>
    </row>
    <row r="412" spans="8:8" ht="14.25" customHeight="1" x14ac:dyDescent="0.25">
      <c r="H412" s="34"/>
    </row>
    <row r="413" spans="8:8" ht="14.25" customHeight="1" x14ac:dyDescent="0.25">
      <c r="H413" s="34"/>
    </row>
    <row r="414" spans="8:8" ht="14.25" customHeight="1" x14ac:dyDescent="0.25">
      <c r="H414" s="34"/>
    </row>
    <row r="415" spans="8:8" ht="14.25" customHeight="1" x14ac:dyDescent="0.25">
      <c r="H415" s="34"/>
    </row>
    <row r="416" spans="8:8" ht="14.25" customHeight="1" x14ac:dyDescent="0.25">
      <c r="H416" s="34"/>
    </row>
    <row r="417" spans="8:8" ht="14.25" customHeight="1" x14ac:dyDescent="0.25">
      <c r="H417" s="34"/>
    </row>
    <row r="418" spans="8:8" ht="14.25" customHeight="1" x14ac:dyDescent="0.25">
      <c r="H418" s="34"/>
    </row>
    <row r="419" spans="8:8" ht="14.25" customHeight="1" x14ac:dyDescent="0.25">
      <c r="H419" s="34"/>
    </row>
    <row r="420" spans="8:8" ht="14.25" customHeight="1" x14ac:dyDescent="0.25">
      <c r="H420" s="34"/>
    </row>
    <row r="421" spans="8:8" ht="14.25" customHeight="1" x14ac:dyDescent="0.25">
      <c r="H421" s="34"/>
    </row>
    <row r="422" spans="8:8" ht="14.25" customHeight="1" x14ac:dyDescent="0.25">
      <c r="H422" s="34"/>
    </row>
    <row r="423" spans="8:8" ht="14.25" customHeight="1" x14ac:dyDescent="0.25">
      <c r="H423" s="34"/>
    </row>
    <row r="424" spans="8:8" ht="14.25" customHeight="1" x14ac:dyDescent="0.25">
      <c r="H424" s="34"/>
    </row>
    <row r="425" spans="8:8" ht="14.25" customHeight="1" x14ac:dyDescent="0.25">
      <c r="H425" s="34"/>
    </row>
    <row r="426" spans="8:8" ht="14.25" customHeight="1" x14ac:dyDescent="0.25">
      <c r="H426" s="34"/>
    </row>
    <row r="427" spans="8:8" ht="14.25" customHeight="1" x14ac:dyDescent="0.25">
      <c r="H427" s="34"/>
    </row>
    <row r="428" spans="8:8" ht="14.25" customHeight="1" x14ac:dyDescent="0.25">
      <c r="H428" s="34"/>
    </row>
    <row r="429" spans="8:8" ht="14.25" customHeight="1" x14ac:dyDescent="0.25">
      <c r="H429" s="34"/>
    </row>
    <row r="430" spans="8:8" ht="14.25" customHeight="1" x14ac:dyDescent="0.25">
      <c r="H430" s="34"/>
    </row>
    <row r="431" spans="8:8" ht="14.25" customHeight="1" x14ac:dyDescent="0.25">
      <c r="H431" s="34"/>
    </row>
    <row r="432" spans="8:8" ht="14.25" customHeight="1" x14ac:dyDescent="0.25">
      <c r="H432" s="34"/>
    </row>
    <row r="433" spans="8:8" ht="14.25" customHeight="1" x14ac:dyDescent="0.25">
      <c r="H433" s="34"/>
    </row>
    <row r="434" spans="8:8" ht="14.25" customHeight="1" x14ac:dyDescent="0.25">
      <c r="H434" s="34"/>
    </row>
    <row r="435" spans="8:8" ht="14.25" customHeight="1" x14ac:dyDescent="0.25">
      <c r="H435" s="34"/>
    </row>
    <row r="436" spans="8:8" ht="14.25" customHeight="1" x14ac:dyDescent="0.25">
      <c r="H436" s="34"/>
    </row>
    <row r="437" spans="8:8" ht="14.25" customHeight="1" x14ac:dyDescent="0.25">
      <c r="H437" s="34"/>
    </row>
    <row r="438" spans="8:8" ht="14.25" customHeight="1" x14ac:dyDescent="0.25">
      <c r="H438" s="34"/>
    </row>
    <row r="439" spans="8:8" ht="14.25" customHeight="1" x14ac:dyDescent="0.25">
      <c r="H439" s="34"/>
    </row>
    <row r="440" spans="8:8" ht="14.25" customHeight="1" x14ac:dyDescent="0.25">
      <c r="H440" s="34"/>
    </row>
    <row r="441" spans="8:8" ht="14.25" customHeight="1" x14ac:dyDescent="0.25">
      <c r="H441" s="34"/>
    </row>
    <row r="442" spans="8:8" ht="14.25" customHeight="1" x14ac:dyDescent="0.25">
      <c r="H442" s="34"/>
    </row>
    <row r="443" spans="8:8" ht="14.25" customHeight="1" x14ac:dyDescent="0.25">
      <c r="H443" s="34"/>
    </row>
    <row r="444" spans="8:8" ht="14.25" customHeight="1" x14ac:dyDescent="0.25">
      <c r="H444" s="34"/>
    </row>
    <row r="445" spans="8:8" ht="14.25" customHeight="1" x14ac:dyDescent="0.25">
      <c r="H445" s="34"/>
    </row>
    <row r="446" spans="8:8" ht="14.25" customHeight="1" x14ac:dyDescent="0.25">
      <c r="H446" s="34"/>
    </row>
    <row r="447" spans="8:8" ht="14.25" customHeight="1" x14ac:dyDescent="0.25">
      <c r="H447" s="34"/>
    </row>
    <row r="448" spans="8:8" ht="14.25" customHeight="1" x14ac:dyDescent="0.25">
      <c r="H448" s="34"/>
    </row>
    <row r="449" spans="8:8" ht="14.25" customHeight="1" x14ac:dyDescent="0.25">
      <c r="H449" s="34"/>
    </row>
    <row r="450" spans="8:8" ht="14.25" customHeight="1" x14ac:dyDescent="0.25">
      <c r="H450" s="34"/>
    </row>
    <row r="451" spans="8:8" ht="14.25" customHeight="1" x14ac:dyDescent="0.25">
      <c r="H451" s="34"/>
    </row>
    <row r="452" spans="8:8" ht="14.25" customHeight="1" x14ac:dyDescent="0.25">
      <c r="H452" s="34"/>
    </row>
    <row r="453" spans="8:8" ht="14.25" customHeight="1" x14ac:dyDescent="0.25">
      <c r="H453" s="34"/>
    </row>
    <row r="454" spans="8:8" ht="14.25" customHeight="1" x14ac:dyDescent="0.25">
      <c r="H454" s="34"/>
    </row>
    <row r="455" spans="8:8" ht="14.25" customHeight="1" x14ac:dyDescent="0.25">
      <c r="H455" s="34"/>
    </row>
    <row r="456" spans="8:8" ht="14.25" customHeight="1" x14ac:dyDescent="0.25">
      <c r="H456" s="34"/>
    </row>
    <row r="457" spans="8:8" ht="14.25" customHeight="1" x14ac:dyDescent="0.25">
      <c r="H457" s="34"/>
    </row>
    <row r="458" spans="8:8" ht="14.25" customHeight="1" x14ac:dyDescent="0.25">
      <c r="H458" s="34"/>
    </row>
    <row r="459" spans="8:8" ht="14.25" customHeight="1" x14ac:dyDescent="0.25">
      <c r="H459" s="34"/>
    </row>
    <row r="460" spans="8:8" ht="14.25" customHeight="1" x14ac:dyDescent="0.25">
      <c r="H460" s="34"/>
    </row>
    <row r="461" spans="8:8" ht="14.25" customHeight="1" x14ac:dyDescent="0.25">
      <c r="H461" s="34"/>
    </row>
    <row r="462" spans="8:8" ht="14.25" customHeight="1" x14ac:dyDescent="0.25">
      <c r="H462" s="34"/>
    </row>
    <row r="463" spans="8:8" ht="14.25" customHeight="1" x14ac:dyDescent="0.25">
      <c r="H463" s="34"/>
    </row>
    <row r="464" spans="8:8" ht="14.25" customHeight="1" x14ac:dyDescent="0.25">
      <c r="H464" s="34"/>
    </row>
    <row r="465" spans="8:8" ht="14.25" customHeight="1" x14ac:dyDescent="0.25">
      <c r="H465" s="34"/>
    </row>
    <row r="466" spans="8:8" ht="14.25" customHeight="1" x14ac:dyDescent="0.25">
      <c r="H466" s="34"/>
    </row>
    <row r="467" spans="8:8" ht="14.25" customHeight="1" x14ac:dyDescent="0.25">
      <c r="H467" s="34"/>
    </row>
    <row r="468" spans="8:8" ht="14.25" customHeight="1" x14ac:dyDescent="0.25">
      <c r="H468" s="34"/>
    </row>
    <row r="469" spans="8:8" ht="14.25" customHeight="1" x14ac:dyDescent="0.25">
      <c r="H469" s="34"/>
    </row>
    <row r="470" spans="8:8" ht="14.25" customHeight="1" x14ac:dyDescent="0.25">
      <c r="H470" s="34"/>
    </row>
    <row r="471" spans="8:8" ht="14.25" customHeight="1" x14ac:dyDescent="0.25">
      <c r="H471" s="34"/>
    </row>
    <row r="472" spans="8:8" ht="14.25" customHeight="1" x14ac:dyDescent="0.25">
      <c r="H472" s="34"/>
    </row>
    <row r="473" spans="8:8" ht="14.25" customHeight="1" x14ac:dyDescent="0.25">
      <c r="H473" s="34"/>
    </row>
    <row r="474" spans="8:8" ht="14.25" customHeight="1" x14ac:dyDescent="0.25">
      <c r="H474" s="34"/>
    </row>
    <row r="475" spans="8:8" ht="14.25" customHeight="1" x14ac:dyDescent="0.25">
      <c r="H475" s="34"/>
    </row>
    <row r="476" spans="8:8" ht="14.25" customHeight="1" x14ac:dyDescent="0.25">
      <c r="H476" s="34"/>
    </row>
    <row r="477" spans="8:8" ht="14.25" customHeight="1" x14ac:dyDescent="0.25">
      <c r="H477" s="34"/>
    </row>
    <row r="478" spans="8:8" ht="14.25" customHeight="1" x14ac:dyDescent="0.25">
      <c r="H478" s="34"/>
    </row>
    <row r="479" spans="8:8" ht="14.25" customHeight="1" x14ac:dyDescent="0.25">
      <c r="H479" s="34"/>
    </row>
    <row r="480" spans="8:8" ht="14.25" customHeight="1" x14ac:dyDescent="0.25">
      <c r="H480" s="34"/>
    </row>
    <row r="481" spans="8:8" ht="14.25" customHeight="1" x14ac:dyDescent="0.25">
      <c r="H481" s="34"/>
    </row>
    <row r="482" spans="8:8" ht="14.25" customHeight="1" x14ac:dyDescent="0.25">
      <c r="H482" s="34"/>
    </row>
    <row r="483" spans="8:8" ht="14.25" customHeight="1" x14ac:dyDescent="0.25">
      <c r="H483" s="34"/>
    </row>
    <row r="484" spans="8:8" ht="14.25" customHeight="1" x14ac:dyDescent="0.25">
      <c r="H484" s="34"/>
    </row>
    <row r="485" spans="8:8" ht="14.25" customHeight="1" x14ac:dyDescent="0.25">
      <c r="H485" s="34"/>
    </row>
    <row r="486" spans="8:8" ht="14.25" customHeight="1" x14ac:dyDescent="0.25">
      <c r="H486" s="34"/>
    </row>
    <row r="487" spans="8:8" ht="14.25" customHeight="1" x14ac:dyDescent="0.25">
      <c r="H487" s="34"/>
    </row>
    <row r="488" spans="8:8" ht="14.25" customHeight="1" x14ac:dyDescent="0.25">
      <c r="H488" s="34"/>
    </row>
    <row r="489" spans="8:8" ht="14.25" customHeight="1" x14ac:dyDescent="0.25">
      <c r="H489" s="34"/>
    </row>
    <row r="490" spans="8:8" ht="14.25" customHeight="1" x14ac:dyDescent="0.25">
      <c r="H490" s="34"/>
    </row>
    <row r="491" spans="8:8" ht="14.25" customHeight="1" x14ac:dyDescent="0.25">
      <c r="H491" s="34"/>
    </row>
    <row r="492" spans="8:8" ht="14.25" customHeight="1" x14ac:dyDescent="0.25">
      <c r="H492" s="34"/>
    </row>
    <row r="493" spans="8:8" ht="14.25" customHeight="1" x14ac:dyDescent="0.25">
      <c r="H493" s="34"/>
    </row>
    <row r="494" spans="8:8" ht="14.25" customHeight="1" x14ac:dyDescent="0.25">
      <c r="H494" s="34"/>
    </row>
    <row r="495" spans="8:8" ht="14.25" customHeight="1" x14ac:dyDescent="0.25">
      <c r="H495" s="34"/>
    </row>
    <row r="496" spans="8:8" ht="14.25" customHeight="1" x14ac:dyDescent="0.25">
      <c r="H496" s="34"/>
    </row>
    <row r="497" spans="8:8" ht="14.25" customHeight="1" x14ac:dyDescent="0.25">
      <c r="H497" s="34"/>
    </row>
    <row r="498" spans="8:8" ht="14.25" customHeight="1" x14ac:dyDescent="0.25">
      <c r="H498" s="34"/>
    </row>
    <row r="499" spans="8:8" ht="14.25" customHeight="1" x14ac:dyDescent="0.25">
      <c r="H499" s="34"/>
    </row>
    <row r="500" spans="8:8" ht="14.25" customHeight="1" x14ac:dyDescent="0.25">
      <c r="H500" s="34"/>
    </row>
    <row r="501" spans="8:8" ht="14.25" customHeight="1" x14ac:dyDescent="0.25">
      <c r="H501" s="34"/>
    </row>
    <row r="502" spans="8:8" ht="14.25" customHeight="1" x14ac:dyDescent="0.25">
      <c r="H502" s="34"/>
    </row>
    <row r="503" spans="8:8" ht="14.25" customHeight="1" x14ac:dyDescent="0.25">
      <c r="H503" s="34"/>
    </row>
    <row r="504" spans="8:8" ht="14.25" customHeight="1" x14ac:dyDescent="0.25">
      <c r="H504" s="34"/>
    </row>
    <row r="505" spans="8:8" ht="14.25" customHeight="1" x14ac:dyDescent="0.25">
      <c r="H505" s="34"/>
    </row>
    <row r="506" spans="8:8" ht="14.25" customHeight="1" x14ac:dyDescent="0.25">
      <c r="H506" s="34"/>
    </row>
    <row r="507" spans="8:8" ht="14.25" customHeight="1" x14ac:dyDescent="0.25">
      <c r="H507" s="34"/>
    </row>
    <row r="508" spans="8:8" ht="14.25" customHeight="1" x14ac:dyDescent="0.25">
      <c r="H508" s="34"/>
    </row>
    <row r="509" spans="8:8" ht="14.25" customHeight="1" x14ac:dyDescent="0.25">
      <c r="H509" s="34"/>
    </row>
    <row r="510" spans="8:8" ht="14.25" customHeight="1" x14ac:dyDescent="0.25">
      <c r="H510" s="34"/>
    </row>
    <row r="511" spans="8:8" ht="14.25" customHeight="1" x14ac:dyDescent="0.25">
      <c r="H511" s="34"/>
    </row>
    <row r="512" spans="8:8" ht="14.25" customHeight="1" x14ac:dyDescent="0.25">
      <c r="H512" s="34"/>
    </row>
    <row r="513" spans="8:8" ht="14.25" customHeight="1" x14ac:dyDescent="0.25">
      <c r="H513" s="34"/>
    </row>
    <row r="514" spans="8:8" ht="14.25" customHeight="1" x14ac:dyDescent="0.25">
      <c r="H514" s="34"/>
    </row>
    <row r="515" spans="8:8" ht="14.25" customHeight="1" x14ac:dyDescent="0.25">
      <c r="H515" s="34"/>
    </row>
    <row r="516" spans="8:8" ht="14.25" customHeight="1" x14ac:dyDescent="0.25">
      <c r="H516" s="34"/>
    </row>
    <row r="517" spans="8:8" ht="14.25" customHeight="1" x14ac:dyDescent="0.25">
      <c r="H517" s="34"/>
    </row>
    <row r="518" spans="8:8" ht="14.25" customHeight="1" x14ac:dyDescent="0.25">
      <c r="H518" s="34"/>
    </row>
    <row r="519" spans="8:8" ht="14.25" customHeight="1" x14ac:dyDescent="0.25">
      <c r="H519" s="34"/>
    </row>
    <row r="520" spans="8:8" ht="14.25" customHeight="1" x14ac:dyDescent="0.25">
      <c r="H520" s="34"/>
    </row>
    <row r="521" spans="8:8" ht="14.25" customHeight="1" x14ac:dyDescent="0.25">
      <c r="H521" s="34"/>
    </row>
    <row r="522" spans="8:8" ht="14.25" customHeight="1" x14ac:dyDescent="0.25">
      <c r="H522" s="34"/>
    </row>
    <row r="523" spans="8:8" ht="14.25" customHeight="1" x14ac:dyDescent="0.25">
      <c r="H523" s="34"/>
    </row>
    <row r="524" spans="8:8" ht="14.25" customHeight="1" x14ac:dyDescent="0.25">
      <c r="H524" s="34"/>
    </row>
    <row r="525" spans="8:8" ht="14.25" customHeight="1" x14ac:dyDescent="0.25">
      <c r="H525" s="34"/>
    </row>
    <row r="526" spans="8:8" ht="14.25" customHeight="1" x14ac:dyDescent="0.25">
      <c r="H526" s="34"/>
    </row>
    <row r="527" spans="8:8" ht="14.25" customHeight="1" x14ac:dyDescent="0.25">
      <c r="H527" s="34"/>
    </row>
    <row r="528" spans="8:8" ht="14.25" customHeight="1" x14ac:dyDescent="0.25">
      <c r="H528" s="34"/>
    </row>
    <row r="529" spans="8:8" ht="14.25" customHeight="1" x14ac:dyDescent="0.25">
      <c r="H529" s="34"/>
    </row>
    <row r="530" spans="8:8" ht="14.25" customHeight="1" x14ac:dyDescent="0.25">
      <c r="H530" s="34"/>
    </row>
    <row r="531" spans="8:8" ht="14.25" customHeight="1" x14ac:dyDescent="0.25">
      <c r="H531" s="34"/>
    </row>
    <row r="532" spans="8:8" ht="14.25" customHeight="1" x14ac:dyDescent="0.25">
      <c r="H532" s="34"/>
    </row>
    <row r="533" spans="8:8" ht="14.25" customHeight="1" x14ac:dyDescent="0.25">
      <c r="H533" s="34"/>
    </row>
    <row r="534" spans="8:8" ht="14.25" customHeight="1" x14ac:dyDescent="0.25">
      <c r="H534" s="34"/>
    </row>
    <row r="535" spans="8:8" ht="14.25" customHeight="1" x14ac:dyDescent="0.25">
      <c r="H535" s="34"/>
    </row>
    <row r="536" spans="8:8" ht="14.25" customHeight="1" x14ac:dyDescent="0.25">
      <c r="H536" s="34"/>
    </row>
    <row r="537" spans="8:8" ht="14.25" customHeight="1" x14ac:dyDescent="0.25">
      <c r="H537" s="34"/>
    </row>
    <row r="538" spans="8:8" ht="14.25" customHeight="1" x14ac:dyDescent="0.25">
      <c r="H538" s="34"/>
    </row>
    <row r="539" spans="8:8" ht="14.25" customHeight="1" x14ac:dyDescent="0.25">
      <c r="H539" s="34"/>
    </row>
    <row r="540" spans="8:8" ht="14.25" customHeight="1" x14ac:dyDescent="0.25">
      <c r="H540" s="34"/>
    </row>
    <row r="541" spans="8:8" ht="14.25" customHeight="1" x14ac:dyDescent="0.25">
      <c r="H541" s="34"/>
    </row>
    <row r="542" spans="8:8" ht="14.25" customHeight="1" x14ac:dyDescent="0.25">
      <c r="H542" s="34"/>
    </row>
    <row r="543" spans="8:8" ht="14.25" customHeight="1" x14ac:dyDescent="0.25">
      <c r="H543" s="34"/>
    </row>
    <row r="544" spans="8:8" ht="14.25" customHeight="1" x14ac:dyDescent="0.25">
      <c r="H544" s="34"/>
    </row>
    <row r="545" spans="8:8" ht="14.25" customHeight="1" x14ac:dyDescent="0.25">
      <c r="H545" s="34"/>
    </row>
    <row r="546" spans="8:8" ht="14.25" customHeight="1" x14ac:dyDescent="0.25">
      <c r="H546" s="34"/>
    </row>
    <row r="547" spans="8:8" ht="14.25" customHeight="1" x14ac:dyDescent="0.25">
      <c r="H547" s="34"/>
    </row>
    <row r="548" spans="8:8" ht="14.25" customHeight="1" x14ac:dyDescent="0.25">
      <c r="H548" s="34"/>
    </row>
    <row r="549" spans="8:8" ht="14.25" customHeight="1" x14ac:dyDescent="0.25">
      <c r="H549" s="34"/>
    </row>
    <row r="550" spans="8:8" ht="14.25" customHeight="1" x14ac:dyDescent="0.25">
      <c r="H550" s="34"/>
    </row>
    <row r="551" spans="8:8" ht="14.25" customHeight="1" x14ac:dyDescent="0.25">
      <c r="H551" s="34"/>
    </row>
    <row r="552" spans="8:8" ht="14.25" customHeight="1" x14ac:dyDescent="0.25">
      <c r="H552" s="34"/>
    </row>
    <row r="553" spans="8:8" ht="14.25" customHeight="1" x14ac:dyDescent="0.25">
      <c r="H553" s="34"/>
    </row>
    <row r="554" spans="8:8" ht="14.25" customHeight="1" x14ac:dyDescent="0.25">
      <c r="H554" s="34"/>
    </row>
    <row r="555" spans="8:8" ht="14.25" customHeight="1" x14ac:dyDescent="0.25">
      <c r="H555" s="34"/>
    </row>
    <row r="556" spans="8:8" ht="14.25" customHeight="1" x14ac:dyDescent="0.25">
      <c r="H556" s="34"/>
    </row>
    <row r="557" spans="8:8" ht="14.25" customHeight="1" x14ac:dyDescent="0.25">
      <c r="H557" s="34"/>
    </row>
    <row r="558" spans="8:8" ht="14.25" customHeight="1" x14ac:dyDescent="0.25">
      <c r="H558" s="34"/>
    </row>
    <row r="559" spans="8:8" ht="14.25" customHeight="1" x14ac:dyDescent="0.25">
      <c r="H559" s="34"/>
    </row>
    <row r="560" spans="8:8" ht="14.25" customHeight="1" x14ac:dyDescent="0.25">
      <c r="H560" s="34"/>
    </row>
    <row r="561" spans="8:8" ht="14.25" customHeight="1" x14ac:dyDescent="0.25">
      <c r="H561" s="34"/>
    </row>
    <row r="562" spans="8:8" ht="14.25" customHeight="1" x14ac:dyDescent="0.25">
      <c r="H562" s="34"/>
    </row>
    <row r="563" spans="8:8" ht="14.25" customHeight="1" x14ac:dyDescent="0.25">
      <c r="H563" s="34"/>
    </row>
    <row r="564" spans="8:8" ht="14.25" customHeight="1" x14ac:dyDescent="0.25">
      <c r="H564" s="34"/>
    </row>
    <row r="565" spans="8:8" ht="14.25" customHeight="1" x14ac:dyDescent="0.25">
      <c r="H565" s="34"/>
    </row>
    <row r="566" spans="8:8" ht="14.25" customHeight="1" x14ac:dyDescent="0.25">
      <c r="H566" s="34"/>
    </row>
    <row r="567" spans="8:8" ht="14.25" customHeight="1" x14ac:dyDescent="0.25">
      <c r="H567" s="34"/>
    </row>
    <row r="568" spans="8:8" ht="14.25" customHeight="1" x14ac:dyDescent="0.25">
      <c r="H568" s="34"/>
    </row>
    <row r="569" spans="8:8" ht="14.25" customHeight="1" x14ac:dyDescent="0.25">
      <c r="H569" s="34"/>
    </row>
    <row r="570" spans="8:8" ht="14.25" customHeight="1" x14ac:dyDescent="0.25">
      <c r="H570" s="34"/>
    </row>
    <row r="571" spans="8:8" ht="14.25" customHeight="1" x14ac:dyDescent="0.25">
      <c r="H571" s="34"/>
    </row>
    <row r="572" spans="8:8" ht="14.25" customHeight="1" x14ac:dyDescent="0.25">
      <c r="H572" s="34"/>
    </row>
    <row r="573" spans="8:8" ht="14.25" customHeight="1" x14ac:dyDescent="0.25">
      <c r="H573" s="34"/>
    </row>
    <row r="574" spans="8:8" ht="14.25" customHeight="1" x14ac:dyDescent="0.25">
      <c r="H574" s="34"/>
    </row>
    <row r="575" spans="8:8" ht="14.25" customHeight="1" x14ac:dyDescent="0.25">
      <c r="H575" s="34"/>
    </row>
    <row r="576" spans="8:8" ht="14.25" customHeight="1" x14ac:dyDescent="0.25">
      <c r="H576" s="34"/>
    </row>
    <row r="577" spans="8:8" ht="14.25" customHeight="1" x14ac:dyDescent="0.25">
      <c r="H577" s="34"/>
    </row>
    <row r="578" spans="8:8" ht="14.25" customHeight="1" x14ac:dyDescent="0.25">
      <c r="H578" s="34"/>
    </row>
    <row r="579" spans="8:8" ht="14.25" customHeight="1" x14ac:dyDescent="0.25">
      <c r="H579" s="34"/>
    </row>
    <row r="580" spans="8:8" ht="14.25" customHeight="1" x14ac:dyDescent="0.25">
      <c r="H580" s="34"/>
    </row>
    <row r="581" spans="8:8" ht="14.25" customHeight="1" x14ac:dyDescent="0.25">
      <c r="H581" s="34"/>
    </row>
    <row r="582" spans="8:8" ht="14.25" customHeight="1" x14ac:dyDescent="0.25">
      <c r="H582" s="34"/>
    </row>
    <row r="583" spans="8:8" ht="14.25" customHeight="1" x14ac:dyDescent="0.25">
      <c r="H583" s="34"/>
    </row>
    <row r="584" spans="8:8" ht="14.25" customHeight="1" x14ac:dyDescent="0.25">
      <c r="H584" s="34"/>
    </row>
    <row r="585" spans="8:8" ht="14.25" customHeight="1" x14ac:dyDescent="0.25">
      <c r="H585" s="34"/>
    </row>
    <row r="586" spans="8:8" ht="14.25" customHeight="1" x14ac:dyDescent="0.25">
      <c r="H586" s="34"/>
    </row>
    <row r="587" spans="8:8" ht="14.25" customHeight="1" x14ac:dyDescent="0.25">
      <c r="H587" s="34"/>
    </row>
    <row r="588" spans="8:8" ht="14.25" customHeight="1" x14ac:dyDescent="0.25">
      <c r="H588" s="34"/>
    </row>
    <row r="589" spans="8:8" ht="14.25" customHeight="1" x14ac:dyDescent="0.25">
      <c r="H589" s="34"/>
    </row>
    <row r="590" spans="8:8" ht="14.25" customHeight="1" x14ac:dyDescent="0.25">
      <c r="H590" s="34"/>
    </row>
    <row r="591" spans="8:8" ht="14.25" customHeight="1" x14ac:dyDescent="0.25">
      <c r="H591" s="34"/>
    </row>
    <row r="592" spans="8:8" ht="14.25" customHeight="1" x14ac:dyDescent="0.25">
      <c r="H592" s="34"/>
    </row>
    <row r="593" spans="8:8" ht="14.25" customHeight="1" x14ac:dyDescent="0.25">
      <c r="H593" s="34"/>
    </row>
    <row r="594" spans="8:8" ht="14.25" customHeight="1" x14ac:dyDescent="0.25">
      <c r="H594" s="34"/>
    </row>
    <row r="595" spans="8:8" ht="14.25" customHeight="1" x14ac:dyDescent="0.25">
      <c r="H595" s="34"/>
    </row>
    <row r="596" spans="8:8" ht="14.25" customHeight="1" x14ac:dyDescent="0.25">
      <c r="H596" s="34"/>
    </row>
    <row r="597" spans="8:8" ht="14.25" customHeight="1" x14ac:dyDescent="0.25">
      <c r="H597" s="34"/>
    </row>
    <row r="598" spans="8:8" ht="14.25" customHeight="1" x14ac:dyDescent="0.25">
      <c r="H598" s="34"/>
    </row>
    <row r="599" spans="8:8" ht="14.25" customHeight="1" x14ac:dyDescent="0.25">
      <c r="H599" s="34"/>
    </row>
    <row r="600" spans="8:8" ht="14.25" customHeight="1" x14ac:dyDescent="0.25">
      <c r="H600" s="34"/>
    </row>
    <row r="601" spans="8:8" ht="14.25" customHeight="1" x14ac:dyDescent="0.25">
      <c r="H601" s="34"/>
    </row>
    <row r="602" spans="8:8" ht="14.25" customHeight="1" x14ac:dyDescent="0.25">
      <c r="H602" s="34"/>
    </row>
    <row r="603" spans="8:8" ht="14.25" customHeight="1" x14ac:dyDescent="0.25">
      <c r="H603" s="34"/>
    </row>
    <row r="604" spans="8:8" ht="14.25" customHeight="1" x14ac:dyDescent="0.25">
      <c r="H604" s="34"/>
    </row>
    <row r="605" spans="8:8" ht="14.25" customHeight="1" x14ac:dyDescent="0.25">
      <c r="H605" s="34"/>
    </row>
    <row r="606" spans="8:8" ht="14.25" customHeight="1" x14ac:dyDescent="0.25">
      <c r="H606" s="34"/>
    </row>
    <row r="607" spans="8:8" ht="14.25" customHeight="1" x14ac:dyDescent="0.25">
      <c r="H607" s="34"/>
    </row>
    <row r="608" spans="8:8" ht="14.25" customHeight="1" x14ac:dyDescent="0.25">
      <c r="H608" s="34"/>
    </row>
    <row r="609" spans="8:8" ht="14.25" customHeight="1" x14ac:dyDescent="0.25">
      <c r="H609" s="34"/>
    </row>
    <row r="610" spans="8:8" ht="14.25" customHeight="1" x14ac:dyDescent="0.25">
      <c r="H610" s="34"/>
    </row>
    <row r="611" spans="8:8" ht="14.25" customHeight="1" x14ac:dyDescent="0.25">
      <c r="H611" s="34"/>
    </row>
    <row r="612" spans="8:8" ht="14.25" customHeight="1" x14ac:dyDescent="0.25">
      <c r="H612" s="34"/>
    </row>
    <row r="613" spans="8:8" ht="14.25" customHeight="1" x14ac:dyDescent="0.25">
      <c r="H613" s="34"/>
    </row>
    <row r="614" spans="8:8" ht="14.25" customHeight="1" x14ac:dyDescent="0.25">
      <c r="H614" s="34"/>
    </row>
    <row r="615" spans="8:8" ht="14.25" customHeight="1" x14ac:dyDescent="0.25">
      <c r="H615" s="34"/>
    </row>
    <row r="616" spans="8:8" ht="14.25" customHeight="1" x14ac:dyDescent="0.25">
      <c r="H616" s="34"/>
    </row>
    <row r="617" spans="8:8" ht="14.25" customHeight="1" x14ac:dyDescent="0.25">
      <c r="H617" s="34"/>
    </row>
    <row r="618" spans="8:8" ht="14.25" customHeight="1" x14ac:dyDescent="0.25">
      <c r="H618" s="34"/>
    </row>
    <row r="619" spans="8:8" ht="14.25" customHeight="1" x14ac:dyDescent="0.25">
      <c r="H619" s="34"/>
    </row>
    <row r="620" spans="8:8" ht="14.25" customHeight="1" x14ac:dyDescent="0.25">
      <c r="H620" s="34"/>
    </row>
    <row r="621" spans="8:8" ht="14.25" customHeight="1" x14ac:dyDescent="0.25">
      <c r="H621" s="34"/>
    </row>
    <row r="622" spans="8:8" ht="14.25" customHeight="1" x14ac:dyDescent="0.25">
      <c r="H622" s="34"/>
    </row>
    <row r="623" spans="8:8" ht="14.25" customHeight="1" x14ac:dyDescent="0.25">
      <c r="H623" s="34"/>
    </row>
    <row r="624" spans="8:8" ht="14.25" customHeight="1" x14ac:dyDescent="0.25">
      <c r="H624" s="34"/>
    </row>
    <row r="625" spans="8:8" ht="14.25" customHeight="1" x14ac:dyDescent="0.25">
      <c r="H625" s="34"/>
    </row>
    <row r="626" spans="8:8" ht="14.25" customHeight="1" x14ac:dyDescent="0.25">
      <c r="H626" s="34"/>
    </row>
    <row r="627" spans="8:8" ht="14.25" customHeight="1" x14ac:dyDescent="0.25">
      <c r="H627" s="34"/>
    </row>
    <row r="628" spans="8:8" ht="14.25" customHeight="1" x14ac:dyDescent="0.25">
      <c r="H628" s="34"/>
    </row>
    <row r="629" spans="8:8" ht="14.25" customHeight="1" x14ac:dyDescent="0.25">
      <c r="H629" s="34"/>
    </row>
    <row r="630" spans="8:8" ht="14.25" customHeight="1" x14ac:dyDescent="0.25">
      <c r="H630" s="34"/>
    </row>
    <row r="631" spans="8:8" ht="14.25" customHeight="1" x14ac:dyDescent="0.25">
      <c r="H631" s="34"/>
    </row>
    <row r="632" spans="8:8" ht="14.25" customHeight="1" x14ac:dyDescent="0.25">
      <c r="H632" s="34"/>
    </row>
    <row r="633" spans="8:8" ht="14.25" customHeight="1" x14ac:dyDescent="0.25">
      <c r="H633" s="34"/>
    </row>
    <row r="634" spans="8:8" ht="14.25" customHeight="1" x14ac:dyDescent="0.25">
      <c r="H634" s="34"/>
    </row>
    <row r="635" spans="8:8" ht="14.25" customHeight="1" x14ac:dyDescent="0.25">
      <c r="H635" s="34"/>
    </row>
    <row r="636" spans="8:8" ht="14.25" customHeight="1" x14ac:dyDescent="0.25">
      <c r="H636" s="34"/>
    </row>
    <row r="637" spans="8:8" ht="14.25" customHeight="1" x14ac:dyDescent="0.25">
      <c r="H637" s="34"/>
    </row>
    <row r="638" spans="8:8" ht="14.25" customHeight="1" x14ac:dyDescent="0.25">
      <c r="H638" s="34"/>
    </row>
    <row r="639" spans="8:8" ht="14.25" customHeight="1" x14ac:dyDescent="0.25">
      <c r="H639" s="34"/>
    </row>
    <row r="640" spans="8:8" ht="14.25" customHeight="1" x14ac:dyDescent="0.25">
      <c r="H640" s="34"/>
    </row>
    <row r="641" spans="8:8" ht="14.25" customHeight="1" x14ac:dyDescent="0.25">
      <c r="H641" s="34"/>
    </row>
    <row r="642" spans="8:8" ht="14.25" customHeight="1" x14ac:dyDescent="0.25">
      <c r="H642" s="34"/>
    </row>
    <row r="643" spans="8:8" ht="14.25" customHeight="1" x14ac:dyDescent="0.25">
      <c r="H643" s="34"/>
    </row>
    <row r="644" spans="8:8" ht="14.25" customHeight="1" x14ac:dyDescent="0.25">
      <c r="H644" s="34"/>
    </row>
    <row r="645" spans="8:8" ht="14.25" customHeight="1" x14ac:dyDescent="0.25">
      <c r="H645" s="34"/>
    </row>
    <row r="646" spans="8:8" ht="14.25" customHeight="1" x14ac:dyDescent="0.25">
      <c r="H646" s="34"/>
    </row>
    <row r="647" spans="8:8" ht="14.25" customHeight="1" x14ac:dyDescent="0.25">
      <c r="H647" s="34"/>
    </row>
    <row r="648" spans="8:8" ht="14.25" customHeight="1" x14ac:dyDescent="0.25">
      <c r="H648" s="34"/>
    </row>
    <row r="649" spans="8:8" ht="14.25" customHeight="1" x14ac:dyDescent="0.25">
      <c r="H649" s="34"/>
    </row>
    <row r="650" spans="8:8" ht="14.25" customHeight="1" x14ac:dyDescent="0.25">
      <c r="H650" s="34"/>
    </row>
    <row r="651" spans="8:8" ht="14.25" customHeight="1" x14ac:dyDescent="0.25">
      <c r="H651" s="34"/>
    </row>
    <row r="652" spans="8:8" ht="14.25" customHeight="1" x14ac:dyDescent="0.25">
      <c r="H652" s="34"/>
    </row>
    <row r="653" spans="8:8" ht="14.25" customHeight="1" x14ac:dyDescent="0.25">
      <c r="H653" s="34"/>
    </row>
    <row r="654" spans="8:8" ht="14.25" customHeight="1" x14ac:dyDescent="0.25">
      <c r="H654" s="34"/>
    </row>
    <row r="655" spans="8:8" ht="14.25" customHeight="1" x14ac:dyDescent="0.25">
      <c r="H655" s="34"/>
    </row>
    <row r="656" spans="8:8" ht="14.25" customHeight="1" x14ac:dyDescent="0.25">
      <c r="H656" s="34"/>
    </row>
    <row r="657" spans="8:8" ht="14.25" customHeight="1" x14ac:dyDescent="0.25">
      <c r="H657" s="34"/>
    </row>
    <row r="658" spans="8:8" ht="14.25" customHeight="1" x14ac:dyDescent="0.25">
      <c r="H658" s="34"/>
    </row>
    <row r="659" spans="8:8" ht="14.25" customHeight="1" x14ac:dyDescent="0.25">
      <c r="H659" s="34"/>
    </row>
    <row r="660" spans="8:8" ht="14.25" customHeight="1" x14ac:dyDescent="0.25">
      <c r="H660" s="34"/>
    </row>
    <row r="661" spans="8:8" ht="14.25" customHeight="1" x14ac:dyDescent="0.25">
      <c r="H661" s="34"/>
    </row>
    <row r="662" spans="8:8" ht="14.25" customHeight="1" x14ac:dyDescent="0.25">
      <c r="H662" s="34"/>
    </row>
    <row r="663" spans="8:8" ht="14.25" customHeight="1" x14ac:dyDescent="0.25">
      <c r="H663" s="34"/>
    </row>
    <row r="664" spans="8:8" ht="14.25" customHeight="1" x14ac:dyDescent="0.25">
      <c r="H664" s="34"/>
    </row>
    <row r="665" spans="8:8" ht="14.25" customHeight="1" x14ac:dyDescent="0.25">
      <c r="H665" s="34"/>
    </row>
    <row r="666" spans="8:8" ht="14.25" customHeight="1" x14ac:dyDescent="0.25">
      <c r="H666" s="34"/>
    </row>
    <row r="667" spans="8:8" ht="14.25" customHeight="1" x14ac:dyDescent="0.25">
      <c r="H667" s="34"/>
    </row>
    <row r="668" spans="8:8" ht="14.25" customHeight="1" x14ac:dyDescent="0.25">
      <c r="H668" s="34"/>
    </row>
    <row r="669" spans="8:8" ht="14.25" customHeight="1" x14ac:dyDescent="0.25">
      <c r="H669" s="34"/>
    </row>
    <row r="670" spans="8:8" ht="14.25" customHeight="1" x14ac:dyDescent="0.25">
      <c r="H670" s="34"/>
    </row>
    <row r="671" spans="8:8" ht="14.25" customHeight="1" x14ac:dyDescent="0.25">
      <c r="H671" s="34"/>
    </row>
    <row r="672" spans="8:8" ht="14.25" customHeight="1" x14ac:dyDescent="0.25">
      <c r="H672" s="34"/>
    </row>
    <row r="673" spans="8:8" ht="14.25" customHeight="1" x14ac:dyDescent="0.25">
      <c r="H673" s="34"/>
    </row>
    <row r="674" spans="8:8" ht="14.25" customHeight="1" x14ac:dyDescent="0.25">
      <c r="H674" s="34"/>
    </row>
    <row r="675" spans="8:8" ht="14.25" customHeight="1" x14ac:dyDescent="0.25">
      <c r="H675" s="34"/>
    </row>
    <row r="676" spans="8:8" ht="14.25" customHeight="1" x14ac:dyDescent="0.25">
      <c r="H676" s="34"/>
    </row>
    <row r="677" spans="8:8" ht="14.25" customHeight="1" x14ac:dyDescent="0.25">
      <c r="H677" s="34"/>
    </row>
    <row r="678" spans="8:8" ht="14.25" customHeight="1" x14ac:dyDescent="0.25">
      <c r="H678" s="34"/>
    </row>
    <row r="679" spans="8:8" ht="14.25" customHeight="1" x14ac:dyDescent="0.25">
      <c r="H679" s="34"/>
    </row>
    <row r="680" spans="8:8" ht="14.25" customHeight="1" x14ac:dyDescent="0.25">
      <c r="H680" s="34"/>
    </row>
    <row r="681" spans="8:8" ht="14.25" customHeight="1" x14ac:dyDescent="0.25">
      <c r="H681" s="34"/>
    </row>
    <row r="682" spans="8:8" ht="14.25" customHeight="1" x14ac:dyDescent="0.25">
      <c r="H682" s="34"/>
    </row>
    <row r="683" spans="8:8" ht="14.25" customHeight="1" x14ac:dyDescent="0.25">
      <c r="H683" s="34"/>
    </row>
    <row r="684" spans="8:8" ht="14.25" customHeight="1" x14ac:dyDescent="0.25">
      <c r="H684" s="34"/>
    </row>
    <row r="685" spans="8:8" ht="14.25" customHeight="1" x14ac:dyDescent="0.25">
      <c r="H685" s="34"/>
    </row>
    <row r="686" spans="8:8" ht="14.25" customHeight="1" x14ac:dyDescent="0.25">
      <c r="H686" s="34"/>
    </row>
    <row r="687" spans="8:8" ht="14.25" customHeight="1" x14ac:dyDescent="0.25">
      <c r="H687" s="34"/>
    </row>
    <row r="688" spans="8:8" ht="14.25" customHeight="1" x14ac:dyDescent="0.25">
      <c r="H688" s="34"/>
    </row>
    <row r="689" spans="8:8" ht="14.25" customHeight="1" x14ac:dyDescent="0.25">
      <c r="H689" s="34"/>
    </row>
    <row r="690" spans="8:8" ht="14.25" customHeight="1" x14ac:dyDescent="0.25">
      <c r="H690" s="34"/>
    </row>
    <row r="691" spans="8:8" ht="14.25" customHeight="1" x14ac:dyDescent="0.25">
      <c r="H691" s="34"/>
    </row>
    <row r="692" spans="8:8" ht="14.25" customHeight="1" x14ac:dyDescent="0.25">
      <c r="H692" s="34"/>
    </row>
    <row r="693" spans="8:8" ht="14.25" customHeight="1" x14ac:dyDescent="0.25">
      <c r="H693" s="34"/>
    </row>
    <row r="694" spans="8:8" ht="14.25" customHeight="1" x14ac:dyDescent="0.25">
      <c r="H694" s="34"/>
    </row>
    <row r="695" spans="8:8" ht="14.25" customHeight="1" x14ac:dyDescent="0.25">
      <c r="H695" s="34"/>
    </row>
    <row r="696" spans="8:8" ht="14.25" customHeight="1" x14ac:dyDescent="0.25">
      <c r="H696" s="34"/>
    </row>
    <row r="697" spans="8:8" ht="14.25" customHeight="1" x14ac:dyDescent="0.25">
      <c r="H697" s="34"/>
    </row>
    <row r="698" spans="8:8" ht="14.25" customHeight="1" x14ac:dyDescent="0.25">
      <c r="H698" s="34"/>
    </row>
    <row r="699" spans="8:8" ht="14.25" customHeight="1" x14ac:dyDescent="0.25">
      <c r="H699" s="34"/>
    </row>
    <row r="700" spans="8:8" ht="14.25" customHeight="1" x14ac:dyDescent="0.25">
      <c r="H700" s="34"/>
    </row>
    <row r="701" spans="8:8" ht="14.25" customHeight="1" x14ac:dyDescent="0.25">
      <c r="H701" s="34"/>
    </row>
    <row r="702" spans="8:8" ht="14.25" customHeight="1" x14ac:dyDescent="0.25">
      <c r="H702" s="34"/>
    </row>
    <row r="703" spans="8:8" ht="14.25" customHeight="1" x14ac:dyDescent="0.25">
      <c r="H703" s="34"/>
    </row>
    <row r="704" spans="8:8" ht="14.25" customHeight="1" x14ac:dyDescent="0.25">
      <c r="H704" s="34"/>
    </row>
    <row r="705" spans="8:8" ht="14.25" customHeight="1" x14ac:dyDescent="0.25">
      <c r="H705" s="34"/>
    </row>
    <row r="706" spans="8:8" ht="14.25" customHeight="1" x14ac:dyDescent="0.25">
      <c r="H706" s="34"/>
    </row>
    <row r="707" spans="8:8" ht="14.25" customHeight="1" x14ac:dyDescent="0.25">
      <c r="H707" s="34"/>
    </row>
    <row r="708" spans="8:8" ht="14.25" customHeight="1" x14ac:dyDescent="0.25">
      <c r="H708" s="34"/>
    </row>
    <row r="709" spans="8:8" ht="14.25" customHeight="1" x14ac:dyDescent="0.25">
      <c r="H709" s="34"/>
    </row>
    <row r="710" spans="8:8" ht="14.25" customHeight="1" x14ac:dyDescent="0.25">
      <c r="H710" s="34"/>
    </row>
    <row r="711" spans="8:8" ht="14.25" customHeight="1" x14ac:dyDescent="0.25">
      <c r="H711" s="34"/>
    </row>
    <row r="712" spans="8:8" ht="14.25" customHeight="1" x14ac:dyDescent="0.25">
      <c r="H712" s="34"/>
    </row>
    <row r="713" spans="8:8" ht="14.25" customHeight="1" x14ac:dyDescent="0.25">
      <c r="H713" s="34"/>
    </row>
    <row r="714" spans="8:8" ht="14.25" customHeight="1" x14ac:dyDescent="0.25">
      <c r="H714" s="34"/>
    </row>
    <row r="715" spans="8:8" ht="14.25" customHeight="1" x14ac:dyDescent="0.25">
      <c r="H715" s="34"/>
    </row>
    <row r="716" spans="8:8" ht="14.25" customHeight="1" x14ac:dyDescent="0.25">
      <c r="H716" s="34"/>
    </row>
    <row r="717" spans="8:8" ht="14.25" customHeight="1" x14ac:dyDescent="0.25">
      <c r="H717" s="34"/>
    </row>
    <row r="718" spans="8:8" ht="14.25" customHeight="1" x14ac:dyDescent="0.25">
      <c r="H718" s="34"/>
    </row>
    <row r="719" spans="8:8" ht="14.25" customHeight="1" x14ac:dyDescent="0.25">
      <c r="H719" s="34"/>
    </row>
    <row r="720" spans="8:8" ht="14.25" customHeight="1" x14ac:dyDescent="0.25">
      <c r="H720" s="34"/>
    </row>
    <row r="721" spans="8:8" ht="14.25" customHeight="1" x14ac:dyDescent="0.25">
      <c r="H721" s="34"/>
    </row>
    <row r="722" spans="8:8" ht="14.25" customHeight="1" x14ac:dyDescent="0.25">
      <c r="H722" s="34"/>
    </row>
    <row r="723" spans="8:8" ht="14.25" customHeight="1" x14ac:dyDescent="0.25">
      <c r="H723" s="34"/>
    </row>
    <row r="724" spans="8:8" ht="14.25" customHeight="1" x14ac:dyDescent="0.25">
      <c r="H724" s="34"/>
    </row>
    <row r="725" spans="8:8" ht="14.25" customHeight="1" x14ac:dyDescent="0.25">
      <c r="H725" s="34"/>
    </row>
    <row r="726" spans="8:8" ht="14.25" customHeight="1" x14ac:dyDescent="0.25">
      <c r="H726" s="34"/>
    </row>
    <row r="727" spans="8:8" ht="14.25" customHeight="1" x14ac:dyDescent="0.25">
      <c r="H727" s="34"/>
    </row>
    <row r="728" spans="8:8" ht="14.25" customHeight="1" x14ac:dyDescent="0.25">
      <c r="H728" s="34"/>
    </row>
    <row r="729" spans="8:8" ht="14.25" customHeight="1" x14ac:dyDescent="0.25">
      <c r="H729" s="34"/>
    </row>
    <row r="730" spans="8:8" ht="14.25" customHeight="1" x14ac:dyDescent="0.25">
      <c r="H730" s="34"/>
    </row>
    <row r="731" spans="8:8" ht="14.25" customHeight="1" x14ac:dyDescent="0.25">
      <c r="H731" s="34"/>
    </row>
    <row r="732" spans="8:8" ht="14.25" customHeight="1" x14ac:dyDescent="0.25">
      <c r="H732" s="34"/>
    </row>
    <row r="733" spans="8:8" ht="14.25" customHeight="1" x14ac:dyDescent="0.25">
      <c r="H733" s="34"/>
    </row>
    <row r="734" spans="8:8" ht="14.25" customHeight="1" x14ac:dyDescent="0.25">
      <c r="H734" s="34"/>
    </row>
    <row r="735" spans="8:8" ht="14.25" customHeight="1" x14ac:dyDescent="0.25">
      <c r="H735" s="34"/>
    </row>
    <row r="736" spans="8:8" ht="14.25" customHeight="1" x14ac:dyDescent="0.25">
      <c r="H736" s="34"/>
    </row>
    <row r="737" spans="8:8" ht="14.25" customHeight="1" x14ac:dyDescent="0.25">
      <c r="H737" s="34"/>
    </row>
    <row r="738" spans="8:8" ht="14.25" customHeight="1" x14ac:dyDescent="0.25">
      <c r="H738" s="34"/>
    </row>
    <row r="739" spans="8:8" ht="14.25" customHeight="1" x14ac:dyDescent="0.25">
      <c r="H739" s="34"/>
    </row>
    <row r="740" spans="8:8" ht="14.25" customHeight="1" x14ac:dyDescent="0.25">
      <c r="H740" s="34"/>
    </row>
    <row r="741" spans="8:8" ht="14.25" customHeight="1" x14ac:dyDescent="0.25">
      <c r="H741" s="34"/>
    </row>
    <row r="742" spans="8:8" ht="14.25" customHeight="1" x14ac:dyDescent="0.25">
      <c r="H742" s="34"/>
    </row>
    <row r="743" spans="8:8" ht="14.25" customHeight="1" x14ac:dyDescent="0.25">
      <c r="H743" s="34"/>
    </row>
    <row r="744" spans="8:8" ht="14.25" customHeight="1" x14ac:dyDescent="0.25">
      <c r="H744" s="34"/>
    </row>
    <row r="745" spans="8:8" ht="14.25" customHeight="1" x14ac:dyDescent="0.25">
      <c r="H745" s="34"/>
    </row>
    <row r="746" spans="8:8" ht="14.25" customHeight="1" x14ac:dyDescent="0.25">
      <c r="H746" s="34"/>
    </row>
    <row r="747" spans="8:8" ht="14.25" customHeight="1" x14ac:dyDescent="0.25">
      <c r="H747" s="34"/>
    </row>
    <row r="748" spans="8:8" ht="14.25" customHeight="1" x14ac:dyDescent="0.25">
      <c r="H748" s="34"/>
    </row>
    <row r="749" spans="8:8" ht="14.25" customHeight="1" x14ac:dyDescent="0.25">
      <c r="H749" s="34"/>
    </row>
    <row r="750" spans="8:8" ht="14.25" customHeight="1" x14ac:dyDescent="0.25">
      <c r="H750" s="34"/>
    </row>
    <row r="751" spans="8:8" ht="14.25" customHeight="1" x14ac:dyDescent="0.25">
      <c r="H751" s="34"/>
    </row>
    <row r="752" spans="8:8" ht="14.25" customHeight="1" x14ac:dyDescent="0.25">
      <c r="H752" s="34"/>
    </row>
    <row r="753" spans="8:8" ht="14.25" customHeight="1" x14ac:dyDescent="0.25">
      <c r="H753" s="34"/>
    </row>
    <row r="754" spans="8:8" ht="14.25" customHeight="1" x14ac:dyDescent="0.25">
      <c r="H754" s="34"/>
    </row>
    <row r="755" spans="8:8" ht="14.25" customHeight="1" x14ac:dyDescent="0.25">
      <c r="H755" s="34"/>
    </row>
    <row r="756" spans="8:8" ht="14.25" customHeight="1" x14ac:dyDescent="0.25">
      <c r="H756" s="34"/>
    </row>
    <row r="757" spans="8:8" ht="14.25" customHeight="1" x14ac:dyDescent="0.25">
      <c r="H757" s="34"/>
    </row>
    <row r="758" spans="8:8" ht="14.25" customHeight="1" x14ac:dyDescent="0.25">
      <c r="H758" s="34"/>
    </row>
    <row r="759" spans="8:8" ht="14.25" customHeight="1" x14ac:dyDescent="0.25">
      <c r="H759" s="34"/>
    </row>
    <row r="760" spans="8:8" ht="14.25" customHeight="1" x14ac:dyDescent="0.25">
      <c r="H760" s="34"/>
    </row>
    <row r="761" spans="8:8" ht="14.25" customHeight="1" x14ac:dyDescent="0.25">
      <c r="H761" s="34"/>
    </row>
    <row r="762" spans="8:8" ht="14.25" customHeight="1" x14ac:dyDescent="0.25">
      <c r="H762" s="34"/>
    </row>
    <row r="763" spans="8:8" ht="14.25" customHeight="1" x14ac:dyDescent="0.25">
      <c r="H763" s="34"/>
    </row>
    <row r="764" spans="8:8" ht="14.25" customHeight="1" x14ac:dyDescent="0.25">
      <c r="H764" s="34"/>
    </row>
    <row r="765" spans="8:8" ht="14.25" customHeight="1" x14ac:dyDescent="0.25">
      <c r="H765" s="34"/>
    </row>
    <row r="766" spans="8:8" ht="14.25" customHeight="1" x14ac:dyDescent="0.25">
      <c r="H766" s="34"/>
    </row>
    <row r="767" spans="8:8" ht="14.25" customHeight="1" x14ac:dyDescent="0.25">
      <c r="H767" s="34"/>
    </row>
    <row r="768" spans="8:8" ht="14.25" customHeight="1" x14ac:dyDescent="0.25">
      <c r="H768" s="34"/>
    </row>
    <row r="769" spans="8:8" ht="14.25" customHeight="1" x14ac:dyDescent="0.25">
      <c r="H769" s="34"/>
    </row>
    <row r="770" spans="8:8" ht="14.25" customHeight="1" x14ac:dyDescent="0.25">
      <c r="H770" s="34"/>
    </row>
    <row r="771" spans="8:8" ht="14.25" customHeight="1" x14ac:dyDescent="0.25">
      <c r="H771" s="34"/>
    </row>
    <row r="772" spans="8:8" ht="14.25" customHeight="1" x14ac:dyDescent="0.25">
      <c r="H772" s="34"/>
    </row>
    <row r="773" spans="8:8" ht="14.25" customHeight="1" x14ac:dyDescent="0.25">
      <c r="H773" s="34"/>
    </row>
    <row r="774" spans="8:8" ht="14.25" customHeight="1" x14ac:dyDescent="0.25">
      <c r="H774" s="34"/>
    </row>
    <row r="775" spans="8:8" ht="14.25" customHeight="1" x14ac:dyDescent="0.25">
      <c r="H775" s="34"/>
    </row>
    <row r="776" spans="8:8" ht="14.25" customHeight="1" x14ac:dyDescent="0.25">
      <c r="H776" s="34"/>
    </row>
    <row r="777" spans="8:8" ht="14.25" customHeight="1" x14ac:dyDescent="0.25">
      <c r="H777" s="34"/>
    </row>
    <row r="778" spans="8:8" ht="14.25" customHeight="1" x14ac:dyDescent="0.25">
      <c r="H778" s="34"/>
    </row>
    <row r="779" spans="8:8" ht="14.25" customHeight="1" x14ac:dyDescent="0.25">
      <c r="H779" s="34"/>
    </row>
    <row r="780" spans="8:8" ht="14.25" customHeight="1" x14ac:dyDescent="0.25">
      <c r="H780" s="34"/>
    </row>
    <row r="781" spans="8:8" ht="14.25" customHeight="1" x14ac:dyDescent="0.25">
      <c r="H781" s="34"/>
    </row>
    <row r="782" spans="8:8" ht="14.25" customHeight="1" x14ac:dyDescent="0.25">
      <c r="H782" s="34"/>
    </row>
    <row r="783" spans="8:8" ht="14.25" customHeight="1" x14ac:dyDescent="0.25">
      <c r="H783" s="34"/>
    </row>
    <row r="784" spans="8:8" ht="14.25" customHeight="1" x14ac:dyDescent="0.25">
      <c r="H784" s="34"/>
    </row>
    <row r="785" spans="8:8" ht="14.25" customHeight="1" x14ac:dyDescent="0.25">
      <c r="H785" s="34"/>
    </row>
    <row r="786" spans="8:8" ht="14.25" customHeight="1" x14ac:dyDescent="0.25">
      <c r="H786" s="34"/>
    </row>
    <row r="787" spans="8:8" ht="14.25" customHeight="1" x14ac:dyDescent="0.25">
      <c r="H787" s="34"/>
    </row>
    <row r="788" spans="8:8" ht="14.25" customHeight="1" x14ac:dyDescent="0.25">
      <c r="H788" s="34"/>
    </row>
    <row r="789" spans="8:8" ht="14.25" customHeight="1" x14ac:dyDescent="0.25">
      <c r="H789" s="34"/>
    </row>
    <row r="790" spans="8:8" ht="14.25" customHeight="1" x14ac:dyDescent="0.25">
      <c r="H790" s="34"/>
    </row>
    <row r="791" spans="8:8" ht="14.25" customHeight="1" x14ac:dyDescent="0.25">
      <c r="H791" s="34"/>
    </row>
    <row r="792" spans="8:8" ht="14.25" customHeight="1" x14ac:dyDescent="0.25">
      <c r="H792" s="34"/>
    </row>
    <row r="793" spans="8:8" ht="14.25" customHeight="1" x14ac:dyDescent="0.25">
      <c r="H793" s="34"/>
    </row>
    <row r="794" spans="8:8" ht="14.25" customHeight="1" x14ac:dyDescent="0.25">
      <c r="H794" s="34"/>
    </row>
    <row r="795" spans="8:8" ht="14.25" customHeight="1" x14ac:dyDescent="0.25">
      <c r="H795" s="34"/>
    </row>
    <row r="796" spans="8:8" ht="14.25" customHeight="1" x14ac:dyDescent="0.25">
      <c r="H796" s="34"/>
    </row>
    <row r="797" spans="8:8" ht="14.25" customHeight="1" x14ac:dyDescent="0.25">
      <c r="H797" s="34"/>
    </row>
    <row r="798" spans="8:8" ht="14.25" customHeight="1" x14ac:dyDescent="0.25">
      <c r="H798" s="34"/>
    </row>
    <row r="799" spans="8:8" ht="14.25" customHeight="1" x14ac:dyDescent="0.25">
      <c r="H799" s="34"/>
    </row>
    <row r="800" spans="8:8" ht="14.25" customHeight="1" x14ac:dyDescent="0.25">
      <c r="H800" s="34"/>
    </row>
    <row r="801" spans="8:8" ht="14.25" customHeight="1" x14ac:dyDescent="0.25">
      <c r="H801" s="34"/>
    </row>
    <row r="802" spans="8:8" ht="14.25" customHeight="1" x14ac:dyDescent="0.25">
      <c r="H802" s="34"/>
    </row>
    <row r="803" spans="8:8" ht="14.25" customHeight="1" x14ac:dyDescent="0.25">
      <c r="H803" s="34"/>
    </row>
    <row r="804" spans="8:8" ht="14.25" customHeight="1" x14ac:dyDescent="0.25">
      <c r="H804" s="34"/>
    </row>
    <row r="805" spans="8:8" ht="14.25" customHeight="1" x14ac:dyDescent="0.25">
      <c r="H805" s="34"/>
    </row>
    <row r="806" spans="8:8" ht="14.25" customHeight="1" x14ac:dyDescent="0.25">
      <c r="H806" s="34"/>
    </row>
    <row r="807" spans="8:8" ht="14.25" customHeight="1" x14ac:dyDescent="0.25">
      <c r="H807" s="34"/>
    </row>
    <row r="808" spans="8:8" ht="14.25" customHeight="1" x14ac:dyDescent="0.25">
      <c r="H808" s="34"/>
    </row>
    <row r="809" spans="8:8" ht="14.25" customHeight="1" x14ac:dyDescent="0.25">
      <c r="H809" s="34"/>
    </row>
    <row r="810" spans="8:8" ht="14.25" customHeight="1" x14ac:dyDescent="0.25">
      <c r="H810" s="34"/>
    </row>
    <row r="811" spans="8:8" ht="14.25" customHeight="1" x14ac:dyDescent="0.25">
      <c r="H811" s="34"/>
    </row>
    <row r="812" spans="8:8" ht="14.25" customHeight="1" x14ac:dyDescent="0.25">
      <c r="H812" s="34"/>
    </row>
    <row r="813" spans="8:8" ht="14.25" customHeight="1" x14ac:dyDescent="0.25">
      <c r="H813" s="34"/>
    </row>
    <row r="814" spans="8:8" ht="14.25" customHeight="1" x14ac:dyDescent="0.25">
      <c r="H814" s="34"/>
    </row>
    <row r="815" spans="8:8" ht="14.25" customHeight="1" x14ac:dyDescent="0.25">
      <c r="H815" s="34"/>
    </row>
    <row r="816" spans="8:8" ht="14.25" customHeight="1" x14ac:dyDescent="0.25">
      <c r="H816" s="34"/>
    </row>
    <row r="817" spans="8:8" ht="14.25" customHeight="1" x14ac:dyDescent="0.25">
      <c r="H817" s="34"/>
    </row>
    <row r="818" spans="8:8" ht="14.25" customHeight="1" x14ac:dyDescent="0.25">
      <c r="H818" s="34"/>
    </row>
    <row r="819" spans="8:8" ht="14.25" customHeight="1" x14ac:dyDescent="0.25">
      <c r="H819" s="34"/>
    </row>
    <row r="820" spans="8:8" ht="14.25" customHeight="1" x14ac:dyDescent="0.25">
      <c r="H820" s="34"/>
    </row>
    <row r="821" spans="8:8" ht="14.25" customHeight="1" x14ac:dyDescent="0.25">
      <c r="H821" s="34"/>
    </row>
    <row r="822" spans="8:8" ht="14.25" customHeight="1" x14ac:dyDescent="0.25">
      <c r="H822" s="34"/>
    </row>
    <row r="823" spans="8:8" ht="14.25" customHeight="1" x14ac:dyDescent="0.25">
      <c r="H823" s="34"/>
    </row>
    <row r="824" spans="8:8" ht="14.25" customHeight="1" x14ac:dyDescent="0.25">
      <c r="H824" s="34"/>
    </row>
    <row r="825" spans="8:8" ht="14.25" customHeight="1" x14ac:dyDescent="0.25">
      <c r="H825" s="34"/>
    </row>
    <row r="826" spans="8:8" ht="14.25" customHeight="1" x14ac:dyDescent="0.25">
      <c r="H826" s="34"/>
    </row>
    <row r="827" spans="8:8" ht="14.25" customHeight="1" x14ac:dyDescent="0.25">
      <c r="H827" s="34"/>
    </row>
    <row r="828" spans="8:8" ht="14.25" customHeight="1" x14ac:dyDescent="0.25">
      <c r="H828" s="34"/>
    </row>
    <row r="829" spans="8:8" ht="14.25" customHeight="1" x14ac:dyDescent="0.25">
      <c r="H829" s="34"/>
    </row>
    <row r="830" spans="8:8" ht="14.25" customHeight="1" x14ac:dyDescent="0.25">
      <c r="H830" s="34"/>
    </row>
    <row r="831" spans="8:8" ht="14.25" customHeight="1" x14ac:dyDescent="0.25">
      <c r="H831" s="34"/>
    </row>
    <row r="832" spans="8:8" ht="14.25" customHeight="1" x14ac:dyDescent="0.25">
      <c r="H832" s="34"/>
    </row>
    <row r="833" spans="8:8" ht="14.25" customHeight="1" x14ac:dyDescent="0.25">
      <c r="H833" s="34"/>
    </row>
    <row r="834" spans="8:8" ht="14.25" customHeight="1" x14ac:dyDescent="0.25">
      <c r="H834" s="34"/>
    </row>
    <row r="835" spans="8:8" ht="14.25" customHeight="1" x14ac:dyDescent="0.25">
      <c r="H835" s="34"/>
    </row>
    <row r="836" spans="8:8" ht="14.25" customHeight="1" x14ac:dyDescent="0.25">
      <c r="H836" s="34"/>
    </row>
    <row r="837" spans="8:8" ht="14.25" customHeight="1" x14ac:dyDescent="0.25">
      <c r="H837" s="34"/>
    </row>
    <row r="838" spans="8:8" ht="14.25" customHeight="1" x14ac:dyDescent="0.25">
      <c r="H838" s="34"/>
    </row>
    <row r="839" spans="8:8" ht="14.25" customHeight="1" x14ac:dyDescent="0.25">
      <c r="H839" s="34"/>
    </row>
    <row r="840" spans="8:8" ht="14.25" customHeight="1" x14ac:dyDescent="0.25">
      <c r="H840" s="34"/>
    </row>
    <row r="841" spans="8:8" ht="14.25" customHeight="1" x14ac:dyDescent="0.25">
      <c r="H841" s="34"/>
    </row>
    <row r="842" spans="8:8" ht="14.25" customHeight="1" x14ac:dyDescent="0.25">
      <c r="H842" s="34"/>
    </row>
    <row r="843" spans="8:8" ht="14.25" customHeight="1" x14ac:dyDescent="0.25">
      <c r="H843" s="34"/>
    </row>
    <row r="844" spans="8:8" ht="14.25" customHeight="1" x14ac:dyDescent="0.25">
      <c r="H844" s="34"/>
    </row>
    <row r="845" spans="8:8" ht="14.25" customHeight="1" x14ac:dyDescent="0.25">
      <c r="H845" s="34"/>
    </row>
    <row r="846" spans="8:8" ht="14.25" customHeight="1" x14ac:dyDescent="0.25">
      <c r="H846" s="34"/>
    </row>
    <row r="847" spans="8:8" ht="14.25" customHeight="1" x14ac:dyDescent="0.25">
      <c r="H847" s="34"/>
    </row>
    <row r="848" spans="8:8" ht="14.25" customHeight="1" x14ac:dyDescent="0.25">
      <c r="H848" s="34"/>
    </row>
    <row r="849" spans="8:8" ht="14.25" customHeight="1" x14ac:dyDescent="0.25">
      <c r="H849" s="34"/>
    </row>
    <row r="850" spans="8:8" ht="14.25" customHeight="1" x14ac:dyDescent="0.25">
      <c r="H850" s="34"/>
    </row>
    <row r="851" spans="8:8" ht="14.25" customHeight="1" x14ac:dyDescent="0.25">
      <c r="H851" s="34"/>
    </row>
    <row r="852" spans="8:8" ht="14.25" customHeight="1" x14ac:dyDescent="0.25">
      <c r="H852" s="34"/>
    </row>
    <row r="853" spans="8:8" ht="14.25" customHeight="1" x14ac:dyDescent="0.25">
      <c r="H853" s="34"/>
    </row>
    <row r="854" spans="8:8" ht="14.25" customHeight="1" x14ac:dyDescent="0.25">
      <c r="H854" s="34"/>
    </row>
    <row r="855" spans="8:8" ht="14.25" customHeight="1" x14ac:dyDescent="0.25">
      <c r="H855" s="34"/>
    </row>
    <row r="856" spans="8:8" ht="14.25" customHeight="1" x14ac:dyDescent="0.25">
      <c r="H856" s="34"/>
    </row>
    <row r="857" spans="8:8" ht="14.25" customHeight="1" x14ac:dyDescent="0.25">
      <c r="H857" s="34"/>
    </row>
    <row r="858" spans="8:8" ht="14.25" customHeight="1" x14ac:dyDescent="0.25">
      <c r="H858" s="34"/>
    </row>
    <row r="859" spans="8:8" ht="14.25" customHeight="1" x14ac:dyDescent="0.25">
      <c r="H859" s="34"/>
    </row>
    <row r="860" spans="8:8" ht="14.25" customHeight="1" x14ac:dyDescent="0.25">
      <c r="H860" s="34"/>
    </row>
    <row r="861" spans="8:8" ht="14.25" customHeight="1" x14ac:dyDescent="0.25">
      <c r="H861" s="34"/>
    </row>
    <row r="862" spans="8:8" ht="14.25" customHeight="1" x14ac:dyDescent="0.25">
      <c r="H862" s="34"/>
    </row>
    <row r="863" spans="8:8" ht="14.25" customHeight="1" x14ac:dyDescent="0.25">
      <c r="H863" s="34"/>
    </row>
    <row r="864" spans="8:8" ht="14.25" customHeight="1" x14ac:dyDescent="0.25">
      <c r="H864" s="34"/>
    </row>
    <row r="865" spans="8:8" ht="14.25" customHeight="1" x14ac:dyDescent="0.25">
      <c r="H865" s="34"/>
    </row>
    <row r="866" spans="8:8" ht="14.25" customHeight="1" x14ac:dyDescent="0.25">
      <c r="H866" s="34"/>
    </row>
    <row r="867" spans="8:8" ht="14.25" customHeight="1" x14ac:dyDescent="0.25">
      <c r="H867" s="34"/>
    </row>
    <row r="868" spans="8:8" ht="14.25" customHeight="1" x14ac:dyDescent="0.25">
      <c r="H868" s="34"/>
    </row>
    <row r="869" spans="8:8" ht="14.25" customHeight="1" x14ac:dyDescent="0.25">
      <c r="H869" s="34"/>
    </row>
    <row r="870" spans="8:8" ht="14.25" customHeight="1" x14ac:dyDescent="0.25">
      <c r="H870" s="34"/>
    </row>
    <row r="871" spans="8:8" ht="14.25" customHeight="1" x14ac:dyDescent="0.25">
      <c r="H871" s="34"/>
    </row>
    <row r="872" spans="8:8" ht="14.25" customHeight="1" x14ac:dyDescent="0.25">
      <c r="H872" s="34"/>
    </row>
    <row r="873" spans="8:8" ht="14.25" customHeight="1" x14ac:dyDescent="0.25">
      <c r="H873" s="34"/>
    </row>
    <row r="874" spans="8:8" ht="14.25" customHeight="1" x14ac:dyDescent="0.25">
      <c r="H874" s="34"/>
    </row>
    <row r="875" spans="8:8" ht="14.25" customHeight="1" x14ac:dyDescent="0.25">
      <c r="H875" s="34"/>
    </row>
    <row r="876" spans="8:8" ht="14.25" customHeight="1" x14ac:dyDescent="0.25">
      <c r="H876" s="34"/>
    </row>
    <row r="877" spans="8:8" ht="14.25" customHeight="1" x14ac:dyDescent="0.25">
      <c r="H877" s="34"/>
    </row>
    <row r="878" spans="8:8" ht="14.25" customHeight="1" x14ac:dyDescent="0.25">
      <c r="H878" s="34"/>
    </row>
    <row r="879" spans="8:8" ht="14.25" customHeight="1" x14ac:dyDescent="0.25">
      <c r="H879" s="34"/>
    </row>
    <row r="880" spans="8:8" ht="14.25" customHeight="1" x14ac:dyDescent="0.25">
      <c r="H880" s="34"/>
    </row>
    <row r="881" spans="8:8" ht="14.25" customHeight="1" x14ac:dyDescent="0.25">
      <c r="H881" s="34"/>
    </row>
    <row r="882" spans="8:8" ht="14.25" customHeight="1" x14ac:dyDescent="0.25">
      <c r="H882" s="34"/>
    </row>
    <row r="883" spans="8:8" ht="14.25" customHeight="1" x14ac:dyDescent="0.25">
      <c r="H883" s="34"/>
    </row>
    <row r="884" spans="8:8" ht="14.25" customHeight="1" x14ac:dyDescent="0.25">
      <c r="H884" s="34"/>
    </row>
    <row r="885" spans="8:8" ht="14.25" customHeight="1" x14ac:dyDescent="0.25">
      <c r="H885" s="34"/>
    </row>
    <row r="886" spans="8:8" ht="14.25" customHeight="1" x14ac:dyDescent="0.25">
      <c r="H886" s="34"/>
    </row>
    <row r="887" spans="8:8" ht="14.25" customHeight="1" x14ac:dyDescent="0.25">
      <c r="H887" s="34"/>
    </row>
    <row r="888" spans="8:8" ht="14.25" customHeight="1" x14ac:dyDescent="0.25">
      <c r="H888" s="34"/>
    </row>
    <row r="889" spans="8:8" ht="14.25" customHeight="1" x14ac:dyDescent="0.25">
      <c r="H889" s="34"/>
    </row>
    <row r="890" spans="8:8" ht="14.25" customHeight="1" x14ac:dyDescent="0.25">
      <c r="H890" s="34"/>
    </row>
    <row r="891" spans="8:8" ht="14.25" customHeight="1" x14ac:dyDescent="0.25">
      <c r="H891" s="34"/>
    </row>
    <row r="892" spans="8:8" ht="14.25" customHeight="1" x14ac:dyDescent="0.25">
      <c r="H892" s="34"/>
    </row>
    <row r="893" spans="8:8" ht="14.25" customHeight="1" x14ac:dyDescent="0.25">
      <c r="H893" s="34"/>
    </row>
    <row r="894" spans="8:8" ht="14.25" customHeight="1" x14ac:dyDescent="0.25">
      <c r="H894" s="34"/>
    </row>
    <row r="895" spans="8:8" ht="14.25" customHeight="1" x14ac:dyDescent="0.25">
      <c r="H895" s="34"/>
    </row>
    <row r="896" spans="8:8" ht="14.25" customHeight="1" x14ac:dyDescent="0.25">
      <c r="H896" s="34"/>
    </row>
    <row r="897" spans="8:8" ht="14.25" customHeight="1" x14ac:dyDescent="0.25">
      <c r="H897" s="34"/>
    </row>
    <row r="898" spans="8:8" ht="14.25" customHeight="1" x14ac:dyDescent="0.25">
      <c r="H898" s="34"/>
    </row>
    <row r="899" spans="8:8" ht="14.25" customHeight="1" x14ac:dyDescent="0.25">
      <c r="H899" s="34"/>
    </row>
    <row r="900" spans="8:8" ht="14.25" customHeight="1" x14ac:dyDescent="0.25">
      <c r="H900" s="34"/>
    </row>
    <row r="901" spans="8:8" ht="14.25" customHeight="1" x14ac:dyDescent="0.25">
      <c r="H901" s="34"/>
    </row>
    <row r="902" spans="8:8" ht="14.25" customHeight="1" x14ac:dyDescent="0.25">
      <c r="H902" s="34"/>
    </row>
    <row r="903" spans="8:8" ht="14.25" customHeight="1" x14ac:dyDescent="0.25">
      <c r="H903" s="34"/>
    </row>
    <row r="904" spans="8:8" ht="14.25" customHeight="1" x14ac:dyDescent="0.25">
      <c r="H904" s="34"/>
    </row>
    <row r="905" spans="8:8" ht="14.25" customHeight="1" x14ac:dyDescent="0.25">
      <c r="H905" s="34"/>
    </row>
    <row r="906" spans="8:8" ht="14.25" customHeight="1" x14ac:dyDescent="0.25">
      <c r="H906" s="34"/>
    </row>
    <row r="907" spans="8:8" ht="14.25" customHeight="1" x14ac:dyDescent="0.25">
      <c r="H907" s="34"/>
    </row>
    <row r="908" spans="8:8" ht="14.25" customHeight="1" x14ac:dyDescent="0.25">
      <c r="H908" s="34"/>
    </row>
    <row r="909" spans="8:8" ht="14.25" customHeight="1" x14ac:dyDescent="0.25">
      <c r="H909" s="34"/>
    </row>
    <row r="910" spans="8:8" ht="14.25" customHeight="1" x14ac:dyDescent="0.25">
      <c r="H910" s="34"/>
    </row>
    <row r="911" spans="8:8" ht="14.25" customHeight="1" x14ac:dyDescent="0.25">
      <c r="H911" s="34"/>
    </row>
    <row r="912" spans="8:8" ht="14.25" customHeight="1" x14ac:dyDescent="0.25">
      <c r="H912" s="34"/>
    </row>
    <row r="913" spans="8:8" ht="14.25" customHeight="1" x14ac:dyDescent="0.25">
      <c r="H913" s="34"/>
    </row>
    <row r="914" spans="8:8" ht="14.25" customHeight="1" x14ac:dyDescent="0.25">
      <c r="H914" s="34"/>
    </row>
    <row r="915" spans="8:8" ht="14.25" customHeight="1" x14ac:dyDescent="0.25">
      <c r="H915" s="34"/>
    </row>
    <row r="916" spans="8:8" ht="14.25" customHeight="1" x14ac:dyDescent="0.25">
      <c r="H916" s="34"/>
    </row>
    <row r="917" spans="8:8" ht="14.25" customHeight="1" x14ac:dyDescent="0.25">
      <c r="H917" s="34"/>
    </row>
    <row r="918" spans="8:8" ht="14.25" customHeight="1" x14ac:dyDescent="0.25">
      <c r="H918" s="34"/>
    </row>
    <row r="919" spans="8:8" ht="14.25" customHeight="1" x14ac:dyDescent="0.25">
      <c r="H919" s="34"/>
    </row>
    <row r="920" spans="8:8" ht="14.25" customHeight="1" x14ac:dyDescent="0.25">
      <c r="H920" s="34"/>
    </row>
    <row r="921" spans="8:8" ht="14.25" customHeight="1" x14ac:dyDescent="0.25">
      <c r="H921" s="34"/>
    </row>
    <row r="922" spans="8:8" ht="14.25" customHeight="1" x14ac:dyDescent="0.25">
      <c r="H922" s="34"/>
    </row>
    <row r="923" spans="8:8" ht="14.25" customHeight="1" x14ac:dyDescent="0.25">
      <c r="H923" s="34"/>
    </row>
    <row r="924" spans="8:8" ht="14.25" customHeight="1" x14ac:dyDescent="0.25">
      <c r="H924" s="34"/>
    </row>
    <row r="925" spans="8:8" ht="14.25" customHeight="1" x14ac:dyDescent="0.25">
      <c r="H925" s="34"/>
    </row>
    <row r="926" spans="8:8" ht="14.25" customHeight="1" x14ac:dyDescent="0.25">
      <c r="H926" s="34"/>
    </row>
    <row r="927" spans="8:8" ht="14.25" customHeight="1" x14ac:dyDescent="0.25">
      <c r="H927" s="34"/>
    </row>
    <row r="928" spans="8:8" ht="14.25" customHeight="1" x14ac:dyDescent="0.25">
      <c r="H928" s="34"/>
    </row>
    <row r="929" spans="8:8" ht="14.25" customHeight="1" x14ac:dyDescent="0.25">
      <c r="H929" s="34"/>
    </row>
    <row r="930" spans="8:8" ht="14.25" customHeight="1" x14ac:dyDescent="0.25">
      <c r="H930" s="34"/>
    </row>
    <row r="931" spans="8:8" ht="14.25" customHeight="1" x14ac:dyDescent="0.25">
      <c r="H931" s="34"/>
    </row>
    <row r="932" spans="8:8" ht="14.25" customHeight="1" x14ac:dyDescent="0.25">
      <c r="H932" s="34"/>
    </row>
    <row r="933" spans="8:8" ht="14.25" customHeight="1" x14ac:dyDescent="0.25">
      <c r="H933" s="34"/>
    </row>
    <row r="934" spans="8:8" ht="14.25" customHeight="1" x14ac:dyDescent="0.25">
      <c r="H934" s="34"/>
    </row>
    <row r="935" spans="8:8" ht="14.25" customHeight="1" x14ac:dyDescent="0.25">
      <c r="H935" s="34"/>
    </row>
    <row r="936" spans="8:8" ht="14.25" customHeight="1" x14ac:dyDescent="0.25">
      <c r="H936" s="34"/>
    </row>
    <row r="937" spans="8:8" ht="14.25" customHeight="1" x14ac:dyDescent="0.25">
      <c r="H937" s="34"/>
    </row>
    <row r="938" spans="8:8" ht="14.25" customHeight="1" x14ac:dyDescent="0.25">
      <c r="H938" s="34"/>
    </row>
    <row r="939" spans="8:8" ht="14.25" customHeight="1" x14ac:dyDescent="0.25">
      <c r="H939" s="34"/>
    </row>
    <row r="940" spans="8:8" ht="14.25" customHeight="1" x14ac:dyDescent="0.25">
      <c r="H940" s="34"/>
    </row>
    <row r="941" spans="8:8" ht="14.25" customHeight="1" x14ac:dyDescent="0.25">
      <c r="H941" s="34"/>
    </row>
    <row r="942" spans="8:8" ht="14.25" customHeight="1" x14ac:dyDescent="0.25">
      <c r="H942" s="34"/>
    </row>
    <row r="943" spans="8:8" ht="14.25" customHeight="1" x14ac:dyDescent="0.25">
      <c r="H943" s="34"/>
    </row>
    <row r="944" spans="8:8" ht="14.25" customHeight="1" x14ac:dyDescent="0.25">
      <c r="H944" s="34"/>
    </row>
    <row r="945" spans="8:8" ht="14.25" customHeight="1" x14ac:dyDescent="0.25">
      <c r="H945" s="34"/>
    </row>
    <row r="946" spans="8:8" ht="14.25" customHeight="1" x14ac:dyDescent="0.25">
      <c r="H946" s="34"/>
    </row>
    <row r="947" spans="8:8" ht="14.25" customHeight="1" x14ac:dyDescent="0.25">
      <c r="H947" s="34"/>
    </row>
    <row r="948" spans="8:8" ht="14.25" customHeight="1" x14ac:dyDescent="0.25">
      <c r="H948" s="34"/>
    </row>
    <row r="949" spans="8:8" ht="14.25" customHeight="1" x14ac:dyDescent="0.25">
      <c r="H949" s="34"/>
    </row>
    <row r="950" spans="8:8" ht="14.25" customHeight="1" x14ac:dyDescent="0.25">
      <c r="H950" s="34"/>
    </row>
    <row r="951" spans="8:8" ht="14.25" customHeight="1" x14ac:dyDescent="0.25">
      <c r="H951" s="34"/>
    </row>
    <row r="952" spans="8:8" ht="14.25" customHeight="1" x14ac:dyDescent="0.25">
      <c r="H952" s="34"/>
    </row>
    <row r="953" spans="8:8" ht="14.25" customHeight="1" x14ac:dyDescent="0.25">
      <c r="H953" s="34"/>
    </row>
    <row r="954" spans="8:8" ht="14.25" customHeight="1" x14ac:dyDescent="0.25">
      <c r="H954" s="34"/>
    </row>
    <row r="955" spans="8:8" ht="14.25" customHeight="1" x14ac:dyDescent="0.25">
      <c r="H955" s="34"/>
    </row>
    <row r="956" spans="8:8" ht="14.25" customHeight="1" x14ac:dyDescent="0.25">
      <c r="H956" s="34"/>
    </row>
    <row r="957" spans="8:8" ht="14.25" customHeight="1" x14ac:dyDescent="0.25">
      <c r="H957" s="34"/>
    </row>
    <row r="958" spans="8:8" ht="14.25" customHeight="1" x14ac:dyDescent="0.25">
      <c r="H958" s="34"/>
    </row>
    <row r="959" spans="8:8" ht="14.25" customHeight="1" x14ac:dyDescent="0.25">
      <c r="H959" s="34"/>
    </row>
    <row r="960" spans="8:8" ht="14.25" customHeight="1" x14ac:dyDescent="0.25">
      <c r="H960" s="34"/>
    </row>
    <row r="961" spans="8:8" ht="14.25" customHeight="1" x14ac:dyDescent="0.25">
      <c r="H961" s="34"/>
    </row>
    <row r="962" spans="8:8" ht="14.25" customHeight="1" x14ac:dyDescent="0.25">
      <c r="H962" s="34"/>
    </row>
    <row r="963" spans="8:8" ht="14.25" customHeight="1" x14ac:dyDescent="0.25">
      <c r="H963" s="34"/>
    </row>
    <row r="964" spans="8:8" ht="14.25" customHeight="1" x14ac:dyDescent="0.25">
      <c r="H964" s="34"/>
    </row>
    <row r="965" spans="8:8" ht="14.25" customHeight="1" x14ac:dyDescent="0.25">
      <c r="H965" s="34"/>
    </row>
    <row r="966" spans="8:8" ht="14.25" customHeight="1" x14ac:dyDescent="0.25">
      <c r="H966" s="34"/>
    </row>
    <row r="967" spans="8:8" ht="14.25" customHeight="1" x14ac:dyDescent="0.25">
      <c r="H967" s="34"/>
    </row>
    <row r="968" spans="8:8" ht="14.25" customHeight="1" x14ac:dyDescent="0.25">
      <c r="H968" s="34"/>
    </row>
    <row r="969" spans="8:8" ht="14.25" customHeight="1" x14ac:dyDescent="0.25">
      <c r="H969" s="34"/>
    </row>
    <row r="970" spans="8:8" ht="14.25" customHeight="1" x14ac:dyDescent="0.25">
      <c r="H970" s="34"/>
    </row>
    <row r="971" spans="8:8" ht="14.25" customHeight="1" x14ac:dyDescent="0.25">
      <c r="H971" s="34"/>
    </row>
    <row r="972" spans="8:8" ht="14.25" customHeight="1" x14ac:dyDescent="0.25">
      <c r="H972" s="34"/>
    </row>
    <row r="973" spans="8:8" ht="14.25" customHeight="1" x14ac:dyDescent="0.25">
      <c r="H973" s="34"/>
    </row>
    <row r="974" spans="8:8" ht="14.25" customHeight="1" x14ac:dyDescent="0.25">
      <c r="H974" s="34"/>
    </row>
    <row r="975" spans="8:8" ht="14.25" customHeight="1" x14ac:dyDescent="0.25">
      <c r="H975" s="34"/>
    </row>
    <row r="976" spans="8:8" ht="14.25" customHeight="1" x14ac:dyDescent="0.25">
      <c r="H976" s="34"/>
    </row>
    <row r="977" spans="8:8" ht="14.25" customHeight="1" x14ac:dyDescent="0.25">
      <c r="H977" s="34"/>
    </row>
    <row r="978" spans="8:8" ht="14.25" customHeight="1" x14ac:dyDescent="0.25">
      <c r="H978" s="34"/>
    </row>
    <row r="979" spans="8:8" ht="14.25" customHeight="1" x14ac:dyDescent="0.25">
      <c r="H979" s="34"/>
    </row>
    <row r="980" spans="8:8" ht="14.25" customHeight="1" x14ac:dyDescent="0.25">
      <c r="H980" s="34"/>
    </row>
    <row r="981" spans="8:8" ht="14.25" customHeight="1" x14ac:dyDescent="0.25">
      <c r="H981" s="34"/>
    </row>
    <row r="982" spans="8:8" ht="14.25" customHeight="1" x14ac:dyDescent="0.25">
      <c r="H982" s="34"/>
    </row>
    <row r="983" spans="8:8" ht="14.25" customHeight="1" x14ac:dyDescent="0.25">
      <c r="H983" s="34"/>
    </row>
    <row r="984" spans="8:8" ht="14.25" customHeight="1" x14ac:dyDescent="0.25">
      <c r="H984" s="34"/>
    </row>
    <row r="985" spans="8:8" ht="14.25" customHeight="1" x14ac:dyDescent="0.25">
      <c r="H985" s="34"/>
    </row>
    <row r="986" spans="8:8" ht="14.25" customHeight="1" x14ac:dyDescent="0.25">
      <c r="H986" s="34"/>
    </row>
    <row r="987" spans="8:8" ht="14.25" customHeight="1" x14ac:dyDescent="0.25">
      <c r="H987" s="34"/>
    </row>
    <row r="988" spans="8:8" ht="14.25" customHeight="1" x14ac:dyDescent="0.25">
      <c r="H988" s="34"/>
    </row>
    <row r="989" spans="8:8" ht="14.25" customHeight="1" x14ac:dyDescent="0.25">
      <c r="H989" s="34"/>
    </row>
    <row r="990" spans="8:8" ht="14.25" customHeight="1" x14ac:dyDescent="0.25">
      <c r="H990" s="34"/>
    </row>
    <row r="991" spans="8:8" ht="14.25" customHeight="1" x14ac:dyDescent="0.25">
      <c r="H991" s="34"/>
    </row>
    <row r="992" spans="8:8" ht="14.25" customHeight="1" x14ac:dyDescent="0.25">
      <c r="H992" s="34"/>
    </row>
    <row r="993" spans="8:8" ht="14.25" customHeight="1" x14ac:dyDescent="0.25">
      <c r="H993" s="34"/>
    </row>
    <row r="994" spans="8:8" ht="14.25" customHeight="1" x14ac:dyDescent="0.25">
      <c r="H994" s="34"/>
    </row>
    <row r="995" spans="8:8" ht="14.25" customHeight="1" x14ac:dyDescent="0.25">
      <c r="H995" s="34"/>
    </row>
    <row r="996" spans="8:8" ht="14.25" customHeight="1" x14ac:dyDescent="0.25">
      <c r="H996" s="34"/>
    </row>
    <row r="997" spans="8:8" ht="14.25" customHeight="1" x14ac:dyDescent="0.25">
      <c r="H997" s="34"/>
    </row>
    <row r="998" spans="8:8" ht="14.25" customHeight="1" x14ac:dyDescent="0.25">
      <c r="H998" s="34"/>
    </row>
    <row r="999" spans="8:8" ht="14.25" customHeight="1" x14ac:dyDescent="0.25">
      <c r="H999" s="34"/>
    </row>
    <row r="1000" spans="8:8" ht="14.25" customHeight="1" x14ac:dyDescent="0.25">
      <c r="H1000" s="34"/>
    </row>
  </sheetData>
  <autoFilter ref="B3:G101" xr:uid="{00000000-0009-0000-0000-000002000000}">
    <sortState xmlns:xlrd2="http://schemas.microsoft.com/office/spreadsheetml/2017/richdata2" ref="B3:G101">
      <sortCondition ref="C3:C101"/>
    </sortState>
  </autoFilter>
  <mergeCells count="1">
    <mergeCell ref="C2:H2"/>
  </mergeCells>
  <conditionalFormatting sqref="B28:B29 B31">
    <cfRule type="expression" dxfId="27" priority="1">
      <formula>AND(B28&gt;TODAY(), B28-TODAY()&gt;=WEEKDAY(B28), B28-TODAY()&lt;WEEKDAY(B28)+7)</formula>
    </cfRule>
    <cfRule type="expression" dxfId="26" priority="2">
      <formula>OR(AND(B28&lt;=TODAY(), TODAY()-B28&lt;WEEKDAY(TODAY())), AND(TODAY()&lt;B28, B28-TODAY()&lt;WEEKDAY(B28)))</formula>
    </cfRule>
  </conditionalFormatting>
  <conditionalFormatting sqref="C55:C57 D82:D90">
    <cfRule type="expression" dxfId="25" priority="3" stopIfTrue="1">
      <formula>AND(COUNTIF(#REF!, C55)+COUNTIF($B:$B, C55)&gt;1,NOT(ISBLANK(C55)))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 x14ac:dyDescent="0.25"/>
  <cols>
    <col min="1" max="1" width="8.85546875" customWidth="1"/>
    <col min="2" max="2" width="25.5703125" customWidth="1"/>
    <col min="3" max="3" width="23" customWidth="1"/>
    <col min="4" max="4" width="15.5703125" customWidth="1"/>
    <col min="5" max="5" width="33.42578125" customWidth="1"/>
    <col min="6" max="6" width="15.42578125" customWidth="1"/>
    <col min="7" max="7" width="20.42578125" customWidth="1"/>
    <col min="8" max="8" width="21.140625" customWidth="1"/>
    <col min="9" max="10" width="15.5703125" customWidth="1"/>
    <col min="11" max="26" width="8.85546875" customWidth="1"/>
  </cols>
  <sheetData>
    <row r="1" spans="1:26" ht="14.2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 x14ac:dyDescent="0.25">
      <c r="A3" s="30"/>
      <c r="B3" s="362" t="s">
        <v>236</v>
      </c>
      <c r="C3" s="363"/>
      <c r="D3" s="363"/>
      <c r="E3" s="363"/>
      <c r="F3" s="363"/>
      <c r="G3" s="363"/>
      <c r="H3" s="363"/>
      <c r="I3" s="363"/>
      <c r="J3" s="365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 x14ac:dyDescent="0.25">
      <c r="A4" s="30"/>
      <c r="B4" s="28" t="s">
        <v>219</v>
      </c>
      <c r="C4" s="28" t="s">
        <v>220</v>
      </c>
      <c r="D4" s="28" t="s">
        <v>1</v>
      </c>
      <c r="E4" s="28" t="s">
        <v>2</v>
      </c>
      <c r="F4" s="28" t="s">
        <v>3</v>
      </c>
      <c r="G4" s="28" t="s">
        <v>4</v>
      </c>
      <c r="H4" s="29" t="s">
        <v>5</v>
      </c>
      <c r="I4" s="29" t="s">
        <v>6</v>
      </c>
      <c r="J4" s="5" t="s">
        <v>233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 x14ac:dyDescent="0.25">
      <c r="A5" s="30"/>
      <c r="B5" s="31">
        <v>46065</v>
      </c>
      <c r="C5" s="31">
        <v>46065</v>
      </c>
      <c r="D5" s="32" t="s">
        <v>237</v>
      </c>
      <c r="E5" s="32" t="s">
        <v>238</v>
      </c>
      <c r="F5" s="32" t="s">
        <v>103</v>
      </c>
      <c r="G5" s="32">
        <v>11</v>
      </c>
      <c r="H5" s="8">
        <f t="shared" ref="H5:H7" si="0">G5*16.5</f>
        <v>181.5</v>
      </c>
      <c r="I5" s="33">
        <v>69.41</v>
      </c>
      <c r="J5" s="32" t="s">
        <v>10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 x14ac:dyDescent="0.25">
      <c r="A6" s="30"/>
      <c r="B6" s="31">
        <v>46065</v>
      </c>
      <c r="C6" s="31">
        <v>46065</v>
      </c>
      <c r="D6" s="32" t="s">
        <v>239</v>
      </c>
      <c r="E6" s="32" t="s">
        <v>240</v>
      </c>
      <c r="F6" s="32" t="s">
        <v>143</v>
      </c>
      <c r="G6" s="32">
        <v>11</v>
      </c>
      <c r="H6" s="8">
        <f t="shared" si="0"/>
        <v>181.5</v>
      </c>
      <c r="I6" s="33" t="s">
        <v>241</v>
      </c>
      <c r="J6" s="33">
        <v>56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 x14ac:dyDescent="0.25">
      <c r="A7" s="30"/>
      <c r="B7" s="31">
        <v>46065</v>
      </c>
      <c r="C7" s="31">
        <v>46065</v>
      </c>
      <c r="D7" s="32" t="s">
        <v>242</v>
      </c>
      <c r="E7" s="32" t="s">
        <v>243</v>
      </c>
      <c r="F7" s="32" t="s">
        <v>40</v>
      </c>
      <c r="G7" s="32">
        <v>11</v>
      </c>
      <c r="H7" s="8">
        <f t="shared" si="0"/>
        <v>181.5</v>
      </c>
      <c r="I7" s="33">
        <v>69.41</v>
      </c>
      <c r="J7" s="32" t="s">
        <v>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4.2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4.25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4.2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4.2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4.2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4.2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4.2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4.2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4.2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4.2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4.2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4.2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4.2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4.2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4.2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4.2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4.2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4.2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4.2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4.2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4.2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4.2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4.2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4.2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4.2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4.2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4.2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4.2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4.2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4.2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4.2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4.2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4.2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4.2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4.2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4.2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4.2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4.2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4.2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4.2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4.2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4.2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4.2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4.2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4.2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4.2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4.2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4.2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4.2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4.2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4.2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4.2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4.2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4.2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4.2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4.2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4.2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4.2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4.2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4.2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4.2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4.2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4.2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4.2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4.2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4.2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4.2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4.2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4.2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4.2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4.2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4.2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4.2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4.2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4.2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4.2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4.2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4.2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4.2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4.2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4.2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4.2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4.2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4.2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4.2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4.2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4.25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4.25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4.25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4.25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4.25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4.25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4.25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4.25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4.25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4.25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4.25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4.25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4.25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4.25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4.25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4.25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4.25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4.25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4.25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4.25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4.25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4.25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4.25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4.25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4.25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4.25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4.25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4.25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4.25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4.25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4.25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4.25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4.25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4.25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4.25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4.25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4.25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4.25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4.25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4.25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4.25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4.25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4.25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4.25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4.25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4.25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4.25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4.25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4.25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4.25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4.25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4.25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4.25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4.25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4.25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4.25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4.25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4.25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4.25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4.25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4.25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4.25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4.25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4.25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4.25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4.25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4.25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4.25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4.25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4.25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4.25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4.25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4.25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4.25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4.25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4.25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4.25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4.25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4.25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4.25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4.25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4.25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4.25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4.25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4.25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4.25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4.25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4.25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4.25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4.25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4.25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4.25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4.25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4.25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4.25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4.25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4.25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4.25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4.25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4.25" customHeight="1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4.25" customHeight="1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4.25" customHeight="1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4.25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4.25" customHeight="1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4.25" customHeight="1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4.25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4.25" customHeight="1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4.25" customHeight="1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4.25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4.25" customHeight="1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4.25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4.25" customHeight="1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4.25" customHeight="1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4.25" customHeight="1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4.25" customHeight="1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4.25" customHeight="1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4.25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4.25" customHeight="1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4.25" customHeight="1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4.25" customHeight="1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4.25" customHeight="1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4.25" customHeight="1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4.25" customHeight="1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4.25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4.25" customHeight="1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4.25" customHeight="1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4.25" customHeight="1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4.25" customHeight="1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4.25" customHeight="1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4.25" customHeight="1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4.25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4.25" customHeight="1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4.25" customHeight="1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4.25" customHeight="1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4.25" customHeight="1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4.25" customHeight="1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4.25" customHeight="1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4.25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4.25" customHeight="1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4.25" customHeight="1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4.25" customHeight="1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4.25" customHeight="1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4.25" customHeight="1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4.25" customHeight="1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4.25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4.25" customHeight="1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4.25" customHeight="1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4.25" customHeight="1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4.25" customHeight="1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4.25" customHeight="1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4.25" customHeight="1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4.25" customHeight="1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4.25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4.25" customHeight="1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4.25" customHeight="1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4.25" customHeight="1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4.25" customHeight="1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4.25" customHeight="1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4.25" customHeight="1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4.25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4.25" customHeight="1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4.25" customHeight="1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4.25" customHeight="1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4.25" customHeight="1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4.25" customHeight="1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4.25" customHeight="1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4.25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4.25" customHeight="1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4.25" customHeight="1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4.25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4.25" customHeight="1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4.25" customHeight="1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4.25" customHeight="1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4.25" customHeight="1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4.25" customHeight="1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4.25" customHeight="1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4.25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4.25" customHeight="1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4.25" customHeight="1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4.25" customHeight="1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4.25" customHeight="1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4.25" customHeight="1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4.25" customHeight="1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4.25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4.25" customHeight="1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4.25" customHeight="1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4.25" customHeight="1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4.25" customHeight="1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4.25" customHeight="1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4.25" customHeight="1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4.25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4.25" customHeight="1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4.25" customHeight="1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4.25" customHeight="1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4.25" customHeight="1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4.25" customHeight="1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4.25" customHeight="1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4.25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4.25" customHeight="1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4.25" customHeight="1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4.25" customHeight="1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4.25" customHeight="1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4.25" customHeight="1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4.25" customHeight="1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4.25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4.25" customHeight="1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4.25" customHeight="1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4.25" customHeight="1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4.25" customHeight="1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4.25" customHeight="1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4.25" customHeight="1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4.25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4.25" customHeight="1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4.25" customHeight="1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4.25" customHeight="1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4.25" customHeight="1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4.25" customHeight="1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4.25" customHeight="1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4.25" customHeight="1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4.25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4.25" customHeight="1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4.25" customHeight="1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4.25" customHeight="1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4.25" customHeight="1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4.25" customHeight="1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4.25" customHeight="1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4.25" customHeight="1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4.25" customHeight="1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4.25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4.25" customHeight="1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4.25" customHeight="1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4.25" customHeight="1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4.25" customHeight="1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4.25" customHeight="1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4.25" customHeight="1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4.25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4.25" customHeight="1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4.25" customHeight="1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4.25" customHeight="1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4.25" customHeight="1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4.25" customHeight="1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4.25" customHeight="1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4.25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4.25" customHeight="1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4.25" customHeight="1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4.25" customHeight="1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4.25" customHeight="1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4.25" customHeight="1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4.25" customHeight="1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4.25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4.25" customHeight="1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4.25" customHeight="1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4.25" customHeight="1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4.25" customHeight="1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4.25" customHeight="1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4.25" customHeight="1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4.25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4.25" customHeight="1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4.25" customHeight="1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4.25" customHeight="1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4.25" customHeight="1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4.25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4.25" customHeight="1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4.25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4.25" customHeight="1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4.25" customHeight="1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4.25" customHeight="1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4.25" customHeight="1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4.25" customHeight="1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4.25" customHeight="1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4.25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4.25" customHeight="1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4.25" customHeight="1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4.25" customHeight="1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4.25" customHeight="1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4.25" customHeight="1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4.25" customHeight="1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4.25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4.25" customHeight="1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4.25" customHeight="1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4.25" customHeight="1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4.25" customHeight="1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4.25" customHeight="1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4.25" customHeight="1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4.25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4.25" customHeight="1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4.25" customHeight="1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4.25" customHeight="1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4.25" customHeight="1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4.25" customHeight="1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4.25" customHeight="1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4.25" customHeight="1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4.25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4.25" customHeight="1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4.25" customHeight="1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4.25" customHeight="1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4.25" customHeight="1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4.25" customHeight="1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4.25" customHeight="1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4.25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4.25" customHeight="1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4.25" customHeight="1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4.25" customHeight="1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4.25" customHeight="1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4.25" customHeight="1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4.25" customHeight="1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4.25" customHeight="1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4.25" customHeight="1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4.25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4.25" customHeight="1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4.25" customHeight="1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4.25" customHeight="1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4.25" customHeight="1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4.25" customHeight="1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4.25" customHeight="1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4.25" customHeight="1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4.25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4.25" customHeight="1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4.25" customHeight="1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4.25" customHeight="1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4.25" customHeight="1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4.25" customHeight="1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4.25" customHeight="1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4.25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4.25" customHeight="1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4.25" customHeight="1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4.25" customHeight="1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4.25" customHeight="1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4.25" customHeight="1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4.25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4.25" customHeight="1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4.25" customHeight="1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4.25" customHeight="1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4.25" customHeight="1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4.25" customHeight="1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4.25" customHeight="1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4.25" customHeight="1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4.25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4.25" customHeight="1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4.25" customHeight="1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4.25" customHeight="1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4.25" customHeight="1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4.25" customHeight="1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4.25" customHeight="1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4.25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4.25" customHeight="1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4.25" customHeight="1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4.25" customHeight="1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4.25" customHeight="1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4.25" customHeight="1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4.25" customHeight="1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4.25" customHeight="1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4.25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4.25" customHeight="1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4.25" customHeight="1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4.25" customHeight="1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4.25" customHeight="1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4.25" customHeight="1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4.25" customHeight="1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4.25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4.25" customHeight="1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4.25" customHeight="1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4.25" customHeight="1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4.25" customHeight="1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4.25" customHeight="1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4.25" customHeight="1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4.25" customHeight="1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4.25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4.25" customHeight="1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4.25" customHeight="1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4.25" customHeight="1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4.25" customHeight="1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4.25" customHeight="1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4.25" customHeight="1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4.25" customHeight="1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4.25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4.25" customHeight="1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4.25" customHeight="1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4.25" customHeight="1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4.25" customHeight="1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4.25" customHeight="1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4.25" customHeight="1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4.25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4.25" customHeight="1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4.25" customHeight="1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4.25" customHeight="1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4.25" customHeight="1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4.25" customHeight="1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4.25" customHeight="1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4.25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4.25" customHeight="1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4.25" customHeight="1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4.25" customHeight="1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4.25" customHeight="1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4.25" customHeight="1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4.25" customHeight="1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4.25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4.25" customHeight="1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4.25" customHeight="1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4.25" customHeight="1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4.25" customHeight="1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4.25" customHeight="1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4.25" customHeight="1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4.25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4.25" customHeight="1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4.25" customHeight="1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4.25" customHeight="1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4.25" customHeight="1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4.25" customHeight="1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4.25" customHeight="1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4.25" customHeight="1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4.25" customHeight="1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4.25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4.25" customHeight="1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4.25" customHeight="1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4.25" customHeight="1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4.25" customHeight="1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4.25" customHeight="1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4.25" customHeight="1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4.25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4.25" customHeight="1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4.25" customHeight="1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4.25" customHeight="1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4.25" customHeight="1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4.25" customHeight="1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4.25" customHeight="1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4.25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4.25" customHeight="1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4.25" customHeight="1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4.25" customHeight="1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4.25" customHeight="1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4.25" customHeight="1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4.25" customHeight="1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4.25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4.25" customHeight="1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4.25" customHeight="1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4.25" customHeight="1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4.25" customHeight="1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4.25" customHeight="1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4.25" customHeight="1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4.25" customHeight="1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4.25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4.25" customHeight="1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4.25" customHeight="1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4.25" customHeight="1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4.25" customHeight="1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4.25" customHeight="1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4.25" customHeight="1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4.25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4.25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4.25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4.25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4.25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4.25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4.25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4.25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4.25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4.25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4.25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4.25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4.25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4.25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4.25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4.25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4.25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4.25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4.25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4.25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4.25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4.25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4.25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4.25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4.25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4.25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4.25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4.25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4.25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4.25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4.25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4.25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4.25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4.25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4.25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4.25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4.25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4.25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4.25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4.25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4.25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4.25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4.25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4.25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4.25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4.25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4.25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4.25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4.25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4.25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4.25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4.25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4.25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4.25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4.25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4.25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4.25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4.25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4.25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4.25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4.25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4.25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4.25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4.25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4.25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4.25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4.25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4.25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4.25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4.25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4.25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4.25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4.25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4.25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4.25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4.25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4.25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4.25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4.25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4.25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4.25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4.25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4.25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4.25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4.25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4.25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4.25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4.25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4.25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4.25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4.25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4.25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4.25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4.25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4.25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4.25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4.25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4.25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4.25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4.25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4.25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4.25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4.25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4.25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4.25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4.25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4.25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4.25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4.25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4.25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4.25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4.25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4.25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4.25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4.25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4.25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4.25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4.25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4.25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4.25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4.25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4.25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4.25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4.25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4.25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4.25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4.25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4.25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4.25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4.25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4.25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4.25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4.25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4.25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4.25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4.25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4.25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4.25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4.25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4.25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4.25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4.25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4.25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4.25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4.25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4.25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4.25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4.25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4.25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4.25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4.25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4.25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4.25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4.25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4.25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4.25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4.25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4.25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4.25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4.25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4.25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4.25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4.25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4.25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4.25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4.25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4.25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4.25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4.25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4.25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4.25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4.25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4.25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4.25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4.25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4.25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4.25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4.25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4.25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4.25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4.25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4.25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4.25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4.25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4.25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4.25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4.25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4.25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4.25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4.25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4.25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4.25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4.25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4.25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4.25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4.25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4.25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4.25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4.25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4.25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4.25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4.25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4.25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4.25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4.25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4.25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4.25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4.25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4.25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4.25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4.25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4.25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4.25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4.25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4.25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4.25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4.25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4.25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4.25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4.25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4.25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4.25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4.25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4.25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4.25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4.25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4.25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4.25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4.25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4.25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4.25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4.25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4.25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4.25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4.25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4.25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4.25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4.25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4.25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4.25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4.25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4.25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4.25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4.25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4.25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4.25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4.25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4.25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4.25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4.25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4.25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4.25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4.25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4.25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4.25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4.25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4.25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4.25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4.25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4.25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4.25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4.25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4.25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4.25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4.25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4.25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4.25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4.25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4.25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4.25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4.25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4.25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4.25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4.25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4.25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4.25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4.25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4.25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4.25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4.25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4.25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4.25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4.25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4.25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4.25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4.25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4.25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4.25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4.25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4.25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4.25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4.25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4.25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4.25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4.25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4.25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4.25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4.25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4.25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4.25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4.25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4.25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4.25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4.25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4.25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4.25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4.25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4.25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4.25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4.25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4.25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4.25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4.25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4.25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4.25" customHeight="1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4.25" customHeight="1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4.25" customHeight="1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4.25" customHeight="1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4.25" customHeight="1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4.25" customHeight="1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4.25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4.25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4.25" customHeight="1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4.25" customHeight="1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4.25" customHeight="1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4.25" customHeight="1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4.25" customHeight="1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4.25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4.25" customHeight="1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4.25" customHeight="1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4.25" customHeight="1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4.25" customHeight="1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1">
    <mergeCell ref="B3:J3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4.42578125" customWidth="1"/>
    <col min="3" max="3" width="48" customWidth="1"/>
    <col min="4" max="4" width="17.5703125" customWidth="1"/>
    <col min="5" max="5" width="9.85546875" customWidth="1"/>
    <col min="6" max="6" width="17" customWidth="1"/>
    <col min="7" max="7" width="14.42578125" customWidth="1"/>
    <col min="8" max="8" width="13.85546875" customWidth="1"/>
    <col min="9" max="26" width="8.5703125" customWidth="1"/>
  </cols>
  <sheetData>
    <row r="1" spans="2:8" ht="14.25" customHeight="1" x14ac:dyDescent="0.25">
      <c r="H1" s="34"/>
    </row>
    <row r="2" spans="2:8" ht="14.25" customHeight="1" x14ac:dyDescent="0.25">
      <c r="B2" s="1"/>
      <c r="C2" s="366" t="s">
        <v>244</v>
      </c>
      <c r="D2" s="367"/>
      <c r="E2" s="367"/>
      <c r="F2" s="367"/>
      <c r="G2" s="367"/>
      <c r="H2" s="368"/>
    </row>
    <row r="3" spans="2:8" ht="14.25" customHeight="1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232</v>
      </c>
      <c r="H3" s="5" t="s">
        <v>233</v>
      </c>
    </row>
    <row r="4" spans="2:8" ht="14.25" customHeight="1" x14ac:dyDescent="0.25">
      <c r="B4" s="6" t="s">
        <v>7</v>
      </c>
      <c r="C4" s="7" t="s">
        <v>8</v>
      </c>
      <c r="D4" s="6" t="s">
        <v>9</v>
      </c>
      <c r="E4" s="6">
        <v>21</v>
      </c>
      <c r="F4" s="8">
        <f>E4*16.5</f>
        <v>346.5</v>
      </c>
      <c r="G4" s="8" t="s">
        <v>10</v>
      </c>
      <c r="H4" s="8">
        <v>156.15</v>
      </c>
    </row>
    <row r="5" spans="2:8" ht="14.25" customHeight="1" x14ac:dyDescent="0.25">
      <c r="B5" s="6" t="s">
        <v>14</v>
      </c>
      <c r="C5" s="9" t="s">
        <v>15</v>
      </c>
      <c r="D5" s="6" t="s">
        <v>16</v>
      </c>
      <c r="E5" s="6" t="s">
        <v>10</v>
      </c>
      <c r="F5" s="8" t="s">
        <v>10</v>
      </c>
      <c r="G5" s="8" t="s">
        <v>10</v>
      </c>
      <c r="H5" s="8" t="s">
        <v>10</v>
      </c>
    </row>
    <row r="6" spans="2:8" ht="14.25" customHeight="1" x14ac:dyDescent="0.25">
      <c r="B6" s="6" t="s">
        <v>17</v>
      </c>
      <c r="C6" s="9" t="s">
        <v>18</v>
      </c>
      <c r="D6" s="6" t="s">
        <v>16</v>
      </c>
      <c r="E6" s="6">
        <v>22</v>
      </c>
      <c r="F6" s="8">
        <f t="shared" ref="F6:F14" si="0">E6*16.5</f>
        <v>363</v>
      </c>
      <c r="G6" s="8">
        <v>120</v>
      </c>
      <c r="H6" s="8" t="s">
        <v>10</v>
      </c>
    </row>
    <row r="7" spans="2:8" ht="14.25" customHeight="1" x14ac:dyDescent="0.25">
      <c r="B7" s="6" t="s">
        <v>19</v>
      </c>
      <c r="C7" s="9" t="s">
        <v>20</v>
      </c>
      <c r="D7" s="6" t="s">
        <v>16</v>
      </c>
      <c r="E7" s="6">
        <v>22</v>
      </c>
      <c r="F7" s="8">
        <f t="shared" si="0"/>
        <v>363</v>
      </c>
      <c r="G7" s="8">
        <v>120</v>
      </c>
      <c r="H7" s="8" t="s">
        <v>10</v>
      </c>
    </row>
    <row r="8" spans="2:8" ht="14.25" customHeight="1" x14ac:dyDescent="0.25">
      <c r="B8" s="6" t="s">
        <v>21</v>
      </c>
      <c r="C8" s="9" t="s">
        <v>22</v>
      </c>
      <c r="D8" s="6" t="s">
        <v>23</v>
      </c>
      <c r="E8" s="6">
        <v>22</v>
      </c>
      <c r="F8" s="8">
        <f t="shared" si="0"/>
        <v>363</v>
      </c>
      <c r="G8" s="8">
        <v>120</v>
      </c>
      <c r="H8" s="8" t="s">
        <v>10</v>
      </c>
    </row>
    <row r="9" spans="2:8" ht="14.25" customHeight="1" x14ac:dyDescent="0.25">
      <c r="B9" s="6" t="s">
        <v>27</v>
      </c>
      <c r="C9" s="9" t="s">
        <v>28</v>
      </c>
      <c r="D9" s="6" t="s">
        <v>29</v>
      </c>
      <c r="E9" s="6">
        <v>22</v>
      </c>
      <c r="F9" s="8">
        <f t="shared" si="0"/>
        <v>363</v>
      </c>
      <c r="G9" s="8">
        <v>120</v>
      </c>
      <c r="H9" s="8" t="s">
        <v>10</v>
      </c>
    </row>
    <row r="10" spans="2:8" ht="14.25" customHeight="1" x14ac:dyDescent="0.25">
      <c r="B10" s="6" t="s">
        <v>30</v>
      </c>
      <c r="C10" s="9" t="s">
        <v>31</v>
      </c>
      <c r="D10" s="6" t="s">
        <v>32</v>
      </c>
      <c r="E10" s="6">
        <v>22</v>
      </c>
      <c r="F10" s="8">
        <f t="shared" si="0"/>
        <v>363</v>
      </c>
      <c r="G10" s="8">
        <v>120</v>
      </c>
      <c r="H10" s="8" t="s">
        <v>10</v>
      </c>
    </row>
    <row r="11" spans="2:8" ht="14.25" customHeight="1" x14ac:dyDescent="0.25">
      <c r="B11" s="6" t="s">
        <v>33</v>
      </c>
      <c r="C11" s="9" t="s">
        <v>34</v>
      </c>
      <c r="D11" s="6" t="s">
        <v>35</v>
      </c>
      <c r="E11" s="6">
        <v>22</v>
      </c>
      <c r="F11" s="8">
        <f t="shared" si="0"/>
        <v>363</v>
      </c>
      <c r="G11" s="8">
        <v>120</v>
      </c>
      <c r="H11" s="8" t="s">
        <v>10</v>
      </c>
    </row>
    <row r="12" spans="2:8" ht="14.25" customHeight="1" x14ac:dyDescent="0.25">
      <c r="B12" s="6" t="s">
        <v>36</v>
      </c>
      <c r="C12" s="9" t="s">
        <v>37</v>
      </c>
      <c r="D12" s="6" t="s">
        <v>29</v>
      </c>
      <c r="E12" s="6">
        <v>11</v>
      </c>
      <c r="F12" s="8">
        <f t="shared" si="0"/>
        <v>181.5</v>
      </c>
      <c r="G12" s="8">
        <v>60</v>
      </c>
      <c r="H12" s="8" t="s">
        <v>10</v>
      </c>
    </row>
    <row r="13" spans="2:8" ht="14.25" customHeight="1" x14ac:dyDescent="0.25">
      <c r="B13" s="6" t="s">
        <v>38</v>
      </c>
      <c r="C13" s="9" t="s">
        <v>39</v>
      </c>
      <c r="D13" s="6" t="s">
        <v>40</v>
      </c>
      <c r="E13" s="6">
        <v>22</v>
      </c>
      <c r="F13" s="8">
        <f t="shared" si="0"/>
        <v>363</v>
      </c>
      <c r="G13" s="8" t="s">
        <v>10</v>
      </c>
      <c r="H13" s="8" t="s">
        <v>10</v>
      </c>
    </row>
    <row r="14" spans="2:8" ht="14.25" customHeight="1" x14ac:dyDescent="0.25">
      <c r="B14" s="6" t="s">
        <v>41</v>
      </c>
      <c r="C14" s="9" t="s">
        <v>42</v>
      </c>
      <c r="D14" s="6" t="s">
        <v>35</v>
      </c>
      <c r="E14" s="6">
        <v>22</v>
      </c>
      <c r="F14" s="8">
        <f t="shared" si="0"/>
        <v>363</v>
      </c>
      <c r="G14" s="8">
        <v>120</v>
      </c>
      <c r="H14" s="8" t="s">
        <v>10</v>
      </c>
    </row>
    <row r="15" spans="2:8" ht="14.25" customHeight="1" x14ac:dyDescent="0.25">
      <c r="B15" s="6" t="s">
        <v>234</v>
      </c>
      <c r="C15" s="9" t="s">
        <v>235</v>
      </c>
      <c r="D15" s="6" t="s">
        <v>103</v>
      </c>
      <c r="E15" s="6" t="s">
        <v>245</v>
      </c>
      <c r="F15" s="8">
        <v>600</v>
      </c>
      <c r="G15" s="8" t="s">
        <v>10</v>
      </c>
      <c r="H15" s="8" t="s">
        <v>10</v>
      </c>
    </row>
    <row r="16" spans="2:8" ht="14.25" customHeight="1" x14ac:dyDescent="0.25">
      <c r="B16" s="6" t="s">
        <v>45</v>
      </c>
      <c r="C16" s="9" t="s">
        <v>46</v>
      </c>
      <c r="D16" s="6" t="s">
        <v>47</v>
      </c>
      <c r="E16" s="6">
        <v>22</v>
      </c>
      <c r="F16" s="8">
        <f t="shared" ref="F16:F62" si="1">E16*16.5</f>
        <v>363</v>
      </c>
      <c r="G16" s="8">
        <v>120</v>
      </c>
      <c r="H16" s="8" t="s">
        <v>10</v>
      </c>
    </row>
    <row r="17" spans="2:8" ht="14.25" customHeight="1" x14ac:dyDescent="0.25">
      <c r="B17" s="12">
        <v>10705364402</v>
      </c>
      <c r="C17" s="13" t="s">
        <v>51</v>
      </c>
      <c r="D17" s="6" t="s">
        <v>52</v>
      </c>
      <c r="E17" s="6">
        <v>22</v>
      </c>
      <c r="F17" s="8">
        <f t="shared" si="1"/>
        <v>363</v>
      </c>
      <c r="G17" s="8">
        <v>120</v>
      </c>
      <c r="H17" s="8" t="s">
        <v>10</v>
      </c>
    </row>
    <row r="18" spans="2:8" ht="14.25" customHeight="1" x14ac:dyDescent="0.25">
      <c r="B18" s="6" t="s">
        <v>53</v>
      </c>
      <c r="C18" s="9" t="s">
        <v>54</v>
      </c>
      <c r="D18" s="6" t="s">
        <v>52</v>
      </c>
      <c r="E18" s="6">
        <v>22</v>
      </c>
      <c r="F18" s="8">
        <f t="shared" si="1"/>
        <v>363</v>
      </c>
      <c r="G18" s="8">
        <v>120</v>
      </c>
      <c r="H18" s="8" t="s">
        <v>10</v>
      </c>
    </row>
    <row r="19" spans="2:8" ht="14.25" customHeight="1" x14ac:dyDescent="0.25">
      <c r="B19" s="14" t="s">
        <v>55</v>
      </c>
      <c r="C19" s="9" t="s">
        <v>56</v>
      </c>
      <c r="D19" s="6" t="s">
        <v>32</v>
      </c>
      <c r="E19" s="6">
        <v>22</v>
      </c>
      <c r="F19" s="8">
        <f t="shared" si="1"/>
        <v>363</v>
      </c>
      <c r="G19" s="8">
        <v>120</v>
      </c>
      <c r="H19" s="8" t="s">
        <v>10</v>
      </c>
    </row>
    <row r="20" spans="2:8" ht="14.25" customHeight="1" x14ac:dyDescent="0.25">
      <c r="B20" s="14" t="s">
        <v>57</v>
      </c>
      <c r="C20" s="9" t="s">
        <v>58</v>
      </c>
      <c r="D20" s="6" t="s">
        <v>47</v>
      </c>
      <c r="E20" s="6">
        <v>22</v>
      </c>
      <c r="F20" s="8">
        <f t="shared" si="1"/>
        <v>363</v>
      </c>
      <c r="G20" s="8">
        <v>120</v>
      </c>
      <c r="H20" s="8" t="s">
        <v>10</v>
      </c>
    </row>
    <row r="21" spans="2:8" ht="14.25" customHeight="1" x14ac:dyDescent="0.25">
      <c r="B21" s="6" t="s">
        <v>59</v>
      </c>
      <c r="C21" s="9" t="s">
        <v>60</v>
      </c>
      <c r="D21" s="6" t="s">
        <v>9</v>
      </c>
      <c r="E21" s="6">
        <v>12</v>
      </c>
      <c r="F21" s="8">
        <f t="shared" si="1"/>
        <v>198</v>
      </c>
      <c r="G21" s="8" t="s">
        <v>10</v>
      </c>
      <c r="H21" s="8">
        <v>87.42</v>
      </c>
    </row>
    <row r="22" spans="2:8" ht="14.25" customHeight="1" x14ac:dyDescent="0.25">
      <c r="B22" s="6" t="s">
        <v>61</v>
      </c>
      <c r="C22" s="9" t="s">
        <v>62</v>
      </c>
      <c r="D22" s="6" t="s">
        <v>32</v>
      </c>
      <c r="E22" s="6">
        <v>22</v>
      </c>
      <c r="F22" s="8">
        <f t="shared" si="1"/>
        <v>363</v>
      </c>
      <c r="G22" s="8">
        <v>120</v>
      </c>
      <c r="H22" s="8" t="s">
        <v>10</v>
      </c>
    </row>
    <row r="23" spans="2:8" ht="14.25" customHeight="1" x14ac:dyDescent="0.25">
      <c r="B23" s="14" t="s">
        <v>66</v>
      </c>
      <c r="C23" s="9" t="s">
        <v>67</v>
      </c>
      <c r="D23" s="6" t="s">
        <v>32</v>
      </c>
      <c r="E23" s="6">
        <v>22</v>
      </c>
      <c r="F23" s="8">
        <f t="shared" si="1"/>
        <v>363</v>
      </c>
      <c r="G23" s="8">
        <v>120</v>
      </c>
      <c r="H23" s="8" t="s">
        <v>10</v>
      </c>
    </row>
    <row r="24" spans="2:8" ht="14.25" customHeight="1" x14ac:dyDescent="0.25">
      <c r="B24" s="6" t="s">
        <v>68</v>
      </c>
      <c r="C24" s="9" t="s">
        <v>69</v>
      </c>
      <c r="D24" s="6" t="s">
        <v>9</v>
      </c>
      <c r="E24" s="6">
        <v>23</v>
      </c>
      <c r="F24" s="8">
        <f t="shared" si="1"/>
        <v>379.5</v>
      </c>
      <c r="G24" s="8" t="s">
        <v>10</v>
      </c>
      <c r="H24" s="8" t="s">
        <v>10</v>
      </c>
    </row>
    <row r="25" spans="2:8" ht="14.25" customHeight="1" x14ac:dyDescent="0.25">
      <c r="B25" s="6" t="s">
        <v>224</v>
      </c>
      <c r="C25" s="35" t="s">
        <v>225</v>
      </c>
      <c r="D25" s="6" t="s">
        <v>143</v>
      </c>
      <c r="E25" s="6">
        <v>22</v>
      </c>
      <c r="F25" s="8">
        <f t="shared" si="1"/>
        <v>363</v>
      </c>
      <c r="G25" s="6" t="s">
        <v>10</v>
      </c>
      <c r="H25" s="8" t="s">
        <v>10</v>
      </c>
    </row>
    <row r="26" spans="2:8" ht="14.25" customHeight="1" x14ac:dyDescent="0.25">
      <c r="B26" s="6" t="s">
        <v>70</v>
      </c>
      <c r="C26" s="9" t="s">
        <v>71</v>
      </c>
      <c r="D26" s="6" t="s">
        <v>32</v>
      </c>
      <c r="E26" s="6">
        <v>22</v>
      </c>
      <c r="F26" s="8">
        <f t="shared" si="1"/>
        <v>363</v>
      </c>
      <c r="G26" s="8">
        <v>120</v>
      </c>
      <c r="H26" s="8" t="s">
        <v>10</v>
      </c>
    </row>
    <row r="27" spans="2:8" ht="14.25" customHeight="1" x14ac:dyDescent="0.25">
      <c r="B27" s="6" t="s">
        <v>72</v>
      </c>
      <c r="C27" s="9" t="s">
        <v>73</v>
      </c>
      <c r="D27" s="6" t="s">
        <v>9</v>
      </c>
      <c r="E27" s="6">
        <v>23</v>
      </c>
      <c r="F27" s="8">
        <f t="shared" si="1"/>
        <v>379.5</v>
      </c>
      <c r="G27" s="8">
        <v>120</v>
      </c>
      <c r="H27" s="8" t="s">
        <v>10</v>
      </c>
    </row>
    <row r="28" spans="2:8" ht="14.25" customHeight="1" x14ac:dyDescent="0.25">
      <c r="B28" s="14" t="s">
        <v>74</v>
      </c>
      <c r="C28" s="9" t="s">
        <v>75</v>
      </c>
      <c r="D28" s="6" t="s">
        <v>143</v>
      </c>
      <c r="E28" s="6">
        <v>22</v>
      </c>
      <c r="F28" s="8">
        <f t="shared" si="1"/>
        <v>363</v>
      </c>
      <c r="G28" s="8">
        <v>120</v>
      </c>
      <c r="H28" s="8" t="s">
        <v>10</v>
      </c>
    </row>
    <row r="29" spans="2:8" ht="14.25" customHeight="1" x14ac:dyDescent="0.25">
      <c r="B29" s="6" t="s">
        <v>237</v>
      </c>
      <c r="C29" s="35" t="s">
        <v>238</v>
      </c>
      <c r="D29" s="6" t="s">
        <v>103</v>
      </c>
      <c r="E29" s="6">
        <v>22</v>
      </c>
      <c r="F29" s="8">
        <f t="shared" si="1"/>
        <v>363</v>
      </c>
      <c r="G29" s="8">
        <v>120</v>
      </c>
      <c r="H29" s="6" t="s">
        <v>10</v>
      </c>
    </row>
    <row r="30" spans="2:8" ht="14.25" customHeight="1" x14ac:dyDescent="0.25">
      <c r="B30" s="6" t="s">
        <v>229</v>
      </c>
      <c r="C30" s="35" t="s">
        <v>230</v>
      </c>
      <c r="D30" s="6" t="s">
        <v>143</v>
      </c>
      <c r="E30" s="6">
        <v>22</v>
      </c>
      <c r="F30" s="8">
        <f t="shared" si="1"/>
        <v>363</v>
      </c>
      <c r="G30" s="8">
        <v>120</v>
      </c>
      <c r="H30" s="8" t="s">
        <v>10</v>
      </c>
    </row>
    <row r="31" spans="2:8" ht="14.25" customHeight="1" x14ac:dyDescent="0.25">
      <c r="B31" s="14" t="s">
        <v>80</v>
      </c>
      <c r="C31" s="9" t="s">
        <v>81</v>
      </c>
      <c r="D31" s="6" t="s">
        <v>16</v>
      </c>
      <c r="E31" s="6">
        <v>22</v>
      </c>
      <c r="F31" s="8">
        <f t="shared" si="1"/>
        <v>363</v>
      </c>
      <c r="G31" s="8">
        <v>120</v>
      </c>
      <c r="H31" s="8" t="s">
        <v>10</v>
      </c>
    </row>
    <row r="32" spans="2:8" ht="14.25" customHeight="1" x14ac:dyDescent="0.25">
      <c r="B32" s="14" t="s">
        <v>84</v>
      </c>
      <c r="C32" s="9" t="s">
        <v>85</v>
      </c>
      <c r="D32" s="6" t="s">
        <v>86</v>
      </c>
      <c r="E32" s="6">
        <v>22</v>
      </c>
      <c r="F32" s="8">
        <f t="shared" si="1"/>
        <v>363</v>
      </c>
      <c r="G32" s="8">
        <v>120</v>
      </c>
      <c r="H32" s="8" t="s">
        <v>10</v>
      </c>
    </row>
    <row r="33" spans="2:8" ht="14.25" customHeight="1" x14ac:dyDescent="0.25">
      <c r="B33" s="14" t="s">
        <v>87</v>
      </c>
      <c r="C33" s="9" t="s">
        <v>88</v>
      </c>
      <c r="D33" s="6" t="s">
        <v>23</v>
      </c>
      <c r="E33" s="6">
        <v>22</v>
      </c>
      <c r="F33" s="8">
        <f t="shared" si="1"/>
        <v>363</v>
      </c>
      <c r="G33" s="8" t="s">
        <v>10</v>
      </c>
      <c r="H33" s="8" t="s">
        <v>10</v>
      </c>
    </row>
    <row r="34" spans="2:8" ht="14.25" customHeight="1" x14ac:dyDescent="0.25">
      <c r="B34" s="14" t="s">
        <v>89</v>
      </c>
      <c r="C34" s="9" t="s">
        <v>90</v>
      </c>
      <c r="D34" s="6" t="s">
        <v>35</v>
      </c>
      <c r="E34" s="6">
        <v>22</v>
      </c>
      <c r="F34" s="8">
        <f t="shared" si="1"/>
        <v>363</v>
      </c>
      <c r="G34" s="8" t="s">
        <v>10</v>
      </c>
      <c r="H34" s="8" t="s">
        <v>10</v>
      </c>
    </row>
    <row r="35" spans="2:8" ht="14.25" customHeight="1" x14ac:dyDescent="0.25">
      <c r="B35" s="14" t="s">
        <v>91</v>
      </c>
      <c r="C35" s="9" t="s">
        <v>92</v>
      </c>
      <c r="D35" s="6" t="s">
        <v>35</v>
      </c>
      <c r="E35" s="6">
        <v>22</v>
      </c>
      <c r="F35" s="8">
        <f t="shared" si="1"/>
        <v>363</v>
      </c>
      <c r="G35" s="8">
        <v>120</v>
      </c>
      <c r="H35" s="8" t="s">
        <v>10</v>
      </c>
    </row>
    <row r="36" spans="2:8" ht="14.25" customHeight="1" x14ac:dyDescent="0.25">
      <c r="B36" s="15" t="s">
        <v>93</v>
      </c>
      <c r="C36" s="7" t="s">
        <v>94</v>
      </c>
      <c r="D36" s="6" t="s">
        <v>52</v>
      </c>
      <c r="E36" s="6">
        <v>22</v>
      </c>
      <c r="F36" s="8">
        <f t="shared" si="1"/>
        <v>363</v>
      </c>
      <c r="G36" s="8" t="s">
        <v>10</v>
      </c>
      <c r="H36" s="8">
        <v>403.25</v>
      </c>
    </row>
    <row r="37" spans="2:8" ht="14.25" customHeight="1" x14ac:dyDescent="0.25">
      <c r="B37" s="14" t="s">
        <v>95</v>
      </c>
      <c r="C37" s="9" t="s">
        <v>96</v>
      </c>
      <c r="D37" s="6" t="s">
        <v>47</v>
      </c>
      <c r="E37" s="6">
        <v>22</v>
      </c>
      <c r="F37" s="8">
        <f t="shared" si="1"/>
        <v>363</v>
      </c>
      <c r="G37" s="8">
        <v>120</v>
      </c>
      <c r="H37" s="8" t="s">
        <v>10</v>
      </c>
    </row>
    <row r="38" spans="2:8" ht="14.25" customHeight="1" x14ac:dyDescent="0.25">
      <c r="B38" s="14" t="s">
        <v>97</v>
      </c>
      <c r="C38" s="9" t="s">
        <v>98</v>
      </c>
      <c r="D38" s="6" t="s">
        <v>86</v>
      </c>
      <c r="E38" s="6">
        <v>12</v>
      </c>
      <c r="F38" s="8">
        <f t="shared" si="1"/>
        <v>198</v>
      </c>
      <c r="G38" s="8">
        <v>120</v>
      </c>
      <c r="H38" s="8" t="s">
        <v>10</v>
      </c>
    </row>
    <row r="39" spans="2:8" ht="14.25" customHeight="1" x14ac:dyDescent="0.25">
      <c r="B39" s="6" t="s">
        <v>99</v>
      </c>
      <c r="C39" s="9" t="s">
        <v>100</v>
      </c>
      <c r="D39" s="6" t="s">
        <v>13</v>
      </c>
      <c r="E39" s="6">
        <v>22</v>
      </c>
      <c r="F39" s="8">
        <f t="shared" si="1"/>
        <v>363</v>
      </c>
      <c r="G39" s="8">
        <v>120</v>
      </c>
      <c r="H39" s="8" t="s">
        <v>10</v>
      </c>
    </row>
    <row r="40" spans="2:8" ht="14.25" customHeight="1" x14ac:dyDescent="0.25">
      <c r="B40" s="6" t="s">
        <v>101</v>
      </c>
      <c r="C40" s="9" t="s">
        <v>102</v>
      </c>
      <c r="D40" s="6" t="s">
        <v>103</v>
      </c>
      <c r="E40" s="6">
        <v>22</v>
      </c>
      <c r="F40" s="8">
        <f t="shared" si="1"/>
        <v>363</v>
      </c>
      <c r="G40" s="8" t="s">
        <v>10</v>
      </c>
      <c r="H40" s="8" t="s">
        <v>10</v>
      </c>
    </row>
    <row r="41" spans="2:8" ht="14.25" customHeight="1" x14ac:dyDescent="0.25">
      <c r="B41" s="6" t="s">
        <v>227</v>
      </c>
      <c r="C41" s="35" t="s">
        <v>228</v>
      </c>
      <c r="D41" s="6" t="s">
        <v>65</v>
      </c>
      <c r="E41" s="6">
        <v>22</v>
      </c>
      <c r="F41" s="8">
        <f t="shared" si="1"/>
        <v>363</v>
      </c>
      <c r="G41" s="8">
        <v>120</v>
      </c>
      <c r="H41" s="8" t="s">
        <v>10</v>
      </c>
    </row>
    <row r="42" spans="2:8" ht="14.25" customHeight="1" x14ac:dyDescent="0.25">
      <c r="B42" s="14" t="s">
        <v>104</v>
      </c>
      <c r="C42" s="9" t="s">
        <v>105</v>
      </c>
      <c r="D42" s="6" t="s">
        <v>9</v>
      </c>
      <c r="E42" s="6">
        <v>23</v>
      </c>
      <c r="F42" s="8">
        <f t="shared" si="1"/>
        <v>379.5</v>
      </c>
      <c r="G42" s="8">
        <v>120</v>
      </c>
      <c r="H42" s="8" t="s">
        <v>10</v>
      </c>
    </row>
    <row r="43" spans="2:8" ht="14.25" customHeight="1" x14ac:dyDescent="0.25">
      <c r="B43" s="14" t="s">
        <v>106</v>
      </c>
      <c r="C43" s="9" t="s">
        <v>107</v>
      </c>
      <c r="D43" s="6" t="s">
        <v>47</v>
      </c>
      <c r="E43" s="6">
        <v>22</v>
      </c>
      <c r="F43" s="8">
        <f t="shared" si="1"/>
        <v>363</v>
      </c>
      <c r="G43" s="8">
        <v>120</v>
      </c>
      <c r="H43" s="8" t="s">
        <v>10</v>
      </c>
    </row>
    <row r="44" spans="2:8" ht="14.25" customHeight="1" x14ac:dyDescent="0.25">
      <c r="B44" s="14" t="s">
        <v>108</v>
      </c>
      <c r="C44" s="9" t="s">
        <v>109</v>
      </c>
      <c r="D44" s="6" t="s">
        <v>23</v>
      </c>
      <c r="E44" s="6">
        <v>22</v>
      </c>
      <c r="F44" s="8">
        <f t="shared" si="1"/>
        <v>363</v>
      </c>
      <c r="G44" s="8">
        <v>120</v>
      </c>
      <c r="H44" s="8" t="s">
        <v>10</v>
      </c>
    </row>
    <row r="45" spans="2:8" ht="14.25" customHeight="1" x14ac:dyDescent="0.25">
      <c r="B45" s="14" t="s">
        <v>112</v>
      </c>
      <c r="C45" s="9" t="s">
        <v>113</v>
      </c>
      <c r="D45" s="6" t="s">
        <v>52</v>
      </c>
      <c r="E45" s="6">
        <v>22</v>
      </c>
      <c r="F45" s="8">
        <f t="shared" si="1"/>
        <v>363</v>
      </c>
      <c r="G45" s="8">
        <v>120</v>
      </c>
      <c r="H45" s="8" t="s">
        <v>10</v>
      </c>
    </row>
    <row r="46" spans="2:8" ht="14.25" customHeight="1" x14ac:dyDescent="0.25">
      <c r="B46" s="6" t="s">
        <v>239</v>
      </c>
      <c r="C46" s="35" t="s">
        <v>240</v>
      </c>
      <c r="D46" s="6" t="s">
        <v>143</v>
      </c>
      <c r="E46" s="6">
        <v>22</v>
      </c>
      <c r="F46" s="8">
        <f t="shared" si="1"/>
        <v>363</v>
      </c>
      <c r="G46" s="8" t="s">
        <v>241</v>
      </c>
      <c r="H46" s="8">
        <v>56</v>
      </c>
    </row>
    <row r="47" spans="2:8" ht="14.25" customHeight="1" x14ac:dyDescent="0.25">
      <c r="B47" s="14" t="s">
        <v>114</v>
      </c>
      <c r="C47" s="9" t="s">
        <v>115</v>
      </c>
      <c r="D47" s="6" t="s">
        <v>143</v>
      </c>
      <c r="E47" s="6">
        <v>22</v>
      </c>
      <c r="F47" s="8">
        <f t="shared" si="1"/>
        <v>363</v>
      </c>
      <c r="G47" s="8">
        <v>120</v>
      </c>
      <c r="H47" s="8" t="s">
        <v>10</v>
      </c>
    </row>
    <row r="48" spans="2:8" ht="14.25" customHeight="1" x14ac:dyDescent="0.25">
      <c r="B48" s="6" t="s">
        <v>116</v>
      </c>
      <c r="C48" s="9" t="s">
        <v>117</v>
      </c>
      <c r="D48" s="16" t="s">
        <v>23</v>
      </c>
      <c r="E48" s="6">
        <v>22</v>
      </c>
      <c r="F48" s="8">
        <f t="shared" si="1"/>
        <v>363</v>
      </c>
      <c r="G48" s="8">
        <v>120</v>
      </c>
      <c r="H48" s="8" t="s">
        <v>10</v>
      </c>
    </row>
    <row r="49" spans="2:8" ht="14.25" customHeight="1" x14ac:dyDescent="0.25">
      <c r="B49" s="14" t="s">
        <v>118</v>
      </c>
      <c r="C49" s="9" t="s">
        <v>119</v>
      </c>
      <c r="D49" s="6" t="s">
        <v>9</v>
      </c>
      <c r="E49" s="6">
        <v>23</v>
      </c>
      <c r="F49" s="8">
        <f t="shared" si="1"/>
        <v>379.5</v>
      </c>
      <c r="G49" s="8">
        <v>120</v>
      </c>
      <c r="H49" s="8" t="s">
        <v>10</v>
      </c>
    </row>
    <row r="50" spans="2:8" ht="14.25" customHeight="1" x14ac:dyDescent="0.25">
      <c r="B50" s="6" t="s">
        <v>120</v>
      </c>
      <c r="C50" s="9" t="s">
        <v>121</v>
      </c>
      <c r="D50" s="6" t="s">
        <v>52</v>
      </c>
      <c r="E50" s="6">
        <v>22</v>
      </c>
      <c r="F50" s="8">
        <f t="shared" si="1"/>
        <v>363</v>
      </c>
      <c r="G50" s="8" t="s">
        <v>10</v>
      </c>
      <c r="H50" s="8">
        <v>99.8</v>
      </c>
    </row>
    <row r="51" spans="2:8" ht="14.25" customHeight="1" x14ac:dyDescent="0.25">
      <c r="B51" s="14" t="s">
        <v>122</v>
      </c>
      <c r="C51" s="9" t="s">
        <v>123</v>
      </c>
      <c r="D51" s="6" t="s">
        <v>143</v>
      </c>
      <c r="E51" s="6">
        <v>22</v>
      </c>
      <c r="F51" s="8">
        <f t="shared" si="1"/>
        <v>363</v>
      </c>
      <c r="G51" s="8">
        <v>120</v>
      </c>
      <c r="H51" s="8" t="s">
        <v>10</v>
      </c>
    </row>
    <row r="52" spans="2:8" ht="14.25" customHeight="1" x14ac:dyDescent="0.25">
      <c r="B52" s="14" t="s">
        <v>124</v>
      </c>
      <c r="C52" s="9" t="s">
        <v>125</v>
      </c>
      <c r="D52" s="6" t="s">
        <v>86</v>
      </c>
      <c r="E52" s="6">
        <v>22</v>
      </c>
      <c r="F52" s="8">
        <f t="shared" si="1"/>
        <v>363</v>
      </c>
      <c r="G52" s="8">
        <v>120</v>
      </c>
      <c r="H52" s="8" t="s">
        <v>10</v>
      </c>
    </row>
    <row r="53" spans="2:8" ht="14.25" customHeight="1" x14ac:dyDescent="0.25">
      <c r="B53" s="14" t="s">
        <v>126</v>
      </c>
      <c r="C53" s="9" t="s">
        <v>127</v>
      </c>
      <c r="D53" s="6" t="s">
        <v>29</v>
      </c>
      <c r="E53" s="6">
        <v>22</v>
      </c>
      <c r="F53" s="8">
        <f t="shared" si="1"/>
        <v>363</v>
      </c>
      <c r="G53" s="8">
        <v>120</v>
      </c>
      <c r="H53" s="8" t="s">
        <v>10</v>
      </c>
    </row>
    <row r="54" spans="2:8" ht="14.25" customHeight="1" x14ac:dyDescent="0.25">
      <c r="B54" s="12">
        <v>4912836443</v>
      </c>
      <c r="C54" s="9" t="s">
        <v>128</v>
      </c>
      <c r="D54" s="6" t="s">
        <v>86</v>
      </c>
      <c r="E54" s="6">
        <v>22</v>
      </c>
      <c r="F54" s="8">
        <f t="shared" si="1"/>
        <v>363</v>
      </c>
      <c r="G54" s="8">
        <v>120</v>
      </c>
      <c r="H54" s="8" t="s">
        <v>10</v>
      </c>
    </row>
    <row r="55" spans="2:8" ht="14.25" customHeight="1" x14ac:dyDescent="0.25">
      <c r="B55" s="6" t="s">
        <v>242</v>
      </c>
      <c r="C55" s="35" t="s">
        <v>243</v>
      </c>
      <c r="D55" s="6" t="s">
        <v>40</v>
      </c>
      <c r="E55" s="6">
        <v>22</v>
      </c>
      <c r="F55" s="8">
        <f t="shared" si="1"/>
        <v>363</v>
      </c>
      <c r="G55" s="8">
        <v>120</v>
      </c>
      <c r="H55" s="6" t="s">
        <v>10</v>
      </c>
    </row>
    <row r="56" spans="2:8" ht="14.25" customHeight="1" x14ac:dyDescent="0.25">
      <c r="B56" s="17" t="s">
        <v>129</v>
      </c>
      <c r="C56" s="13" t="s">
        <v>130</v>
      </c>
      <c r="D56" s="6" t="s">
        <v>16</v>
      </c>
      <c r="E56" s="6">
        <v>22</v>
      </c>
      <c r="F56" s="8">
        <f t="shared" si="1"/>
        <v>363</v>
      </c>
      <c r="G56" s="8">
        <v>120</v>
      </c>
      <c r="H56" s="8" t="s">
        <v>10</v>
      </c>
    </row>
    <row r="57" spans="2:8" ht="14.25" customHeight="1" x14ac:dyDescent="0.25">
      <c r="B57" s="14" t="s">
        <v>131</v>
      </c>
      <c r="C57" s="9" t="s">
        <v>132</v>
      </c>
      <c r="D57" s="6" t="s">
        <v>143</v>
      </c>
      <c r="E57" s="6">
        <v>22</v>
      </c>
      <c r="F57" s="8">
        <f t="shared" si="1"/>
        <v>363</v>
      </c>
      <c r="G57" s="8">
        <v>120</v>
      </c>
      <c r="H57" s="8" t="s">
        <v>10</v>
      </c>
    </row>
    <row r="58" spans="2:8" ht="14.25" customHeight="1" x14ac:dyDescent="0.25">
      <c r="B58" s="14" t="s">
        <v>135</v>
      </c>
      <c r="C58" s="9" t="s">
        <v>136</v>
      </c>
      <c r="D58" s="6" t="s">
        <v>9</v>
      </c>
      <c r="E58" s="6">
        <v>11</v>
      </c>
      <c r="F58" s="8">
        <f t="shared" si="1"/>
        <v>181.5</v>
      </c>
      <c r="G58" s="8">
        <v>60</v>
      </c>
      <c r="H58" s="8" t="s">
        <v>10</v>
      </c>
    </row>
    <row r="59" spans="2:8" ht="14.25" customHeight="1" x14ac:dyDescent="0.25">
      <c r="B59" s="14" t="s">
        <v>137</v>
      </c>
      <c r="C59" s="9" t="s">
        <v>138</v>
      </c>
      <c r="D59" s="6" t="s">
        <v>29</v>
      </c>
      <c r="E59" s="6">
        <v>22</v>
      </c>
      <c r="F59" s="8">
        <f t="shared" si="1"/>
        <v>363</v>
      </c>
      <c r="G59" s="8">
        <v>120</v>
      </c>
      <c r="H59" s="8" t="s">
        <v>10</v>
      </c>
    </row>
    <row r="60" spans="2:8" ht="14.25" customHeight="1" x14ac:dyDescent="0.25">
      <c r="B60" s="14" t="s">
        <v>139</v>
      </c>
      <c r="C60" s="9" t="s">
        <v>140</v>
      </c>
      <c r="D60" s="6" t="s">
        <v>29</v>
      </c>
      <c r="E60" s="6">
        <v>22</v>
      </c>
      <c r="F60" s="8">
        <f t="shared" si="1"/>
        <v>363</v>
      </c>
      <c r="G60" s="8">
        <v>120</v>
      </c>
      <c r="H60" s="8" t="s">
        <v>10</v>
      </c>
    </row>
    <row r="61" spans="2:8" ht="14.25" customHeight="1" x14ac:dyDescent="0.25">
      <c r="B61" s="6" t="s">
        <v>141</v>
      </c>
      <c r="C61" s="9" t="s">
        <v>142</v>
      </c>
      <c r="D61" s="6" t="s">
        <v>143</v>
      </c>
      <c r="E61" s="6">
        <v>22</v>
      </c>
      <c r="F61" s="8">
        <f t="shared" si="1"/>
        <v>363</v>
      </c>
      <c r="G61" s="8">
        <v>120</v>
      </c>
      <c r="H61" s="8" t="s">
        <v>10</v>
      </c>
    </row>
    <row r="62" spans="2:8" ht="14.25" customHeight="1" x14ac:dyDescent="0.25">
      <c r="B62" s="6" t="s">
        <v>144</v>
      </c>
      <c r="C62" s="9" t="s">
        <v>145</v>
      </c>
      <c r="D62" s="6" t="s">
        <v>143</v>
      </c>
      <c r="E62" s="6">
        <v>22</v>
      </c>
      <c r="F62" s="8">
        <f t="shared" si="1"/>
        <v>363</v>
      </c>
      <c r="G62" s="8">
        <v>120</v>
      </c>
      <c r="H62" s="8" t="s">
        <v>10</v>
      </c>
    </row>
    <row r="63" spans="2:8" ht="14.25" customHeight="1" x14ac:dyDescent="0.25">
      <c r="B63" s="14" t="s">
        <v>158</v>
      </c>
      <c r="C63" s="9" t="s">
        <v>159</v>
      </c>
      <c r="D63" s="6" t="s">
        <v>29</v>
      </c>
      <c r="E63" s="6" t="s">
        <v>10</v>
      </c>
      <c r="F63" s="8" t="s">
        <v>10</v>
      </c>
      <c r="G63" s="8" t="s">
        <v>10</v>
      </c>
      <c r="H63" s="8" t="s">
        <v>10</v>
      </c>
    </row>
    <row r="64" spans="2:8" ht="14.25" customHeight="1" x14ac:dyDescent="0.25">
      <c r="B64" s="14" t="s">
        <v>146</v>
      </c>
      <c r="C64" s="9" t="s">
        <v>147</v>
      </c>
      <c r="D64" s="6" t="s">
        <v>52</v>
      </c>
      <c r="E64" s="6">
        <v>22</v>
      </c>
      <c r="F64" s="8">
        <f t="shared" ref="F64:F96" si="2">E64*16.5</f>
        <v>363</v>
      </c>
      <c r="G64" s="8">
        <v>120</v>
      </c>
      <c r="H64" s="8" t="s">
        <v>10</v>
      </c>
    </row>
    <row r="65" spans="2:8" ht="14.25" customHeight="1" x14ac:dyDescent="0.25">
      <c r="B65" s="14" t="s">
        <v>148</v>
      </c>
      <c r="C65" s="9" t="s">
        <v>149</v>
      </c>
      <c r="D65" s="6" t="s">
        <v>103</v>
      </c>
      <c r="E65" s="6">
        <v>22</v>
      </c>
      <c r="F65" s="8">
        <f t="shared" si="2"/>
        <v>363</v>
      </c>
      <c r="G65" s="8">
        <v>120</v>
      </c>
      <c r="H65" s="8" t="s">
        <v>10</v>
      </c>
    </row>
    <row r="66" spans="2:8" ht="14.25" customHeight="1" x14ac:dyDescent="0.25">
      <c r="B66" s="6" t="s">
        <v>150</v>
      </c>
      <c r="C66" s="9" t="s">
        <v>151</v>
      </c>
      <c r="D66" s="6" t="s">
        <v>32</v>
      </c>
      <c r="E66" s="6">
        <v>22</v>
      </c>
      <c r="F66" s="8">
        <f t="shared" si="2"/>
        <v>363</v>
      </c>
      <c r="G66" s="8">
        <v>120</v>
      </c>
      <c r="H66" s="8" t="s">
        <v>10</v>
      </c>
    </row>
    <row r="67" spans="2:8" ht="14.25" customHeight="1" x14ac:dyDescent="0.25">
      <c r="B67" s="6" t="s">
        <v>152</v>
      </c>
      <c r="C67" s="9" t="s">
        <v>153</v>
      </c>
      <c r="D67" s="6" t="s">
        <v>13</v>
      </c>
      <c r="E67" s="6">
        <v>22</v>
      </c>
      <c r="F67" s="8">
        <f t="shared" si="2"/>
        <v>363</v>
      </c>
      <c r="G67" s="8">
        <v>120</v>
      </c>
      <c r="H67" s="8" t="s">
        <v>10</v>
      </c>
    </row>
    <row r="68" spans="2:8" ht="14.25" customHeight="1" x14ac:dyDescent="0.25">
      <c r="B68" s="14" t="s">
        <v>154</v>
      </c>
      <c r="C68" s="9" t="s">
        <v>155</v>
      </c>
      <c r="D68" s="6" t="s">
        <v>65</v>
      </c>
      <c r="E68" s="6">
        <v>22</v>
      </c>
      <c r="F68" s="8">
        <f t="shared" si="2"/>
        <v>363</v>
      </c>
      <c r="G68" s="8">
        <v>120</v>
      </c>
      <c r="H68" s="8" t="s">
        <v>10</v>
      </c>
    </row>
    <row r="69" spans="2:8" ht="14.25" customHeight="1" x14ac:dyDescent="0.25">
      <c r="B69" s="6" t="s">
        <v>156</v>
      </c>
      <c r="C69" s="9" t="s">
        <v>157</v>
      </c>
      <c r="D69" s="6" t="s">
        <v>16</v>
      </c>
      <c r="E69" s="6">
        <v>22</v>
      </c>
      <c r="F69" s="8">
        <f t="shared" si="2"/>
        <v>363</v>
      </c>
      <c r="G69" s="8">
        <v>120</v>
      </c>
      <c r="H69" s="8" t="s">
        <v>10</v>
      </c>
    </row>
    <row r="70" spans="2:8" ht="14.25" customHeight="1" x14ac:dyDescent="0.25">
      <c r="B70" s="6" t="s">
        <v>160</v>
      </c>
      <c r="C70" s="9" t="s">
        <v>161</v>
      </c>
      <c r="D70" s="6" t="s">
        <v>9</v>
      </c>
      <c r="E70" s="6">
        <v>24</v>
      </c>
      <c r="F70" s="8">
        <f t="shared" si="2"/>
        <v>396</v>
      </c>
      <c r="G70" s="8">
        <v>120</v>
      </c>
      <c r="H70" s="8" t="s">
        <v>10</v>
      </c>
    </row>
    <row r="71" spans="2:8" ht="14.25" customHeight="1" x14ac:dyDescent="0.25">
      <c r="B71" s="14" t="s">
        <v>162</v>
      </c>
      <c r="C71" s="9" t="s">
        <v>163</v>
      </c>
      <c r="D71" s="6" t="s">
        <v>103</v>
      </c>
      <c r="E71" s="6">
        <v>22</v>
      </c>
      <c r="F71" s="8">
        <f t="shared" si="2"/>
        <v>363</v>
      </c>
      <c r="G71" s="8" t="s">
        <v>10</v>
      </c>
      <c r="H71" s="8" t="s">
        <v>10</v>
      </c>
    </row>
    <row r="72" spans="2:8" ht="14.25" customHeight="1" x14ac:dyDescent="0.25">
      <c r="B72" s="14" t="s">
        <v>164</v>
      </c>
      <c r="C72" s="9" t="s">
        <v>165</v>
      </c>
      <c r="D72" s="6" t="s">
        <v>29</v>
      </c>
      <c r="E72" s="6">
        <v>22</v>
      </c>
      <c r="F72" s="8">
        <f t="shared" si="2"/>
        <v>363</v>
      </c>
      <c r="G72" s="8">
        <v>120</v>
      </c>
      <c r="H72" s="8" t="s">
        <v>10</v>
      </c>
    </row>
    <row r="73" spans="2:8" ht="14.25" customHeight="1" x14ac:dyDescent="0.25">
      <c r="B73" s="6" t="s">
        <v>221</v>
      </c>
      <c r="C73" s="35" t="s">
        <v>222</v>
      </c>
      <c r="D73" s="6" t="s">
        <v>32</v>
      </c>
      <c r="E73" s="6">
        <v>22</v>
      </c>
      <c r="F73" s="8">
        <f t="shared" si="2"/>
        <v>363</v>
      </c>
      <c r="G73" s="6" t="s">
        <v>10</v>
      </c>
      <c r="H73" s="8">
        <v>196.45</v>
      </c>
    </row>
    <row r="74" spans="2:8" ht="14.25" customHeight="1" x14ac:dyDescent="0.25">
      <c r="B74" s="14" t="s">
        <v>166</v>
      </c>
      <c r="C74" s="9" t="s">
        <v>167</v>
      </c>
      <c r="D74" s="6" t="s">
        <v>52</v>
      </c>
      <c r="E74" s="6">
        <v>22</v>
      </c>
      <c r="F74" s="8">
        <f t="shared" si="2"/>
        <v>363</v>
      </c>
      <c r="G74" s="8" t="s">
        <v>10</v>
      </c>
      <c r="H74" s="8">
        <v>572.35</v>
      </c>
    </row>
    <row r="75" spans="2:8" ht="14.25" customHeight="1" x14ac:dyDescent="0.25">
      <c r="B75" s="6" t="s">
        <v>170</v>
      </c>
      <c r="C75" s="9" t="s">
        <v>171</v>
      </c>
      <c r="D75" s="6" t="s">
        <v>52</v>
      </c>
      <c r="E75" s="6">
        <v>22</v>
      </c>
      <c r="F75" s="8">
        <f t="shared" si="2"/>
        <v>363</v>
      </c>
      <c r="G75" s="8">
        <v>120</v>
      </c>
      <c r="H75" s="8" t="s">
        <v>10</v>
      </c>
    </row>
    <row r="76" spans="2:8" ht="14.25" customHeight="1" x14ac:dyDescent="0.25">
      <c r="B76" s="23" t="s">
        <v>172</v>
      </c>
      <c r="C76" s="9" t="s">
        <v>173</v>
      </c>
      <c r="D76" s="6" t="s">
        <v>174</v>
      </c>
      <c r="E76" s="6">
        <v>22</v>
      </c>
      <c r="F76" s="8">
        <f t="shared" si="2"/>
        <v>363</v>
      </c>
      <c r="G76" s="8">
        <v>120</v>
      </c>
      <c r="H76" s="8" t="s">
        <v>10</v>
      </c>
    </row>
    <row r="77" spans="2:8" ht="14.25" customHeight="1" x14ac:dyDescent="0.25">
      <c r="B77" s="14" t="s">
        <v>175</v>
      </c>
      <c r="C77" s="9" t="s">
        <v>176</v>
      </c>
      <c r="D77" s="6" t="s">
        <v>9</v>
      </c>
      <c r="E77" s="6">
        <v>23</v>
      </c>
      <c r="F77" s="8">
        <f t="shared" si="2"/>
        <v>379.5</v>
      </c>
      <c r="G77" s="8">
        <v>120</v>
      </c>
      <c r="H77" s="8" t="s">
        <v>10</v>
      </c>
    </row>
    <row r="78" spans="2:8" ht="14.25" customHeight="1" x14ac:dyDescent="0.25">
      <c r="B78" s="14" t="s">
        <v>177</v>
      </c>
      <c r="C78" s="9" t="s">
        <v>178</v>
      </c>
      <c r="D78" s="6" t="s">
        <v>9</v>
      </c>
      <c r="E78" s="6">
        <v>23</v>
      </c>
      <c r="F78" s="8">
        <f t="shared" si="2"/>
        <v>379.5</v>
      </c>
      <c r="G78" s="8">
        <v>120</v>
      </c>
      <c r="H78" s="8" t="s">
        <v>10</v>
      </c>
    </row>
    <row r="79" spans="2:8" ht="14.25" customHeight="1" x14ac:dyDescent="0.25">
      <c r="B79" s="6" t="s">
        <v>181</v>
      </c>
      <c r="C79" s="9" t="s">
        <v>182</v>
      </c>
      <c r="D79" s="6" t="s">
        <v>9</v>
      </c>
      <c r="E79" s="6">
        <v>24</v>
      </c>
      <c r="F79" s="8">
        <f t="shared" si="2"/>
        <v>396</v>
      </c>
      <c r="G79" s="8" t="s">
        <v>10</v>
      </c>
      <c r="H79" s="8">
        <v>167.85</v>
      </c>
    </row>
    <row r="80" spans="2:8" ht="14.25" customHeight="1" x14ac:dyDescent="0.25">
      <c r="B80" s="6" t="s">
        <v>183</v>
      </c>
      <c r="C80" s="9" t="s">
        <v>184</v>
      </c>
      <c r="D80" s="6" t="s">
        <v>32</v>
      </c>
      <c r="E80" s="6">
        <v>22</v>
      </c>
      <c r="F80" s="8">
        <f t="shared" si="2"/>
        <v>363</v>
      </c>
      <c r="G80" s="8">
        <v>120</v>
      </c>
      <c r="H80" s="8" t="s">
        <v>10</v>
      </c>
    </row>
    <row r="81" spans="2:8" ht="14.25" customHeight="1" x14ac:dyDescent="0.25">
      <c r="B81" s="14" t="s">
        <v>185</v>
      </c>
      <c r="C81" s="9" t="s">
        <v>186</v>
      </c>
      <c r="D81" s="6" t="s">
        <v>143</v>
      </c>
      <c r="E81" s="6">
        <v>22</v>
      </c>
      <c r="F81" s="8">
        <f t="shared" si="2"/>
        <v>363</v>
      </c>
      <c r="G81" s="8">
        <v>120</v>
      </c>
      <c r="H81" s="8" t="s">
        <v>10</v>
      </c>
    </row>
    <row r="82" spans="2:8" ht="14.25" customHeight="1" x14ac:dyDescent="0.25">
      <c r="B82" s="14" t="s">
        <v>187</v>
      </c>
      <c r="C82" s="9" t="s">
        <v>188</v>
      </c>
      <c r="D82" s="6" t="s">
        <v>29</v>
      </c>
      <c r="E82" s="6">
        <v>22</v>
      </c>
      <c r="F82" s="8">
        <f t="shared" si="2"/>
        <v>363</v>
      </c>
      <c r="G82" s="8" t="s">
        <v>10</v>
      </c>
      <c r="H82" s="8" t="s">
        <v>10</v>
      </c>
    </row>
    <row r="83" spans="2:8" ht="14.25" customHeight="1" x14ac:dyDescent="0.25">
      <c r="B83" s="14" t="s">
        <v>189</v>
      </c>
      <c r="C83" s="9" t="s">
        <v>190</v>
      </c>
      <c r="D83" s="6" t="s">
        <v>16</v>
      </c>
      <c r="E83" s="6">
        <v>22</v>
      </c>
      <c r="F83" s="8">
        <f t="shared" si="2"/>
        <v>363</v>
      </c>
      <c r="G83" s="8">
        <v>120</v>
      </c>
      <c r="H83" s="8" t="s">
        <v>10</v>
      </c>
    </row>
    <row r="84" spans="2:8" ht="14.25" customHeight="1" x14ac:dyDescent="0.25">
      <c r="B84" s="14" t="s">
        <v>191</v>
      </c>
      <c r="C84" s="9" t="s">
        <v>192</v>
      </c>
      <c r="D84" s="6" t="s">
        <v>47</v>
      </c>
      <c r="E84" s="6">
        <v>22</v>
      </c>
      <c r="F84" s="8">
        <f t="shared" si="2"/>
        <v>363</v>
      </c>
      <c r="G84" s="8">
        <v>120</v>
      </c>
      <c r="H84" s="8" t="s">
        <v>10</v>
      </c>
    </row>
    <row r="85" spans="2:8" ht="14.25" customHeight="1" x14ac:dyDescent="0.25">
      <c r="B85" s="14" t="s">
        <v>193</v>
      </c>
      <c r="C85" s="9" t="s">
        <v>194</v>
      </c>
      <c r="D85" s="6" t="s">
        <v>52</v>
      </c>
      <c r="E85" s="6">
        <v>22</v>
      </c>
      <c r="F85" s="8">
        <f t="shared" si="2"/>
        <v>363</v>
      </c>
      <c r="G85" s="8" t="s">
        <v>10</v>
      </c>
      <c r="H85" s="8" t="s">
        <v>10</v>
      </c>
    </row>
    <row r="86" spans="2:8" ht="14.25" customHeight="1" x14ac:dyDescent="0.25">
      <c r="B86" s="14" t="s">
        <v>195</v>
      </c>
      <c r="C86" s="9" t="s">
        <v>196</v>
      </c>
      <c r="D86" s="6" t="s">
        <v>9</v>
      </c>
      <c r="E86" s="6">
        <v>23</v>
      </c>
      <c r="F86" s="8">
        <f t="shared" si="2"/>
        <v>379.5</v>
      </c>
      <c r="G86" s="8">
        <v>120</v>
      </c>
      <c r="H86" s="8" t="s">
        <v>10</v>
      </c>
    </row>
    <row r="87" spans="2:8" ht="14.25" customHeight="1" x14ac:dyDescent="0.25">
      <c r="B87" s="6" t="s">
        <v>197</v>
      </c>
      <c r="C87" s="9" t="s">
        <v>198</v>
      </c>
      <c r="D87" s="6" t="s">
        <v>52</v>
      </c>
      <c r="E87" s="6">
        <v>22</v>
      </c>
      <c r="F87" s="8">
        <f t="shared" si="2"/>
        <v>363</v>
      </c>
      <c r="G87" s="8">
        <v>120</v>
      </c>
      <c r="H87" s="8" t="s">
        <v>10</v>
      </c>
    </row>
    <row r="88" spans="2:8" ht="14.25" customHeight="1" x14ac:dyDescent="0.25">
      <c r="B88" s="6" t="s">
        <v>199</v>
      </c>
      <c r="C88" s="9" t="s">
        <v>200</v>
      </c>
      <c r="D88" s="6" t="s">
        <v>9</v>
      </c>
      <c r="E88" s="6">
        <v>23</v>
      </c>
      <c r="F88" s="8">
        <f t="shared" si="2"/>
        <v>379.5</v>
      </c>
      <c r="G88" s="8">
        <v>120</v>
      </c>
      <c r="H88" s="8" t="s">
        <v>10</v>
      </c>
    </row>
    <row r="89" spans="2:8" ht="14.25" customHeight="1" x14ac:dyDescent="0.25">
      <c r="B89" s="6" t="s">
        <v>201</v>
      </c>
      <c r="C89" s="9" t="s">
        <v>202</v>
      </c>
      <c r="D89" s="6" t="s">
        <v>9</v>
      </c>
      <c r="E89" s="6">
        <v>23</v>
      </c>
      <c r="F89" s="8">
        <f t="shared" si="2"/>
        <v>379.5</v>
      </c>
      <c r="G89" s="8" t="s">
        <v>10</v>
      </c>
      <c r="H89" s="8">
        <v>166.15</v>
      </c>
    </row>
    <row r="90" spans="2:8" ht="14.25" customHeight="1" x14ac:dyDescent="0.25">
      <c r="B90" s="14" t="s">
        <v>203</v>
      </c>
      <c r="C90" s="9" t="s">
        <v>204</v>
      </c>
      <c r="D90" s="6" t="s">
        <v>52</v>
      </c>
      <c r="E90" s="6">
        <v>22</v>
      </c>
      <c r="F90" s="8">
        <f t="shared" si="2"/>
        <v>363</v>
      </c>
      <c r="G90" s="8">
        <v>120</v>
      </c>
      <c r="H90" s="8" t="s">
        <v>10</v>
      </c>
    </row>
    <row r="91" spans="2:8" ht="14.25" customHeight="1" x14ac:dyDescent="0.25">
      <c r="B91" s="6" t="s">
        <v>205</v>
      </c>
      <c r="C91" s="9" t="s">
        <v>206</v>
      </c>
      <c r="D91" s="6" t="s">
        <v>32</v>
      </c>
      <c r="E91" s="6">
        <v>22</v>
      </c>
      <c r="F91" s="8">
        <f t="shared" si="2"/>
        <v>363</v>
      </c>
      <c r="G91" s="8">
        <v>120</v>
      </c>
      <c r="H91" s="8" t="s">
        <v>10</v>
      </c>
    </row>
    <row r="92" spans="2:8" ht="14.25" customHeight="1" x14ac:dyDescent="0.25">
      <c r="B92" s="12" t="s">
        <v>207</v>
      </c>
      <c r="C92" s="13" t="s">
        <v>208</v>
      </c>
      <c r="D92" s="6" t="s">
        <v>174</v>
      </c>
      <c r="E92" s="6">
        <v>22</v>
      </c>
      <c r="F92" s="8">
        <f t="shared" si="2"/>
        <v>363</v>
      </c>
      <c r="G92" s="8">
        <v>120</v>
      </c>
      <c r="H92" s="8" t="s">
        <v>10</v>
      </c>
    </row>
    <row r="93" spans="2:8" ht="14.25" customHeight="1" x14ac:dyDescent="0.25">
      <c r="B93" s="14" t="s">
        <v>209</v>
      </c>
      <c r="C93" s="9" t="s">
        <v>210</v>
      </c>
      <c r="D93" s="6" t="s">
        <v>23</v>
      </c>
      <c r="E93" s="6">
        <v>22</v>
      </c>
      <c r="F93" s="8">
        <f t="shared" si="2"/>
        <v>363</v>
      </c>
      <c r="G93" s="8">
        <v>120</v>
      </c>
      <c r="H93" s="8" t="s">
        <v>10</v>
      </c>
    </row>
    <row r="94" spans="2:8" ht="14.25" customHeight="1" x14ac:dyDescent="0.25">
      <c r="B94" s="6" t="s">
        <v>211</v>
      </c>
      <c r="C94" s="9" t="s">
        <v>212</v>
      </c>
      <c r="D94" s="6" t="s">
        <v>9</v>
      </c>
      <c r="E94" s="6">
        <v>24</v>
      </c>
      <c r="F94" s="8">
        <f t="shared" si="2"/>
        <v>396</v>
      </c>
      <c r="G94" s="8">
        <v>120</v>
      </c>
      <c r="H94" s="8" t="s">
        <v>10</v>
      </c>
    </row>
    <row r="95" spans="2:8" ht="14.25" customHeight="1" x14ac:dyDescent="0.25">
      <c r="B95" s="14" t="s">
        <v>213</v>
      </c>
      <c r="C95" s="35" t="s">
        <v>214</v>
      </c>
      <c r="D95" s="6" t="s">
        <v>13</v>
      </c>
      <c r="E95" s="6">
        <v>22</v>
      </c>
      <c r="F95" s="8">
        <f t="shared" si="2"/>
        <v>363</v>
      </c>
      <c r="G95" s="8">
        <v>120</v>
      </c>
      <c r="H95" s="8" t="s">
        <v>10</v>
      </c>
    </row>
    <row r="96" spans="2:8" ht="14.25" customHeight="1" x14ac:dyDescent="0.25">
      <c r="B96" s="6" t="s">
        <v>215</v>
      </c>
      <c r="C96" s="35" t="s">
        <v>216</v>
      </c>
      <c r="D96" s="16" t="s">
        <v>40</v>
      </c>
      <c r="E96" s="6">
        <v>22</v>
      </c>
      <c r="F96" s="8">
        <f t="shared" si="2"/>
        <v>363</v>
      </c>
      <c r="G96" s="8">
        <v>120</v>
      </c>
      <c r="H96" s="8" t="s">
        <v>10</v>
      </c>
    </row>
    <row r="97" spans="2:8" ht="14.25" customHeight="1" x14ac:dyDescent="0.25">
      <c r="B97" s="24"/>
      <c r="C97" s="24"/>
      <c r="D97" s="24"/>
      <c r="E97" s="25" t="s">
        <v>217</v>
      </c>
      <c r="F97" s="26">
        <f t="shared" ref="F97:H97" si="3">SUM(F4:F96)</f>
        <v>32808</v>
      </c>
      <c r="G97" s="26">
        <f t="shared" si="3"/>
        <v>8520</v>
      </c>
      <c r="H97" s="26">
        <f t="shared" si="3"/>
        <v>1905.42</v>
      </c>
    </row>
    <row r="98" spans="2:8" ht="14.25" customHeight="1" x14ac:dyDescent="0.25">
      <c r="H98" s="34"/>
    </row>
    <row r="99" spans="2:8" ht="14.25" customHeight="1" x14ac:dyDescent="0.25">
      <c r="H99" s="34"/>
    </row>
    <row r="100" spans="2:8" ht="14.25" customHeight="1" x14ac:dyDescent="0.25">
      <c r="H100" s="34"/>
    </row>
    <row r="101" spans="2:8" ht="14.25" customHeight="1" x14ac:dyDescent="0.25">
      <c r="H101" s="34"/>
    </row>
    <row r="102" spans="2:8" ht="14.25" customHeight="1" x14ac:dyDescent="0.25">
      <c r="H102" s="34"/>
    </row>
    <row r="103" spans="2:8" ht="14.25" customHeight="1" x14ac:dyDescent="0.25">
      <c r="H103" s="34"/>
    </row>
    <row r="104" spans="2:8" ht="14.25" customHeight="1" x14ac:dyDescent="0.25">
      <c r="H104" s="34"/>
    </row>
    <row r="105" spans="2:8" ht="14.25" customHeight="1" x14ac:dyDescent="0.25">
      <c r="H105" s="34"/>
    </row>
    <row r="106" spans="2:8" ht="14.25" customHeight="1" x14ac:dyDescent="0.25">
      <c r="H106" s="34"/>
    </row>
    <row r="107" spans="2:8" ht="14.25" customHeight="1" x14ac:dyDescent="0.25">
      <c r="H107" s="34"/>
    </row>
    <row r="108" spans="2:8" ht="14.25" customHeight="1" x14ac:dyDescent="0.25">
      <c r="H108" s="34"/>
    </row>
    <row r="109" spans="2:8" ht="14.25" customHeight="1" x14ac:dyDescent="0.25">
      <c r="H109" s="34"/>
    </row>
    <row r="110" spans="2:8" ht="14.25" customHeight="1" x14ac:dyDescent="0.25">
      <c r="H110" s="34"/>
    </row>
    <row r="111" spans="2:8" ht="14.25" customHeight="1" x14ac:dyDescent="0.25">
      <c r="H111" s="34"/>
    </row>
    <row r="112" spans="2:8" ht="14.25" customHeight="1" x14ac:dyDescent="0.25">
      <c r="H112" s="34"/>
    </row>
    <row r="113" spans="8:8" ht="14.25" customHeight="1" x14ac:dyDescent="0.25">
      <c r="H113" s="34"/>
    </row>
    <row r="114" spans="8:8" ht="14.25" customHeight="1" x14ac:dyDescent="0.25">
      <c r="H114" s="34"/>
    </row>
    <row r="115" spans="8:8" ht="14.25" customHeight="1" x14ac:dyDescent="0.25">
      <c r="H115" s="34"/>
    </row>
    <row r="116" spans="8:8" ht="14.25" customHeight="1" x14ac:dyDescent="0.25">
      <c r="H116" s="34"/>
    </row>
    <row r="117" spans="8:8" ht="14.25" customHeight="1" x14ac:dyDescent="0.25">
      <c r="H117" s="34"/>
    </row>
    <row r="118" spans="8:8" ht="14.25" customHeight="1" x14ac:dyDescent="0.25">
      <c r="H118" s="34"/>
    </row>
    <row r="119" spans="8:8" ht="14.25" customHeight="1" x14ac:dyDescent="0.25">
      <c r="H119" s="34"/>
    </row>
    <row r="120" spans="8:8" ht="14.25" customHeight="1" x14ac:dyDescent="0.25">
      <c r="H120" s="34"/>
    </row>
    <row r="121" spans="8:8" ht="14.25" customHeight="1" x14ac:dyDescent="0.25">
      <c r="H121" s="34"/>
    </row>
    <row r="122" spans="8:8" ht="14.25" customHeight="1" x14ac:dyDescent="0.25">
      <c r="H122" s="34"/>
    </row>
    <row r="123" spans="8:8" ht="14.25" customHeight="1" x14ac:dyDescent="0.25">
      <c r="H123" s="34"/>
    </row>
    <row r="124" spans="8:8" ht="14.25" customHeight="1" x14ac:dyDescent="0.25">
      <c r="H124" s="34"/>
    </row>
    <row r="125" spans="8:8" ht="14.25" customHeight="1" x14ac:dyDescent="0.25">
      <c r="H125" s="34"/>
    </row>
    <row r="126" spans="8:8" ht="14.25" customHeight="1" x14ac:dyDescent="0.25">
      <c r="H126" s="34"/>
    </row>
    <row r="127" spans="8:8" ht="14.25" customHeight="1" x14ac:dyDescent="0.25">
      <c r="H127" s="34"/>
    </row>
    <row r="128" spans="8:8" ht="14.25" customHeight="1" x14ac:dyDescent="0.25">
      <c r="H128" s="34"/>
    </row>
    <row r="129" spans="8:8" ht="14.25" customHeight="1" x14ac:dyDescent="0.25">
      <c r="H129" s="34"/>
    </row>
    <row r="130" spans="8:8" ht="14.25" customHeight="1" x14ac:dyDescent="0.25">
      <c r="H130" s="34"/>
    </row>
    <row r="131" spans="8:8" ht="14.25" customHeight="1" x14ac:dyDescent="0.25">
      <c r="H131" s="34"/>
    </row>
    <row r="132" spans="8:8" ht="14.25" customHeight="1" x14ac:dyDescent="0.25">
      <c r="H132" s="34"/>
    </row>
    <row r="133" spans="8:8" ht="14.25" customHeight="1" x14ac:dyDescent="0.25">
      <c r="H133" s="34"/>
    </row>
    <row r="134" spans="8:8" ht="14.25" customHeight="1" x14ac:dyDescent="0.25">
      <c r="H134" s="34"/>
    </row>
    <row r="135" spans="8:8" ht="14.25" customHeight="1" x14ac:dyDescent="0.25">
      <c r="H135" s="34"/>
    </row>
    <row r="136" spans="8:8" ht="14.25" customHeight="1" x14ac:dyDescent="0.25">
      <c r="H136" s="34"/>
    </row>
    <row r="137" spans="8:8" ht="14.25" customHeight="1" x14ac:dyDescent="0.25">
      <c r="H137" s="34"/>
    </row>
    <row r="138" spans="8:8" ht="14.25" customHeight="1" x14ac:dyDescent="0.25">
      <c r="H138" s="34"/>
    </row>
    <row r="139" spans="8:8" ht="14.25" customHeight="1" x14ac:dyDescent="0.25">
      <c r="H139" s="34"/>
    </row>
    <row r="140" spans="8:8" ht="14.25" customHeight="1" x14ac:dyDescent="0.25">
      <c r="H140" s="34"/>
    </row>
    <row r="141" spans="8:8" ht="14.25" customHeight="1" x14ac:dyDescent="0.25">
      <c r="H141" s="34"/>
    </row>
    <row r="142" spans="8:8" ht="14.25" customHeight="1" x14ac:dyDescent="0.25">
      <c r="H142" s="34"/>
    </row>
    <row r="143" spans="8:8" ht="14.25" customHeight="1" x14ac:dyDescent="0.25">
      <c r="H143" s="34"/>
    </row>
    <row r="144" spans="8:8" ht="14.25" customHeight="1" x14ac:dyDescent="0.25">
      <c r="H144" s="34"/>
    </row>
    <row r="145" spans="8:8" ht="14.25" customHeight="1" x14ac:dyDescent="0.25">
      <c r="H145" s="34"/>
    </row>
    <row r="146" spans="8:8" ht="14.25" customHeight="1" x14ac:dyDescent="0.25">
      <c r="H146" s="34"/>
    </row>
    <row r="147" spans="8:8" ht="14.25" customHeight="1" x14ac:dyDescent="0.25">
      <c r="H147" s="34"/>
    </row>
    <row r="148" spans="8:8" ht="14.25" customHeight="1" x14ac:dyDescent="0.25">
      <c r="H148" s="34"/>
    </row>
    <row r="149" spans="8:8" ht="14.25" customHeight="1" x14ac:dyDescent="0.25">
      <c r="H149" s="34"/>
    </row>
    <row r="150" spans="8:8" ht="14.25" customHeight="1" x14ac:dyDescent="0.25">
      <c r="H150" s="34"/>
    </row>
    <row r="151" spans="8:8" ht="14.25" customHeight="1" x14ac:dyDescent="0.25">
      <c r="H151" s="34"/>
    </row>
    <row r="152" spans="8:8" ht="14.25" customHeight="1" x14ac:dyDescent="0.25">
      <c r="H152" s="34"/>
    </row>
    <row r="153" spans="8:8" ht="14.25" customHeight="1" x14ac:dyDescent="0.25">
      <c r="H153" s="34"/>
    </row>
    <row r="154" spans="8:8" ht="14.25" customHeight="1" x14ac:dyDescent="0.25">
      <c r="H154" s="34"/>
    </row>
    <row r="155" spans="8:8" ht="14.25" customHeight="1" x14ac:dyDescent="0.25">
      <c r="H155" s="34"/>
    </row>
    <row r="156" spans="8:8" ht="14.25" customHeight="1" x14ac:dyDescent="0.25">
      <c r="H156" s="34"/>
    </row>
    <row r="157" spans="8:8" ht="14.25" customHeight="1" x14ac:dyDescent="0.25">
      <c r="H157" s="34"/>
    </row>
    <row r="158" spans="8:8" ht="14.25" customHeight="1" x14ac:dyDescent="0.25">
      <c r="H158" s="34"/>
    </row>
    <row r="159" spans="8:8" ht="14.25" customHeight="1" x14ac:dyDescent="0.25">
      <c r="H159" s="34"/>
    </row>
    <row r="160" spans="8:8" ht="14.25" customHeight="1" x14ac:dyDescent="0.25">
      <c r="H160" s="34"/>
    </row>
    <row r="161" spans="8:8" ht="14.25" customHeight="1" x14ac:dyDescent="0.25">
      <c r="H161" s="34"/>
    </row>
    <row r="162" spans="8:8" ht="14.25" customHeight="1" x14ac:dyDescent="0.25">
      <c r="H162" s="34"/>
    </row>
    <row r="163" spans="8:8" ht="14.25" customHeight="1" x14ac:dyDescent="0.25">
      <c r="H163" s="34"/>
    </row>
    <row r="164" spans="8:8" ht="14.25" customHeight="1" x14ac:dyDescent="0.25">
      <c r="H164" s="34"/>
    </row>
    <row r="165" spans="8:8" ht="14.25" customHeight="1" x14ac:dyDescent="0.25">
      <c r="H165" s="34"/>
    </row>
    <row r="166" spans="8:8" ht="14.25" customHeight="1" x14ac:dyDescent="0.25">
      <c r="H166" s="34"/>
    </row>
    <row r="167" spans="8:8" ht="14.25" customHeight="1" x14ac:dyDescent="0.25">
      <c r="H167" s="34"/>
    </row>
    <row r="168" spans="8:8" ht="14.25" customHeight="1" x14ac:dyDescent="0.25">
      <c r="H168" s="34"/>
    </row>
    <row r="169" spans="8:8" ht="14.25" customHeight="1" x14ac:dyDescent="0.25">
      <c r="H169" s="34"/>
    </row>
    <row r="170" spans="8:8" ht="14.25" customHeight="1" x14ac:dyDescent="0.25">
      <c r="H170" s="34"/>
    </row>
    <row r="171" spans="8:8" ht="14.25" customHeight="1" x14ac:dyDescent="0.25">
      <c r="H171" s="34"/>
    </row>
    <row r="172" spans="8:8" ht="14.25" customHeight="1" x14ac:dyDescent="0.25">
      <c r="H172" s="34"/>
    </row>
    <row r="173" spans="8:8" ht="14.25" customHeight="1" x14ac:dyDescent="0.25">
      <c r="H173" s="34"/>
    </row>
    <row r="174" spans="8:8" ht="14.25" customHeight="1" x14ac:dyDescent="0.25">
      <c r="H174" s="34"/>
    </row>
    <row r="175" spans="8:8" ht="14.25" customHeight="1" x14ac:dyDescent="0.25">
      <c r="H175" s="34"/>
    </row>
    <row r="176" spans="8:8" ht="14.25" customHeight="1" x14ac:dyDescent="0.25">
      <c r="H176" s="34"/>
    </row>
    <row r="177" spans="8:8" ht="14.25" customHeight="1" x14ac:dyDescent="0.25">
      <c r="H177" s="34"/>
    </row>
    <row r="178" spans="8:8" ht="14.25" customHeight="1" x14ac:dyDescent="0.25">
      <c r="H178" s="34"/>
    </row>
    <row r="179" spans="8:8" ht="14.25" customHeight="1" x14ac:dyDescent="0.25">
      <c r="H179" s="34"/>
    </row>
    <row r="180" spans="8:8" ht="14.25" customHeight="1" x14ac:dyDescent="0.25">
      <c r="H180" s="34"/>
    </row>
    <row r="181" spans="8:8" ht="14.25" customHeight="1" x14ac:dyDescent="0.25">
      <c r="H181" s="34"/>
    </row>
    <row r="182" spans="8:8" ht="14.25" customHeight="1" x14ac:dyDescent="0.25">
      <c r="H182" s="34"/>
    </row>
    <row r="183" spans="8:8" ht="14.25" customHeight="1" x14ac:dyDescent="0.25">
      <c r="H183" s="34"/>
    </row>
    <row r="184" spans="8:8" ht="14.25" customHeight="1" x14ac:dyDescent="0.25">
      <c r="H184" s="34"/>
    </row>
    <row r="185" spans="8:8" ht="14.25" customHeight="1" x14ac:dyDescent="0.25">
      <c r="H185" s="34"/>
    </row>
    <row r="186" spans="8:8" ht="14.25" customHeight="1" x14ac:dyDescent="0.25">
      <c r="H186" s="34"/>
    </row>
    <row r="187" spans="8:8" ht="14.25" customHeight="1" x14ac:dyDescent="0.25">
      <c r="H187" s="34"/>
    </row>
    <row r="188" spans="8:8" ht="14.25" customHeight="1" x14ac:dyDescent="0.25">
      <c r="H188" s="34"/>
    </row>
    <row r="189" spans="8:8" ht="14.25" customHeight="1" x14ac:dyDescent="0.25">
      <c r="H189" s="34"/>
    </row>
    <row r="190" spans="8:8" ht="14.25" customHeight="1" x14ac:dyDescent="0.25">
      <c r="H190" s="34"/>
    </row>
    <row r="191" spans="8:8" ht="14.25" customHeight="1" x14ac:dyDescent="0.25">
      <c r="H191" s="34"/>
    </row>
    <row r="192" spans="8:8" ht="14.25" customHeight="1" x14ac:dyDescent="0.25">
      <c r="H192" s="34"/>
    </row>
    <row r="193" spans="8:8" ht="14.25" customHeight="1" x14ac:dyDescent="0.25">
      <c r="H193" s="34"/>
    </row>
    <row r="194" spans="8:8" ht="14.25" customHeight="1" x14ac:dyDescent="0.25">
      <c r="H194" s="34"/>
    </row>
    <row r="195" spans="8:8" ht="14.25" customHeight="1" x14ac:dyDescent="0.25">
      <c r="H195" s="34"/>
    </row>
    <row r="196" spans="8:8" ht="14.25" customHeight="1" x14ac:dyDescent="0.25">
      <c r="H196" s="34"/>
    </row>
    <row r="197" spans="8:8" ht="14.25" customHeight="1" x14ac:dyDescent="0.25">
      <c r="H197" s="34"/>
    </row>
    <row r="198" spans="8:8" ht="14.25" customHeight="1" x14ac:dyDescent="0.25">
      <c r="H198" s="34"/>
    </row>
    <row r="199" spans="8:8" ht="14.25" customHeight="1" x14ac:dyDescent="0.25">
      <c r="H199" s="34"/>
    </row>
    <row r="200" spans="8:8" ht="14.25" customHeight="1" x14ac:dyDescent="0.25">
      <c r="H200" s="34"/>
    </row>
    <row r="201" spans="8:8" ht="14.25" customHeight="1" x14ac:dyDescent="0.25">
      <c r="H201" s="34"/>
    </row>
    <row r="202" spans="8:8" ht="14.25" customHeight="1" x14ac:dyDescent="0.25">
      <c r="H202" s="34"/>
    </row>
    <row r="203" spans="8:8" ht="14.25" customHeight="1" x14ac:dyDescent="0.25">
      <c r="H203" s="34"/>
    </row>
    <row r="204" spans="8:8" ht="14.25" customHeight="1" x14ac:dyDescent="0.25">
      <c r="H204" s="34"/>
    </row>
    <row r="205" spans="8:8" ht="14.25" customHeight="1" x14ac:dyDescent="0.25">
      <c r="H205" s="34"/>
    </row>
    <row r="206" spans="8:8" ht="14.25" customHeight="1" x14ac:dyDescent="0.25">
      <c r="H206" s="34"/>
    </row>
    <row r="207" spans="8:8" ht="14.25" customHeight="1" x14ac:dyDescent="0.25">
      <c r="H207" s="34"/>
    </row>
    <row r="208" spans="8:8" ht="14.25" customHeight="1" x14ac:dyDescent="0.25">
      <c r="H208" s="34"/>
    </row>
    <row r="209" spans="8:8" ht="14.25" customHeight="1" x14ac:dyDescent="0.25">
      <c r="H209" s="34"/>
    </row>
    <row r="210" spans="8:8" ht="14.25" customHeight="1" x14ac:dyDescent="0.25">
      <c r="H210" s="34"/>
    </row>
    <row r="211" spans="8:8" ht="14.25" customHeight="1" x14ac:dyDescent="0.25">
      <c r="H211" s="34"/>
    </row>
    <row r="212" spans="8:8" ht="14.25" customHeight="1" x14ac:dyDescent="0.25">
      <c r="H212" s="34"/>
    </row>
    <row r="213" spans="8:8" ht="14.25" customHeight="1" x14ac:dyDescent="0.25">
      <c r="H213" s="34"/>
    </row>
    <row r="214" spans="8:8" ht="14.25" customHeight="1" x14ac:dyDescent="0.25">
      <c r="H214" s="34"/>
    </row>
    <row r="215" spans="8:8" ht="14.25" customHeight="1" x14ac:dyDescent="0.25">
      <c r="H215" s="34"/>
    </row>
    <row r="216" spans="8:8" ht="14.25" customHeight="1" x14ac:dyDescent="0.25">
      <c r="H216" s="34"/>
    </row>
    <row r="217" spans="8:8" ht="14.25" customHeight="1" x14ac:dyDescent="0.25">
      <c r="H217" s="34"/>
    </row>
    <row r="218" spans="8:8" ht="14.25" customHeight="1" x14ac:dyDescent="0.25">
      <c r="H218" s="34"/>
    </row>
    <row r="219" spans="8:8" ht="14.25" customHeight="1" x14ac:dyDescent="0.25">
      <c r="H219" s="34"/>
    </row>
    <row r="220" spans="8:8" ht="14.25" customHeight="1" x14ac:dyDescent="0.25">
      <c r="H220" s="34"/>
    </row>
    <row r="221" spans="8:8" ht="14.25" customHeight="1" x14ac:dyDescent="0.25">
      <c r="H221" s="34"/>
    </row>
    <row r="222" spans="8:8" ht="14.25" customHeight="1" x14ac:dyDescent="0.25">
      <c r="H222" s="34"/>
    </row>
    <row r="223" spans="8:8" ht="14.25" customHeight="1" x14ac:dyDescent="0.25">
      <c r="H223" s="34"/>
    </row>
    <row r="224" spans="8:8" ht="14.25" customHeight="1" x14ac:dyDescent="0.25">
      <c r="H224" s="34"/>
    </row>
    <row r="225" spans="8:8" ht="14.25" customHeight="1" x14ac:dyDescent="0.25">
      <c r="H225" s="34"/>
    </row>
    <row r="226" spans="8:8" ht="14.25" customHeight="1" x14ac:dyDescent="0.25">
      <c r="H226" s="34"/>
    </row>
    <row r="227" spans="8:8" ht="14.25" customHeight="1" x14ac:dyDescent="0.25">
      <c r="H227" s="34"/>
    </row>
    <row r="228" spans="8:8" ht="14.25" customHeight="1" x14ac:dyDescent="0.25">
      <c r="H228" s="34"/>
    </row>
    <row r="229" spans="8:8" ht="14.25" customHeight="1" x14ac:dyDescent="0.25">
      <c r="H229" s="34"/>
    </row>
    <row r="230" spans="8:8" ht="14.25" customHeight="1" x14ac:dyDescent="0.25">
      <c r="H230" s="34"/>
    </row>
    <row r="231" spans="8:8" ht="14.25" customHeight="1" x14ac:dyDescent="0.25">
      <c r="H231" s="34"/>
    </row>
    <row r="232" spans="8:8" ht="14.25" customHeight="1" x14ac:dyDescent="0.25">
      <c r="H232" s="34"/>
    </row>
    <row r="233" spans="8:8" ht="14.25" customHeight="1" x14ac:dyDescent="0.25">
      <c r="H233" s="34"/>
    </row>
    <row r="234" spans="8:8" ht="14.25" customHeight="1" x14ac:dyDescent="0.25">
      <c r="H234" s="34"/>
    </row>
    <row r="235" spans="8:8" ht="14.25" customHeight="1" x14ac:dyDescent="0.25">
      <c r="H235" s="34"/>
    </row>
    <row r="236" spans="8:8" ht="14.25" customHeight="1" x14ac:dyDescent="0.25">
      <c r="H236" s="34"/>
    </row>
    <row r="237" spans="8:8" ht="14.25" customHeight="1" x14ac:dyDescent="0.25">
      <c r="H237" s="34"/>
    </row>
    <row r="238" spans="8:8" ht="14.25" customHeight="1" x14ac:dyDescent="0.25">
      <c r="H238" s="34"/>
    </row>
    <row r="239" spans="8:8" ht="14.25" customHeight="1" x14ac:dyDescent="0.25">
      <c r="H239" s="34"/>
    </row>
    <row r="240" spans="8:8" ht="14.25" customHeight="1" x14ac:dyDescent="0.25">
      <c r="H240" s="34"/>
    </row>
    <row r="241" spans="8:8" ht="14.25" customHeight="1" x14ac:dyDescent="0.25">
      <c r="H241" s="34"/>
    </row>
    <row r="242" spans="8:8" ht="14.25" customHeight="1" x14ac:dyDescent="0.25">
      <c r="H242" s="34"/>
    </row>
    <row r="243" spans="8:8" ht="14.25" customHeight="1" x14ac:dyDescent="0.25">
      <c r="H243" s="34"/>
    </row>
    <row r="244" spans="8:8" ht="14.25" customHeight="1" x14ac:dyDescent="0.25">
      <c r="H244" s="34"/>
    </row>
    <row r="245" spans="8:8" ht="14.25" customHeight="1" x14ac:dyDescent="0.25">
      <c r="H245" s="34"/>
    </row>
    <row r="246" spans="8:8" ht="14.25" customHeight="1" x14ac:dyDescent="0.25">
      <c r="H246" s="34"/>
    </row>
    <row r="247" spans="8:8" ht="14.25" customHeight="1" x14ac:dyDescent="0.25">
      <c r="H247" s="34"/>
    </row>
    <row r="248" spans="8:8" ht="14.25" customHeight="1" x14ac:dyDescent="0.25">
      <c r="H248" s="34"/>
    </row>
    <row r="249" spans="8:8" ht="14.25" customHeight="1" x14ac:dyDescent="0.25">
      <c r="H249" s="34"/>
    </row>
    <row r="250" spans="8:8" ht="14.25" customHeight="1" x14ac:dyDescent="0.25">
      <c r="H250" s="34"/>
    </row>
    <row r="251" spans="8:8" ht="14.25" customHeight="1" x14ac:dyDescent="0.25">
      <c r="H251" s="34"/>
    </row>
    <row r="252" spans="8:8" ht="14.25" customHeight="1" x14ac:dyDescent="0.25">
      <c r="H252" s="34"/>
    </row>
    <row r="253" spans="8:8" ht="14.25" customHeight="1" x14ac:dyDescent="0.25">
      <c r="H253" s="34"/>
    </row>
    <row r="254" spans="8:8" ht="14.25" customHeight="1" x14ac:dyDescent="0.25">
      <c r="H254" s="34"/>
    </row>
    <row r="255" spans="8:8" ht="14.25" customHeight="1" x14ac:dyDescent="0.25">
      <c r="H255" s="34"/>
    </row>
    <row r="256" spans="8:8" ht="14.25" customHeight="1" x14ac:dyDescent="0.25">
      <c r="H256" s="34"/>
    </row>
    <row r="257" spans="8:8" ht="14.25" customHeight="1" x14ac:dyDescent="0.25">
      <c r="H257" s="34"/>
    </row>
    <row r="258" spans="8:8" ht="14.25" customHeight="1" x14ac:dyDescent="0.25">
      <c r="H258" s="34"/>
    </row>
    <row r="259" spans="8:8" ht="14.25" customHeight="1" x14ac:dyDescent="0.25">
      <c r="H259" s="34"/>
    </row>
    <row r="260" spans="8:8" ht="14.25" customHeight="1" x14ac:dyDescent="0.25">
      <c r="H260" s="34"/>
    </row>
    <row r="261" spans="8:8" ht="14.25" customHeight="1" x14ac:dyDescent="0.25">
      <c r="H261" s="34"/>
    </row>
    <row r="262" spans="8:8" ht="14.25" customHeight="1" x14ac:dyDescent="0.25">
      <c r="H262" s="34"/>
    </row>
    <row r="263" spans="8:8" ht="14.25" customHeight="1" x14ac:dyDescent="0.25">
      <c r="H263" s="34"/>
    </row>
    <row r="264" spans="8:8" ht="14.25" customHeight="1" x14ac:dyDescent="0.25">
      <c r="H264" s="34"/>
    </row>
    <row r="265" spans="8:8" ht="14.25" customHeight="1" x14ac:dyDescent="0.25">
      <c r="H265" s="34"/>
    </row>
    <row r="266" spans="8:8" ht="14.25" customHeight="1" x14ac:dyDescent="0.25">
      <c r="H266" s="34"/>
    </row>
    <row r="267" spans="8:8" ht="14.25" customHeight="1" x14ac:dyDescent="0.25">
      <c r="H267" s="34"/>
    </row>
    <row r="268" spans="8:8" ht="14.25" customHeight="1" x14ac:dyDescent="0.25">
      <c r="H268" s="34"/>
    </row>
    <row r="269" spans="8:8" ht="14.25" customHeight="1" x14ac:dyDescent="0.25">
      <c r="H269" s="34"/>
    </row>
    <row r="270" spans="8:8" ht="14.25" customHeight="1" x14ac:dyDescent="0.25">
      <c r="H270" s="34"/>
    </row>
    <row r="271" spans="8:8" ht="14.25" customHeight="1" x14ac:dyDescent="0.25">
      <c r="H271" s="34"/>
    </row>
    <row r="272" spans="8:8" ht="14.25" customHeight="1" x14ac:dyDescent="0.25">
      <c r="H272" s="34"/>
    </row>
    <row r="273" spans="8:8" ht="14.25" customHeight="1" x14ac:dyDescent="0.25">
      <c r="H273" s="34"/>
    </row>
    <row r="274" spans="8:8" ht="14.25" customHeight="1" x14ac:dyDescent="0.25">
      <c r="H274" s="34"/>
    </row>
    <row r="275" spans="8:8" ht="14.25" customHeight="1" x14ac:dyDescent="0.25">
      <c r="H275" s="34"/>
    </row>
    <row r="276" spans="8:8" ht="14.25" customHeight="1" x14ac:dyDescent="0.25">
      <c r="H276" s="34"/>
    </row>
    <row r="277" spans="8:8" ht="14.25" customHeight="1" x14ac:dyDescent="0.25">
      <c r="H277" s="34"/>
    </row>
    <row r="278" spans="8:8" ht="14.25" customHeight="1" x14ac:dyDescent="0.25">
      <c r="H278" s="34"/>
    </row>
    <row r="279" spans="8:8" ht="14.25" customHeight="1" x14ac:dyDescent="0.25">
      <c r="H279" s="34"/>
    </row>
    <row r="280" spans="8:8" ht="14.25" customHeight="1" x14ac:dyDescent="0.25">
      <c r="H280" s="34"/>
    </row>
    <row r="281" spans="8:8" ht="14.25" customHeight="1" x14ac:dyDescent="0.25">
      <c r="H281" s="34"/>
    </row>
    <row r="282" spans="8:8" ht="14.25" customHeight="1" x14ac:dyDescent="0.25">
      <c r="H282" s="34"/>
    </row>
    <row r="283" spans="8:8" ht="14.25" customHeight="1" x14ac:dyDescent="0.25">
      <c r="H283" s="34"/>
    </row>
    <row r="284" spans="8:8" ht="14.25" customHeight="1" x14ac:dyDescent="0.25">
      <c r="H284" s="34"/>
    </row>
    <row r="285" spans="8:8" ht="14.25" customHeight="1" x14ac:dyDescent="0.25">
      <c r="H285" s="34"/>
    </row>
    <row r="286" spans="8:8" ht="14.25" customHeight="1" x14ac:dyDescent="0.25">
      <c r="H286" s="34"/>
    </row>
    <row r="287" spans="8:8" ht="14.25" customHeight="1" x14ac:dyDescent="0.25">
      <c r="H287" s="34"/>
    </row>
    <row r="288" spans="8:8" ht="14.25" customHeight="1" x14ac:dyDescent="0.25">
      <c r="H288" s="34"/>
    </row>
    <row r="289" spans="8:8" ht="14.25" customHeight="1" x14ac:dyDescent="0.25">
      <c r="H289" s="34"/>
    </row>
    <row r="290" spans="8:8" ht="14.25" customHeight="1" x14ac:dyDescent="0.25">
      <c r="H290" s="34"/>
    </row>
    <row r="291" spans="8:8" ht="14.25" customHeight="1" x14ac:dyDescent="0.25">
      <c r="H291" s="34"/>
    </row>
    <row r="292" spans="8:8" ht="14.25" customHeight="1" x14ac:dyDescent="0.25">
      <c r="H292" s="34"/>
    </row>
    <row r="293" spans="8:8" ht="14.25" customHeight="1" x14ac:dyDescent="0.25">
      <c r="H293" s="34"/>
    </row>
    <row r="294" spans="8:8" ht="14.25" customHeight="1" x14ac:dyDescent="0.25">
      <c r="H294" s="34"/>
    </row>
    <row r="295" spans="8:8" ht="14.25" customHeight="1" x14ac:dyDescent="0.25">
      <c r="H295" s="34"/>
    </row>
    <row r="296" spans="8:8" ht="14.25" customHeight="1" x14ac:dyDescent="0.25">
      <c r="H296" s="34"/>
    </row>
    <row r="297" spans="8:8" ht="14.25" customHeight="1" x14ac:dyDescent="0.25">
      <c r="H297" s="34"/>
    </row>
    <row r="298" spans="8:8" ht="14.25" customHeight="1" x14ac:dyDescent="0.25">
      <c r="H298" s="34"/>
    </row>
    <row r="299" spans="8:8" ht="14.25" customHeight="1" x14ac:dyDescent="0.25">
      <c r="H299" s="34"/>
    </row>
    <row r="300" spans="8:8" ht="14.25" customHeight="1" x14ac:dyDescent="0.25">
      <c r="H300" s="34"/>
    </row>
    <row r="301" spans="8:8" ht="14.25" customHeight="1" x14ac:dyDescent="0.25">
      <c r="H301" s="34"/>
    </row>
    <row r="302" spans="8:8" ht="14.25" customHeight="1" x14ac:dyDescent="0.25">
      <c r="H302" s="34"/>
    </row>
    <row r="303" spans="8:8" ht="14.25" customHeight="1" x14ac:dyDescent="0.25">
      <c r="H303" s="34"/>
    </row>
    <row r="304" spans="8:8" ht="14.25" customHeight="1" x14ac:dyDescent="0.25">
      <c r="H304" s="34"/>
    </row>
    <row r="305" spans="8:8" ht="14.25" customHeight="1" x14ac:dyDescent="0.25">
      <c r="H305" s="34"/>
    </row>
    <row r="306" spans="8:8" ht="14.25" customHeight="1" x14ac:dyDescent="0.25">
      <c r="H306" s="34"/>
    </row>
    <row r="307" spans="8:8" ht="14.25" customHeight="1" x14ac:dyDescent="0.25">
      <c r="H307" s="34"/>
    </row>
    <row r="308" spans="8:8" ht="14.25" customHeight="1" x14ac:dyDescent="0.25">
      <c r="H308" s="34"/>
    </row>
    <row r="309" spans="8:8" ht="14.25" customHeight="1" x14ac:dyDescent="0.25">
      <c r="H309" s="34"/>
    </row>
    <row r="310" spans="8:8" ht="14.25" customHeight="1" x14ac:dyDescent="0.25">
      <c r="H310" s="34"/>
    </row>
    <row r="311" spans="8:8" ht="14.25" customHeight="1" x14ac:dyDescent="0.25">
      <c r="H311" s="34"/>
    </row>
    <row r="312" spans="8:8" ht="14.25" customHeight="1" x14ac:dyDescent="0.25">
      <c r="H312" s="34"/>
    </row>
    <row r="313" spans="8:8" ht="14.25" customHeight="1" x14ac:dyDescent="0.25">
      <c r="H313" s="34"/>
    </row>
    <row r="314" spans="8:8" ht="14.25" customHeight="1" x14ac:dyDescent="0.25">
      <c r="H314" s="34"/>
    </row>
    <row r="315" spans="8:8" ht="14.25" customHeight="1" x14ac:dyDescent="0.25">
      <c r="H315" s="34"/>
    </row>
    <row r="316" spans="8:8" ht="14.25" customHeight="1" x14ac:dyDescent="0.25">
      <c r="H316" s="34"/>
    </row>
    <row r="317" spans="8:8" ht="14.25" customHeight="1" x14ac:dyDescent="0.25">
      <c r="H317" s="34"/>
    </row>
    <row r="318" spans="8:8" ht="14.25" customHeight="1" x14ac:dyDescent="0.25">
      <c r="H318" s="34"/>
    </row>
    <row r="319" spans="8:8" ht="14.25" customHeight="1" x14ac:dyDescent="0.25">
      <c r="H319" s="34"/>
    </row>
    <row r="320" spans="8:8" ht="14.25" customHeight="1" x14ac:dyDescent="0.25">
      <c r="H320" s="34"/>
    </row>
    <row r="321" spans="8:8" ht="14.25" customHeight="1" x14ac:dyDescent="0.25">
      <c r="H321" s="34"/>
    </row>
    <row r="322" spans="8:8" ht="14.25" customHeight="1" x14ac:dyDescent="0.25">
      <c r="H322" s="34"/>
    </row>
    <row r="323" spans="8:8" ht="14.25" customHeight="1" x14ac:dyDescent="0.25">
      <c r="H323" s="34"/>
    </row>
    <row r="324" spans="8:8" ht="14.25" customHeight="1" x14ac:dyDescent="0.25">
      <c r="H324" s="34"/>
    </row>
    <row r="325" spans="8:8" ht="14.25" customHeight="1" x14ac:dyDescent="0.25">
      <c r="H325" s="34"/>
    </row>
    <row r="326" spans="8:8" ht="14.25" customHeight="1" x14ac:dyDescent="0.25">
      <c r="H326" s="34"/>
    </row>
    <row r="327" spans="8:8" ht="14.25" customHeight="1" x14ac:dyDescent="0.25">
      <c r="H327" s="34"/>
    </row>
    <row r="328" spans="8:8" ht="14.25" customHeight="1" x14ac:dyDescent="0.25">
      <c r="H328" s="34"/>
    </row>
    <row r="329" spans="8:8" ht="14.25" customHeight="1" x14ac:dyDescent="0.25">
      <c r="H329" s="34"/>
    </row>
    <row r="330" spans="8:8" ht="14.25" customHeight="1" x14ac:dyDescent="0.25">
      <c r="H330" s="34"/>
    </row>
    <row r="331" spans="8:8" ht="14.25" customHeight="1" x14ac:dyDescent="0.25">
      <c r="H331" s="34"/>
    </row>
    <row r="332" spans="8:8" ht="14.25" customHeight="1" x14ac:dyDescent="0.25">
      <c r="H332" s="34"/>
    </row>
    <row r="333" spans="8:8" ht="14.25" customHeight="1" x14ac:dyDescent="0.25">
      <c r="H333" s="34"/>
    </row>
    <row r="334" spans="8:8" ht="14.25" customHeight="1" x14ac:dyDescent="0.25">
      <c r="H334" s="34"/>
    </row>
    <row r="335" spans="8:8" ht="14.25" customHeight="1" x14ac:dyDescent="0.25">
      <c r="H335" s="34"/>
    </row>
    <row r="336" spans="8:8" ht="14.25" customHeight="1" x14ac:dyDescent="0.25">
      <c r="H336" s="34"/>
    </row>
    <row r="337" spans="8:8" ht="14.25" customHeight="1" x14ac:dyDescent="0.25">
      <c r="H337" s="34"/>
    </row>
    <row r="338" spans="8:8" ht="14.25" customHeight="1" x14ac:dyDescent="0.25">
      <c r="H338" s="34"/>
    </row>
    <row r="339" spans="8:8" ht="14.25" customHeight="1" x14ac:dyDescent="0.25">
      <c r="H339" s="34"/>
    </row>
    <row r="340" spans="8:8" ht="14.25" customHeight="1" x14ac:dyDescent="0.25">
      <c r="H340" s="34"/>
    </row>
    <row r="341" spans="8:8" ht="14.25" customHeight="1" x14ac:dyDescent="0.25">
      <c r="H341" s="34"/>
    </row>
    <row r="342" spans="8:8" ht="14.25" customHeight="1" x14ac:dyDescent="0.25">
      <c r="H342" s="34"/>
    </row>
    <row r="343" spans="8:8" ht="14.25" customHeight="1" x14ac:dyDescent="0.25">
      <c r="H343" s="34"/>
    </row>
    <row r="344" spans="8:8" ht="14.25" customHeight="1" x14ac:dyDescent="0.25">
      <c r="H344" s="34"/>
    </row>
    <row r="345" spans="8:8" ht="14.25" customHeight="1" x14ac:dyDescent="0.25">
      <c r="H345" s="34"/>
    </row>
    <row r="346" spans="8:8" ht="14.25" customHeight="1" x14ac:dyDescent="0.25">
      <c r="H346" s="34"/>
    </row>
    <row r="347" spans="8:8" ht="14.25" customHeight="1" x14ac:dyDescent="0.25">
      <c r="H347" s="34"/>
    </row>
    <row r="348" spans="8:8" ht="14.25" customHeight="1" x14ac:dyDescent="0.25">
      <c r="H348" s="34"/>
    </row>
    <row r="349" spans="8:8" ht="14.25" customHeight="1" x14ac:dyDescent="0.25">
      <c r="H349" s="34"/>
    </row>
    <row r="350" spans="8:8" ht="14.25" customHeight="1" x14ac:dyDescent="0.25">
      <c r="H350" s="34"/>
    </row>
    <row r="351" spans="8:8" ht="14.25" customHeight="1" x14ac:dyDescent="0.25">
      <c r="H351" s="34"/>
    </row>
    <row r="352" spans="8:8" ht="14.25" customHeight="1" x14ac:dyDescent="0.25">
      <c r="H352" s="34"/>
    </row>
    <row r="353" spans="8:8" ht="14.25" customHeight="1" x14ac:dyDescent="0.25">
      <c r="H353" s="34"/>
    </row>
    <row r="354" spans="8:8" ht="14.25" customHeight="1" x14ac:dyDescent="0.25">
      <c r="H354" s="34"/>
    </row>
    <row r="355" spans="8:8" ht="14.25" customHeight="1" x14ac:dyDescent="0.25">
      <c r="H355" s="34"/>
    </row>
    <row r="356" spans="8:8" ht="14.25" customHeight="1" x14ac:dyDescent="0.25">
      <c r="H356" s="34"/>
    </row>
    <row r="357" spans="8:8" ht="14.25" customHeight="1" x14ac:dyDescent="0.25">
      <c r="H357" s="34"/>
    </row>
    <row r="358" spans="8:8" ht="14.25" customHeight="1" x14ac:dyDescent="0.25">
      <c r="H358" s="34"/>
    </row>
    <row r="359" spans="8:8" ht="14.25" customHeight="1" x14ac:dyDescent="0.25">
      <c r="H359" s="34"/>
    </row>
    <row r="360" spans="8:8" ht="14.25" customHeight="1" x14ac:dyDescent="0.25">
      <c r="H360" s="34"/>
    </row>
    <row r="361" spans="8:8" ht="14.25" customHeight="1" x14ac:dyDescent="0.25">
      <c r="H361" s="34"/>
    </row>
    <row r="362" spans="8:8" ht="14.25" customHeight="1" x14ac:dyDescent="0.25">
      <c r="H362" s="34"/>
    </row>
    <row r="363" spans="8:8" ht="14.25" customHeight="1" x14ac:dyDescent="0.25">
      <c r="H363" s="34"/>
    </row>
    <row r="364" spans="8:8" ht="14.25" customHeight="1" x14ac:dyDescent="0.25">
      <c r="H364" s="34"/>
    </row>
    <row r="365" spans="8:8" ht="14.25" customHeight="1" x14ac:dyDescent="0.25">
      <c r="H365" s="34"/>
    </row>
    <row r="366" spans="8:8" ht="14.25" customHeight="1" x14ac:dyDescent="0.25">
      <c r="H366" s="34"/>
    </row>
    <row r="367" spans="8:8" ht="14.25" customHeight="1" x14ac:dyDescent="0.25">
      <c r="H367" s="34"/>
    </row>
    <row r="368" spans="8:8" ht="14.25" customHeight="1" x14ac:dyDescent="0.25">
      <c r="H368" s="34"/>
    </row>
    <row r="369" spans="8:8" ht="14.25" customHeight="1" x14ac:dyDescent="0.25">
      <c r="H369" s="34"/>
    </row>
    <row r="370" spans="8:8" ht="14.25" customHeight="1" x14ac:dyDescent="0.25">
      <c r="H370" s="34"/>
    </row>
    <row r="371" spans="8:8" ht="14.25" customHeight="1" x14ac:dyDescent="0.25">
      <c r="H371" s="34"/>
    </row>
    <row r="372" spans="8:8" ht="14.25" customHeight="1" x14ac:dyDescent="0.25">
      <c r="H372" s="34"/>
    </row>
    <row r="373" spans="8:8" ht="14.25" customHeight="1" x14ac:dyDescent="0.25">
      <c r="H373" s="34"/>
    </row>
    <row r="374" spans="8:8" ht="14.25" customHeight="1" x14ac:dyDescent="0.25">
      <c r="H374" s="34"/>
    </row>
    <row r="375" spans="8:8" ht="14.25" customHeight="1" x14ac:dyDescent="0.25">
      <c r="H375" s="34"/>
    </row>
    <row r="376" spans="8:8" ht="14.25" customHeight="1" x14ac:dyDescent="0.25">
      <c r="H376" s="34"/>
    </row>
    <row r="377" spans="8:8" ht="14.25" customHeight="1" x14ac:dyDescent="0.25">
      <c r="H377" s="34"/>
    </row>
    <row r="378" spans="8:8" ht="14.25" customHeight="1" x14ac:dyDescent="0.25">
      <c r="H378" s="34"/>
    </row>
    <row r="379" spans="8:8" ht="14.25" customHeight="1" x14ac:dyDescent="0.25">
      <c r="H379" s="34"/>
    </row>
    <row r="380" spans="8:8" ht="14.25" customHeight="1" x14ac:dyDescent="0.25">
      <c r="H380" s="34"/>
    </row>
    <row r="381" spans="8:8" ht="14.25" customHeight="1" x14ac:dyDescent="0.25">
      <c r="H381" s="34"/>
    </row>
    <row r="382" spans="8:8" ht="14.25" customHeight="1" x14ac:dyDescent="0.25">
      <c r="H382" s="34"/>
    </row>
    <row r="383" spans="8:8" ht="14.25" customHeight="1" x14ac:dyDescent="0.25">
      <c r="H383" s="34"/>
    </row>
    <row r="384" spans="8:8" ht="14.25" customHeight="1" x14ac:dyDescent="0.25">
      <c r="H384" s="34"/>
    </row>
    <row r="385" spans="8:8" ht="14.25" customHeight="1" x14ac:dyDescent="0.25">
      <c r="H385" s="34"/>
    </row>
    <row r="386" spans="8:8" ht="14.25" customHeight="1" x14ac:dyDescent="0.25">
      <c r="H386" s="34"/>
    </row>
    <row r="387" spans="8:8" ht="14.25" customHeight="1" x14ac:dyDescent="0.25">
      <c r="H387" s="34"/>
    </row>
    <row r="388" spans="8:8" ht="14.25" customHeight="1" x14ac:dyDescent="0.25">
      <c r="H388" s="34"/>
    </row>
    <row r="389" spans="8:8" ht="14.25" customHeight="1" x14ac:dyDescent="0.25">
      <c r="H389" s="34"/>
    </row>
    <row r="390" spans="8:8" ht="14.25" customHeight="1" x14ac:dyDescent="0.25">
      <c r="H390" s="34"/>
    </row>
    <row r="391" spans="8:8" ht="14.25" customHeight="1" x14ac:dyDescent="0.25">
      <c r="H391" s="34"/>
    </row>
    <row r="392" spans="8:8" ht="14.25" customHeight="1" x14ac:dyDescent="0.25">
      <c r="H392" s="34"/>
    </row>
    <row r="393" spans="8:8" ht="14.25" customHeight="1" x14ac:dyDescent="0.25">
      <c r="H393" s="34"/>
    </row>
    <row r="394" spans="8:8" ht="14.25" customHeight="1" x14ac:dyDescent="0.25">
      <c r="H394" s="34"/>
    </row>
    <row r="395" spans="8:8" ht="14.25" customHeight="1" x14ac:dyDescent="0.25">
      <c r="H395" s="34"/>
    </row>
    <row r="396" spans="8:8" ht="14.25" customHeight="1" x14ac:dyDescent="0.25">
      <c r="H396" s="34"/>
    </row>
    <row r="397" spans="8:8" ht="14.25" customHeight="1" x14ac:dyDescent="0.25">
      <c r="H397" s="34"/>
    </row>
    <row r="398" spans="8:8" ht="14.25" customHeight="1" x14ac:dyDescent="0.25">
      <c r="H398" s="34"/>
    </row>
    <row r="399" spans="8:8" ht="14.25" customHeight="1" x14ac:dyDescent="0.25">
      <c r="H399" s="34"/>
    </row>
    <row r="400" spans="8:8" ht="14.25" customHeight="1" x14ac:dyDescent="0.25">
      <c r="H400" s="34"/>
    </row>
    <row r="401" spans="8:8" ht="14.25" customHeight="1" x14ac:dyDescent="0.25">
      <c r="H401" s="34"/>
    </row>
    <row r="402" spans="8:8" ht="14.25" customHeight="1" x14ac:dyDescent="0.25">
      <c r="H402" s="34"/>
    </row>
    <row r="403" spans="8:8" ht="14.25" customHeight="1" x14ac:dyDescent="0.25">
      <c r="H403" s="34"/>
    </row>
    <row r="404" spans="8:8" ht="14.25" customHeight="1" x14ac:dyDescent="0.25">
      <c r="H404" s="34"/>
    </row>
    <row r="405" spans="8:8" ht="14.25" customHeight="1" x14ac:dyDescent="0.25">
      <c r="H405" s="34"/>
    </row>
    <row r="406" spans="8:8" ht="14.25" customHeight="1" x14ac:dyDescent="0.25">
      <c r="H406" s="34"/>
    </row>
    <row r="407" spans="8:8" ht="14.25" customHeight="1" x14ac:dyDescent="0.25">
      <c r="H407" s="34"/>
    </row>
    <row r="408" spans="8:8" ht="14.25" customHeight="1" x14ac:dyDescent="0.25">
      <c r="H408" s="34"/>
    </row>
    <row r="409" spans="8:8" ht="14.25" customHeight="1" x14ac:dyDescent="0.25">
      <c r="H409" s="34"/>
    </row>
    <row r="410" spans="8:8" ht="14.25" customHeight="1" x14ac:dyDescent="0.25">
      <c r="H410" s="34"/>
    </row>
    <row r="411" spans="8:8" ht="14.25" customHeight="1" x14ac:dyDescent="0.25">
      <c r="H411" s="34"/>
    </row>
    <row r="412" spans="8:8" ht="14.25" customHeight="1" x14ac:dyDescent="0.25">
      <c r="H412" s="34"/>
    </row>
    <row r="413" spans="8:8" ht="14.25" customHeight="1" x14ac:dyDescent="0.25">
      <c r="H413" s="34"/>
    </row>
    <row r="414" spans="8:8" ht="14.25" customHeight="1" x14ac:dyDescent="0.25">
      <c r="H414" s="34"/>
    </row>
    <row r="415" spans="8:8" ht="14.25" customHeight="1" x14ac:dyDescent="0.25">
      <c r="H415" s="34"/>
    </row>
    <row r="416" spans="8:8" ht="14.25" customHeight="1" x14ac:dyDescent="0.25">
      <c r="H416" s="34"/>
    </row>
    <row r="417" spans="8:8" ht="14.25" customHeight="1" x14ac:dyDescent="0.25">
      <c r="H417" s="34"/>
    </row>
    <row r="418" spans="8:8" ht="14.25" customHeight="1" x14ac:dyDescent="0.25">
      <c r="H418" s="34"/>
    </row>
    <row r="419" spans="8:8" ht="14.25" customHeight="1" x14ac:dyDescent="0.25">
      <c r="H419" s="34"/>
    </row>
    <row r="420" spans="8:8" ht="14.25" customHeight="1" x14ac:dyDescent="0.25">
      <c r="H420" s="34"/>
    </row>
    <row r="421" spans="8:8" ht="14.25" customHeight="1" x14ac:dyDescent="0.25">
      <c r="H421" s="34"/>
    </row>
    <row r="422" spans="8:8" ht="14.25" customHeight="1" x14ac:dyDescent="0.25">
      <c r="H422" s="34"/>
    </row>
    <row r="423" spans="8:8" ht="14.25" customHeight="1" x14ac:dyDescent="0.25">
      <c r="H423" s="34"/>
    </row>
    <row r="424" spans="8:8" ht="14.25" customHeight="1" x14ac:dyDescent="0.25">
      <c r="H424" s="34"/>
    </row>
    <row r="425" spans="8:8" ht="14.25" customHeight="1" x14ac:dyDescent="0.25">
      <c r="H425" s="34"/>
    </row>
    <row r="426" spans="8:8" ht="14.25" customHeight="1" x14ac:dyDescent="0.25">
      <c r="H426" s="34"/>
    </row>
    <row r="427" spans="8:8" ht="14.25" customHeight="1" x14ac:dyDescent="0.25">
      <c r="H427" s="34"/>
    </row>
    <row r="428" spans="8:8" ht="14.25" customHeight="1" x14ac:dyDescent="0.25">
      <c r="H428" s="34"/>
    </row>
    <row r="429" spans="8:8" ht="14.25" customHeight="1" x14ac:dyDescent="0.25">
      <c r="H429" s="34"/>
    </row>
    <row r="430" spans="8:8" ht="14.25" customHeight="1" x14ac:dyDescent="0.25">
      <c r="H430" s="34"/>
    </row>
    <row r="431" spans="8:8" ht="14.25" customHeight="1" x14ac:dyDescent="0.25">
      <c r="H431" s="34"/>
    </row>
    <row r="432" spans="8:8" ht="14.25" customHeight="1" x14ac:dyDescent="0.25">
      <c r="H432" s="34"/>
    </row>
    <row r="433" spans="8:8" ht="14.25" customHeight="1" x14ac:dyDescent="0.25">
      <c r="H433" s="34"/>
    </row>
    <row r="434" spans="8:8" ht="14.25" customHeight="1" x14ac:dyDescent="0.25">
      <c r="H434" s="34"/>
    </row>
    <row r="435" spans="8:8" ht="14.25" customHeight="1" x14ac:dyDescent="0.25">
      <c r="H435" s="34"/>
    </row>
    <row r="436" spans="8:8" ht="14.25" customHeight="1" x14ac:dyDescent="0.25">
      <c r="H436" s="34"/>
    </row>
    <row r="437" spans="8:8" ht="14.25" customHeight="1" x14ac:dyDescent="0.25">
      <c r="H437" s="34"/>
    </row>
    <row r="438" spans="8:8" ht="14.25" customHeight="1" x14ac:dyDescent="0.25">
      <c r="H438" s="34"/>
    </row>
    <row r="439" spans="8:8" ht="14.25" customHeight="1" x14ac:dyDescent="0.25">
      <c r="H439" s="34"/>
    </row>
    <row r="440" spans="8:8" ht="14.25" customHeight="1" x14ac:dyDescent="0.25">
      <c r="H440" s="34"/>
    </row>
    <row r="441" spans="8:8" ht="14.25" customHeight="1" x14ac:dyDescent="0.25">
      <c r="H441" s="34"/>
    </row>
    <row r="442" spans="8:8" ht="14.25" customHeight="1" x14ac:dyDescent="0.25">
      <c r="H442" s="34"/>
    </row>
    <row r="443" spans="8:8" ht="14.25" customHeight="1" x14ac:dyDescent="0.25">
      <c r="H443" s="34"/>
    </row>
    <row r="444" spans="8:8" ht="14.25" customHeight="1" x14ac:dyDescent="0.25">
      <c r="H444" s="34"/>
    </row>
    <row r="445" spans="8:8" ht="14.25" customHeight="1" x14ac:dyDescent="0.25">
      <c r="H445" s="34"/>
    </row>
    <row r="446" spans="8:8" ht="14.25" customHeight="1" x14ac:dyDescent="0.25">
      <c r="H446" s="34"/>
    </row>
    <row r="447" spans="8:8" ht="14.25" customHeight="1" x14ac:dyDescent="0.25">
      <c r="H447" s="34"/>
    </row>
    <row r="448" spans="8:8" ht="14.25" customHeight="1" x14ac:dyDescent="0.25">
      <c r="H448" s="34"/>
    </row>
    <row r="449" spans="8:8" ht="14.25" customHeight="1" x14ac:dyDescent="0.25">
      <c r="H449" s="34"/>
    </row>
    <row r="450" spans="8:8" ht="14.25" customHeight="1" x14ac:dyDescent="0.25">
      <c r="H450" s="34"/>
    </row>
    <row r="451" spans="8:8" ht="14.25" customHeight="1" x14ac:dyDescent="0.25">
      <c r="H451" s="34"/>
    </row>
    <row r="452" spans="8:8" ht="14.25" customHeight="1" x14ac:dyDescent="0.25">
      <c r="H452" s="34"/>
    </row>
    <row r="453" spans="8:8" ht="14.25" customHeight="1" x14ac:dyDescent="0.25">
      <c r="H453" s="34"/>
    </row>
    <row r="454" spans="8:8" ht="14.25" customHeight="1" x14ac:dyDescent="0.25">
      <c r="H454" s="34"/>
    </row>
    <row r="455" spans="8:8" ht="14.25" customHeight="1" x14ac:dyDescent="0.25">
      <c r="H455" s="34"/>
    </row>
    <row r="456" spans="8:8" ht="14.25" customHeight="1" x14ac:dyDescent="0.25">
      <c r="H456" s="34"/>
    </row>
    <row r="457" spans="8:8" ht="14.25" customHeight="1" x14ac:dyDescent="0.25">
      <c r="H457" s="34"/>
    </row>
    <row r="458" spans="8:8" ht="14.25" customHeight="1" x14ac:dyDescent="0.25">
      <c r="H458" s="34"/>
    </row>
    <row r="459" spans="8:8" ht="14.25" customHeight="1" x14ac:dyDescent="0.25">
      <c r="H459" s="34"/>
    </row>
    <row r="460" spans="8:8" ht="14.25" customHeight="1" x14ac:dyDescent="0.25">
      <c r="H460" s="34"/>
    </row>
    <row r="461" spans="8:8" ht="14.25" customHeight="1" x14ac:dyDescent="0.25">
      <c r="H461" s="34"/>
    </row>
    <row r="462" spans="8:8" ht="14.25" customHeight="1" x14ac:dyDescent="0.25">
      <c r="H462" s="34"/>
    </row>
    <row r="463" spans="8:8" ht="14.25" customHeight="1" x14ac:dyDescent="0.25">
      <c r="H463" s="34"/>
    </row>
    <row r="464" spans="8:8" ht="14.25" customHeight="1" x14ac:dyDescent="0.25">
      <c r="H464" s="34"/>
    </row>
    <row r="465" spans="8:8" ht="14.25" customHeight="1" x14ac:dyDescent="0.25">
      <c r="H465" s="34"/>
    </row>
    <row r="466" spans="8:8" ht="14.25" customHeight="1" x14ac:dyDescent="0.25">
      <c r="H466" s="34"/>
    </row>
    <row r="467" spans="8:8" ht="14.25" customHeight="1" x14ac:dyDescent="0.25">
      <c r="H467" s="34"/>
    </row>
    <row r="468" spans="8:8" ht="14.25" customHeight="1" x14ac:dyDescent="0.25">
      <c r="H468" s="34"/>
    </row>
    <row r="469" spans="8:8" ht="14.25" customHeight="1" x14ac:dyDescent="0.25">
      <c r="H469" s="34"/>
    </row>
    <row r="470" spans="8:8" ht="14.25" customHeight="1" x14ac:dyDescent="0.25">
      <c r="H470" s="34"/>
    </row>
    <row r="471" spans="8:8" ht="14.25" customHeight="1" x14ac:dyDescent="0.25">
      <c r="H471" s="34"/>
    </row>
    <row r="472" spans="8:8" ht="14.25" customHeight="1" x14ac:dyDescent="0.25">
      <c r="H472" s="34"/>
    </row>
    <row r="473" spans="8:8" ht="14.25" customHeight="1" x14ac:dyDescent="0.25">
      <c r="H473" s="34"/>
    </row>
    <row r="474" spans="8:8" ht="14.25" customHeight="1" x14ac:dyDescent="0.25">
      <c r="H474" s="34"/>
    </row>
    <row r="475" spans="8:8" ht="14.25" customHeight="1" x14ac:dyDescent="0.25">
      <c r="H475" s="34"/>
    </row>
    <row r="476" spans="8:8" ht="14.25" customHeight="1" x14ac:dyDescent="0.25">
      <c r="H476" s="34"/>
    </row>
    <row r="477" spans="8:8" ht="14.25" customHeight="1" x14ac:dyDescent="0.25">
      <c r="H477" s="34"/>
    </row>
    <row r="478" spans="8:8" ht="14.25" customHeight="1" x14ac:dyDescent="0.25">
      <c r="H478" s="34"/>
    </row>
    <row r="479" spans="8:8" ht="14.25" customHeight="1" x14ac:dyDescent="0.25">
      <c r="H479" s="34"/>
    </row>
    <row r="480" spans="8:8" ht="14.25" customHeight="1" x14ac:dyDescent="0.25">
      <c r="H480" s="34"/>
    </row>
    <row r="481" spans="8:8" ht="14.25" customHeight="1" x14ac:dyDescent="0.25">
      <c r="H481" s="34"/>
    </row>
    <row r="482" spans="8:8" ht="14.25" customHeight="1" x14ac:dyDescent="0.25">
      <c r="H482" s="34"/>
    </row>
    <row r="483" spans="8:8" ht="14.25" customHeight="1" x14ac:dyDescent="0.25">
      <c r="H483" s="34"/>
    </row>
    <row r="484" spans="8:8" ht="14.25" customHeight="1" x14ac:dyDescent="0.25">
      <c r="H484" s="34"/>
    </row>
    <row r="485" spans="8:8" ht="14.25" customHeight="1" x14ac:dyDescent="0.25">
      <c r="H485" s="34"/>
    </row>
    <row r="486" spans="8:8" ht="14.25" customHeight="1" x14ac:dyDescent="0.25">
      <c r="H486" s="34"/>
    </row>
    <row r="487" spans="8:8" ht="14.25" customHeight="1" x14ac:dyDescent="0.25">
      <c r="H487" s="34"/>
    </row>
    <row r="488" spans="8:8" ht="14.25" customHeight="1" x14ac:dyDescent="0.25">
      <c r="H488" s="34"/>
    </row>
    <row r="489" spans="8:8" ht="14.25" customHeight="1" x14ac:dyDescent="0.25">
      <c r="H489" s="34"/>
    </row>
    <row r="490" spans="8:8" ht="14.25" customHeight="1" x14ac:dyDescent="0.25">
      <c r="H490" s="34"/>
    </row>
    <row r="491" spans="8:8" ht="14.25" customHeight="1" x14ac:dyDescent="0.25">
      <c r="H491" s="34"/>
    </row>
    <row r="492" spans="8:8" ht="14.25" customHeight="1" x14ac:dyDescent="0.25">
      <c r="H492" s="34"/>
    </row>
    <row r="493" spans="8:8" ht="14.25" customHeight="1" x14ac:dyDescent="0.25">
      <c r="H493" s="34"/>
    </row>
    <row r="494" spans="8:8" ht="14.25" customHeight="1" x14ac:dyDescent="0.25">
      <c r="H494" s="34"/>
    </row>
    <row r="495" spans="8:8" ht="14.25" customHeight="1" x14ac:dyDescent="0.25">
      <c r="H495" s="34"/>
    </row>
    <row r="496" spans="8:8" ht="14.25" customHeight="1" x14ac:dyDescent="0.25">
      <c r="H496" s="34"/>
    </row>
    <row r="497" spans="8:8" ht="14.25" customHeight="1" x14ac:dyDescent="0.25">
      <c r="H497" s="34"/>
    </row>
    <row r="498" spans="8:8" ht="14.25" customHeight="1" x14ac:dyDescent="0.25">
      <c r="H498" s="34"/>
    </row>
    <row r="499" spans="8:8" ht="14.25" customHeight="1" x14ac:dyDescent="0.25">
      <c r="H499" s="34"/>
    </row>
    <row r="500" spans="8:8" ht="14.25" customHeight="1" x14ac:dyDescent="0.25">
      <c r="H500" s="34"/>
    </row>
    <row r="501" spans="8:8" ht="14.25" customHeight="1" x14ac:dyDescent="0.25">
      <c r="H501" s="34"/>
    </row>
    <row r="502" spans="8:8" ht="14.25" customHeight="1" x14ac:dyDescent="0.25">
      <c r="H502" s="34"/>
    </row>
    <row r="503" spans="8:8" ht="14.25" customHeight="1" x14ac:dyDescent="0.25">
      <c r="H503" s="34"/>
    </row>
    <row r="504" spans="8:8" ht="14.25" customHeight="1" x14ac:dyDescent="0.25">
      <c r="H504" s="34"/>
    </row>
    <row r="505" spans="8:8" ht="14.25" customHeight="1" x14ac:dyDescent="0.25">
      <c r="H505" s="34"/>
    </row>
    <row r="506" spans="8:8" ht="14.25" customHeight="1" x14ac:dyDescent="0.25">
      <c r="H506" s="34"/>
    </row>
    <row r="507" spans="8:8" ht="14.25" customHeight="1" x14ac:dyDescent="0.25">
      <c r="H507" s="34"/>
    </row>
    <row r="508" spans="8:8" ht="14.25" customHeight="1" x14ac:dyDescent="0.25">
      <c r="H508" s="34"/>
    </row>
    <row r="509" spans="8:8" ht="14.25" customHeight="1" x14ac:dyDescent="0.25">
      <c r="H509" s="34"/>
    </row>
    <row r="510" spans="8:8" ht="14.25" customHeight="1" x14ac:dyDescent="0.25">
      <c r="H510" s="34"/>
    </row>
    <row r="511" spans="8:8" ht="14.25" customHeight="1" x14ac:dyDescent="0.25">
      <c r="H511" s="34"/>
    </row>
    <row r="512" spans="8:8" ht="14.25" customHeight="1" x14ac:dyDescent="0.25">
      <c r="H512" s="34"/>
    </row>
    <row r="513" spans="8:8" ht="14.25" customHeight="1" x14ac:dyDescent="0.25">
      <c r="H513" s="34"/>
    </row>
    <row r="514" spans="8:8" ht="14.25" customHeight="1" x14ac:dyDescent="0.25">
      <c r="H514" s="34"/>
    </row>
    <row r="515" spans="8:8" ht="14.25" customHeight="1" x14ac:dyDescent="0.25">
      <c r="H515" s="34"/>
    </row>
    <row r="516" spans="8:8" ht="14.25" customHeight="1" x14ac:dyDescent="0.25">
      <c r="H516" s="34"/>
    </row>
    <row r="517" spans="8:8" ht="14.25" customHeight="1" x14ac:dyDescent="0.25">
      <c r="H517" s="34"/>
    </row>
    <row r="518" spans="8:8" ht="14.25" customHeight="1" x14ac:dyDescent="0.25">
      <c r="H518" s="34"/>
    </row>
    <row r="519" spans="8:8" ht="14.25" customHeight="1" x14ac:dyDescent="0.25">
      <c r="H519" s="34"/>
    </row>
    <row r="520" spans="8:8" ht="14.25" customHeight="1" x14ac:dyDescent="0.25">
      <c r="H520" s="34"/>
    </row>
    <row r="521" spans="8:8" ht="14.25" customHeight="1" x14ac:dyDescent="0.25">
      <c r="H521" s="34"/>
    </row>
    <row r="522" spans="8:8" ht="14.25" customHeight="1" x14ac:dyDescent="0.25">
      <c r="H522" s="34"/>
    </row>
    <row r="523" spans="8:8" ht="14.25" customHeight="1" x14ac:dyDescent="0.25">
      <c r="H523" s="34"/>
    </row>
    <row r="524" spans="8:8" ht="14.25" customHeight="1" x14ac:dyDescent="0.25">
      <c r="H524" s="34"/>
    </row>
    <row r="525" spans="8:8" ht="14.25" customHeight="1" x14ac:dyDescent="0.25">
      <c r="H525" s="34"/>
    </row>
    <row r="526" spans="8:8" ht="14.25" customHeight="1" x14ac:dyDescent="0.25">
      <c r="H526" s="34"/>
    </row>
    <row r="527" spans="8:8" ht="14.25" customHeight="1" x14ac:dyDescent="0.25">
      <c r="H527" s="34"/>
    </row>
    <row r="528" spans="8:8" ht="14.25" customHeight="1" x14ac:dyDescent="0.25">
      <c r="H528" s="34"/>
    </row>
    <row r="529" spans="8:8" ht="14.25" customHeight="1" x14ac:dyDescent="0.25">
      <c r="H529" s="34"/>
    </row>
    <row r="530" spans="8:8" ht="14.25" customHeight="1" x14ac:dyDescent="0.25">
      <c r="H530" s="34"/>
    </row>
    <row r="531" spans="8:8" ht="14.25" customHeight="1" x14ac:dyDescent="0.25">
      <c r="H531" s="34"/>
    </row>
    <row r="532" spans="8:8" ht="14.25" customHeight="1" x14ac:dyDescent="0.25">
      <c r="H532" s="34"/>
    </row>
    <row r="533" spans="8:8" ht="14.25" customHeight="1" x14ac:dyDescent="0.25">
      <c r="H533" s="34"/>
    </row>
    <row r="534" spans="8:8" ht="14.25" customHeight="1" x14ac:dyDescent="0.25">
      <c r="H534" s="34"/>
    </row>
    <row r="535" spans="8:8" ht="14.25" customHeight="1" x14ac:dyDescent="0.25">
      <c r="H535" s="34"/>
    </row>
    <row r="536" spans="8:8" ht="14.25" customHeight="1" x14ac:dyDescent="0.25">
      <c r="H536" s="34"/>
    </row>
    <row r="537" spans="8:8" ht="14.25" customHeight="1" x14ac:dyDescent="0.25">
      <c r="H537" s="34"/>
    </row>
    <row r="538" spans="8:8" ht="14.25" customHeight="1" x14ac:dyDescent="0.25">
      <c r="H538" s="34"/>
    </row>
    <row r="539" spans="8:8" ht="14.25" customHeight="1" x14ac:dyDescent="0.25">
      <c r="H539" s="34"/>
    </row>
    <row r="540" spans="8:8" ht="14.25" customHeight="1" x14ac:dyDescent="0.25">
      <c r="H540" s="34"/>
    </row>
    <row r="541" spans="8:8" ht="14.25" customHeight="1" x14ac:dyDescent="0.25">
      <c r="H541" s="34"/>
    </row>
    <row r="542" spans="8:8" ht="14.25" customHeight="1" x14ac:dyDescent="0.25">
      <c r="H542" s="34"/>
    </row>
    <row r="543" spans="8:8" ht="14.25" customHeight="1" x14ac:dyDescent="0.25">
      <c r="H543" s="34"/>
    </row>
    <row r="544" spans="8:8" ht="14.25" customHeight="1" x14ac:dyDescent="0.25">
      <c r="H544" s="34"/>
    </row>
    <row r="545" spans="8:8" ht="14.25" customHeight="1" x14ac:dyDescent="0.25">
      <c r="H545" s="34"/>
    </row>
    <row r="546" spans="8:8" ht="14.25" customHeight="1" x14ac:dyDescent="0.25">
      <c r="H546" s="34"/>
    </row>
    <row r="547" spans="8:8" ht="14.25" customHeight="1" x14ac:dyDescent="0.25">
      <c r="H547" s="34"/>
    </row>
    <row r="548" spans="8:8" ht="14.25" customHeight="1" x14ac:dyDescent="0.25">
      <c r="H548" s="34"/>
    </row>
    <row r="549" spans="8:8" ht="14.25" customHeight="1" x14ac:dyDescent="0.25">
      <c r="H549" s="34"/>
    </row>
    <row r="550" spans="8:8" ht="14.25" customHeight="1" x14ac:dyDescent="0.25">
      <c r="H550" s="34"/>
    </row>
    <row r="551" spans="8:8" ht="14.25" customHeight="1" x14ac:dyDescent="0.25">
      <c r="H551" s="34"/>
    </row>
    <row r="552" spans="8:8" ht="14.25" customHeight="1" x14ac:dyDescent="0.25">
      <c r="H552" s="34"/>
    </row>
    <row r="553" spans="8:8" ht="14.25" customHeight="1" x14ac:dyDescent="0.25">
      <c r="H553" s="34"/>
    </row>
    <row r="554" spans="8:8" ht="14.25" customHeight="1" x14ac:dyDescent="0.25">
      <c r="H554" s="34"/>
    </row>
    <row r="555" spans="8:8" ht="14.25" customHeight="1" x14ac:dyDescent="0.25">
      <c r="H555" s="34"/>
    </row>
    <row r="556" spans="8:8" ht="14.25" customHeight="1" x14ac:dyDescent="0.25">
      <c r="H556" s="34"/>
    </row>
    <row r="557" spans="8:8" ht="14.25" customHeight="1" x14ac:dyDescent="0.25">
      <c r="H557" s="34"/>
    </row>
    <row r="558" spans="8:8" ht="14.25" customHeight="1" x14ac:dyDescent="0.25">
      <c r="H558" s="34"/>
    </row>
    <row r="559" spans="8:8" ht="14.25" customHeight="1" x14ac:dyDescent="0.25">
      <c r="H559" s="34"/>
    </row>
    <row r="560" spans="8:8" ht="14.25" customHeight="1" x14ac:dyDescent="0.25">
      <c r="H560" s="34"/>
    </row>
    <row r="561" spans="8:8" ht="14.25" customHeight="1" x14ac:dyDescent="0.25">
      <c r="H561" s="34"/>
    </row>
    <row r="562" spans="8:8" ht="14.25" customHeight="1" x14ac:dyDescent="0.25">
      <c r="H562" s="34"/>
    </row>
    <row r="563" spans="8:8" ht="14.25" customHeight="1" x14ac:dyDescent="0.25">
      <c r="H563" s="34"/>
    </row>
    <row r="564" spans="8:8" ht="14.25" customHeight="1" x14ac:dyDescent="0.25">
      <c r="H564" s="34"/>
    </row>
    <row r="565" spans="8:8" ht="14.25" customHeight="1" x14ac:dyDescent="0.25">
      <c r="H565" s="34"/>
    </row>
    <row r="566" spans="8:8" ht="14.25" customHeight="1" x14ac:dyDescent="0.25">
      <c r="H566" s="34"/>
    </row>
    <row r="567" spans="8:8" ht="14.25" customHeight="1" x14ac:dyDescent="0.25">
      <c r="H567" s="34"/>
    </row>
    <row r="568" spans="8:8" ht="14.25" customHeight="1" x14ac:dyDescent="0.25">
      <c r="H568" s="34"/>
    </row>
    <row r="569" spans="8:8" ht="14.25" customHeight="1" x14ac:dyDescent="0.25">
      <c r="H569" s="34"/>
    </row>
    <row r="570" spans="8:8" ht="14.25" customHeight="1" x14ac:dyDescent="0.25">
      <c r="H570" s="34"/>
    </row>
    <row r="571" spans="8:8" ht="14.25" customHeight="1" x14ac:dyDescent="0.25">
      <c r="H571" s="34"/>
    </row>
    <row r="572" spans="8:8" ht="14.25" customHeight="1" x14ac:dyDescent="0.25">
      <c r="H572" s="34"/>
    </row>
    <row r="573" spans="8:8" ht="14.25" customHeight="1" x14ac:dyDescent="0.25">
      <c r="H573" s="34"/>
    </row>
    <row r="574" spans="8:8" ht="14.25" customHeight="1" x14ac:dyDescent="0.25">
      <c r="H574" s="34"/>
    </row>
    <row r="575" spans="8:8" ht="14.25" customHeight="1" x14ac:dyDescent="0.25">
      <c r="H575" s="34"/>
    </row>
    <row r="576" spans="8:8" ht="14.25" customHeight="1" x14ac:dyDescent="0.25">
      <c r="H576" s="34"/>
    </row>
    <row r="577" spans="8:8" ht="14.25" customHeight="1" x14ac:dyDescent="0.25">
      <c r="H577" s="34"/>
    </row>
    <row r="578" spans="8:8" ht="14.25" customHeight="1" x14ac:dyDescent="0.25">
      <c r="H578" s="34"/>
    </row>
    <row r="579" spans="8:8" ht="14.25" customHeight="1" x14ac:dyDescent="0.25">
      <c r="H579" s="34"/>
    </row>
    <row r="580" spans="8:8" ht="14.25" customHeight="1" x14ac:dyDescent="0.25">
      <c r="H580" s="34"/>
    </row>
    <row r="581" spans="8:8" ht="14.25" customHeight="1" x14ac:dyDescent="0.25">
      <c r="H581" s="34"/>
    </row>
    <row r="582" spans="8:8" ht="14.25" customHeight="1" x14ac:dyDescent="0.25">
      <c r="H582" s="34"/>
    </row>
    <row r="583" spans="8:8" ht="14.25" customHeight="1" x14ac:dyDescent="0.25">
      <c r="H583" s="34"/>
    </row>
    <row r="584" spans="8:8" ht="14.25" customHeight="1" x14ac:dyDescent="0.25">
      <c r="H584" s="34"/>
    </row>
    <row r="585" spans="8:8" ht="14.25" customHeight="1" x14ac:dyDescent="0.25">
      <c r="H585" s="34"/>
    </row>
    <row r="586" spans="8:8" ht="14.25" customHeight="1" x14ac:dyDescent="0.25">
      <c r="H586" s="34"/>
    </row>
    <row r="587" spans="8:8" ht="14.25" customHeight="1" x14ac:dyDescent="0.25">
      <c r="H587" s="34"/>
    </row>
    <row r="588" spans="8:8" ht="14.25" customHeight="1" x14ac:dyDescent="0.25">
      <c r="H588" s="34"/>
    </row>
    <row r="589" spans="8:8" ht="14.25" customHeight="1" x14ac:dyDescent="0.25">
      <c r="H589" s="34"/>
    </row>
    <row r="590" spans="8:8" ht="14.25" customHeight="1" x14ac:dyDescent="0.25">
      <c r="H590" s="34"/>
    </row>
    <row r="591" spans="8:8" ht="14.25" customHeight="1" x14ac:dyDescent="0.25">
      <c r="H591" s="34"/>
    </row>
    <row r="592" spans="8:8" ht="14.25" customHeight="1" x14ac:dyDescent="0.25">
      <c r="H592" s="34"/>
    </row>
    <row r="593" spans="8:8" ht="14.25" customHeight="1" x14ac:dyDescent="0.25">
      <c r="H593" s="34"/>
    </row>
    <row r="594" spans="8:8" ht="14.25" customHeight="1" x14ac:dyDescent="0.25">
      <c r="H594" s="34"/>
    </row>
    <row r="595" spans="8:8" ht="14.25" customHeight="1" x14ac:dyDescent="0.25">
      <c r="H595" s="34"/>
    </row>
    <row r="596" spans="8:8" ht="14.25" customHeight="1" x14ac:dyDescent="0.25">
      <c r="H596" s="34"/>
    </row>
    <row r="597" spans="8:8" ht="14.25" customHeight="1" x14ac:dyDescent="0.25">
      <c r="H597" s="34"/>
    </row>
    <row r="598" spans="8:8" ht="14.25" customHeight="1" x14ac:dyDescent="0.25">
      <c r="H598" s="34"/>
    </row>
    <row r="599" spans="8:8" ht="14.25" customHeight="1" x14ac:dyDescent="0.25">
      <c r="H599" s="34"/>
    </row>
    <row r="600" spans="8:8" ht="14.25" customHeight="1" x14ac:dyDescent="0.25">
      <c r="H600" s="34"/>
    </row>
    <row r="601" spans="8:8" ht="14.25" customHeight="1" x14ac:dyDescent="0.25">
      <c r="H601" s="34"/>
    </row>
    <row r="602" spans="8:8" ht="14.25" customHeight="1" x14ac:dyDescent="0.25">
      <c r="H602" s="34"/>
    </row>
    <row r="603" spans="8:8" ht="14.25" customHeight="1" x14ac:dyDescent="0.25">
      <c r="H603" s="34"/>
    </row>
    <row r="604" spans="8:8" ht="14.25" customHeight="1" x14ac:dyDescent="0.25">
      <c r="H604" s="34"/>
    </row>
    <row r="605" spans="8:8" ht="14.25" customHeight="1" x14ac:dyDescent="0.25">
      <c r="H605" s="34"/>
    </row>
    <row r="606" spans="8:8" ht="14.25" customHeight="1" x14ac:dyDescent="0.25">
      <c r="H606" s="34"/>
    </row>
    <row r="607" spans="8:8" ht="14.25" customHeight="1" x14ac:dyDescent="0.25">
      <c r="H607" s="34"/>
    </row>
    <row r="608" spans="8:8" ht="14.25" customHeight="1" x14ac:dyDescent="0.25">
      <c r="H608" s="34"/>
    </row>
    <row r="609" spans="8:8" ht="14.25" customHeight="1" x14ac:dyDescent="0.25">
      <c r="H609" s="34"/>
    </row>
    <row r="610" spans="8:8" ht="14.25" customHeight="1" x14ac:dyDescent="0.25">
      <c r="H610" s="34"/>
    </row>
    <row r="611" spans="8:8" ht="14.25" customHeight="1" x14ac:dyDescent="0.25">
      <c r="H611" s="34"/>
    </row>
    <row r="612" spans="8:8" ht="14.25" customHeight="1" x14ac:dyDescent="0.25">
      <c r="H612" s="34"/>
    </row>
    <row r="613" spans="8:8" ht="14.25" customHeight="1" x14ac:dyDescent="0.25">
      <c r="H613" s="34"/>
    </row>
    <row r="614" spans="8:8" ht="14.25" customHeight="1" x14ac:dyDescent="0.25">
      <c r="H614" s="34"/>
    </row>
    <row r="615" spans="8:8" ht="14.25" customHeight="1" x14ac:dyDescent="0.25">
      <c r="H615" s="34"/>
    </row>
    <row r="616" spans="8:8" ht="14.25" customHeight="1" x14ac:dyDescent="0.25">
      <c r="H616" s="34"/>
    </row>
    <row r="617" spans="8:8" ht="14.25" customHeight="1" x14ac:dyDescent="0.25">
      <c r="H617" s="34"/>
    </row>
    <row r="618" spans="8:8" ht="14.25" customHeight="1" x14ac:dyDescent="0.25">
      <c r="H618" s="34"/>
    </row>
    <row r="619" spans="8:8" ht="14.25" customHeight="1" x14ac:dyDescent="0.25">
      <c r="H619" s="34"/>
    </row>
    <row r="620" spans="8:8" ht="14.25" customHeight="1" x14ac:dyDescent="0.25">
      <c r="H620" s="34"/>
    </row>
    <row r="621" spans="8:8" ht="14.25" customHeight="1" x14ac:dyDescent="0.25">
      <c r="H621" s="34"/>
    </row>
    <row r="622" spans="8:8" ht="14.25" customHeight="1" x14ac:dyDescent="0.25">
      <c r="H622" s="34"/>
    </row>
    <row r="623" spans="8:8" ht="14.25" customHeight="1" x14ac:dyDescent="0.25">
      <c r="H623" s="34"/>
    </row>
    <row r="624" spans="8:8" ht="14.25" customHeight="1" x14ac:dyDescent="0.25">
      <c r="H624" s="34"/>
    </row>
    <row r="625" spans="8:8" ht="14.25" customHeight="1" x14ac:dyDescent="0.25">
      <c r="H625" s="34"/>
    </row>
    <row r="626" spans="8:8" ht="14.25" customHeight="1" x14ac:dyDescent="0.25">
      <c r="H626" s="34"/>
    </row>
    <row r="627" spans="8:8" ht="14.25" customHeight="1" x14ac:dyDescent="0.25">
      <c r="H627" s="34"/>
    </row>
    <row r="628" spans="8:8" ht="14.25" customHeight="1" x14ac:dyDescent="0.25">
      <c r="H628" s="34"/>
    </row>
    <row r="629" spans="8:8" ht="14.25" customHeight="1" x14ac:dyDescent="0.25">
      <c r="H629" s="34"/>
    </row>
    <row r="630" spans="8:8" ht="14.25" customHeight="1" x14ac:dyDescent="0.25">
      <c r="H630" s="34"/>
    </row>
    <row r="631" spans="8:8" ht="14.25" customHeight="1" x14ac:dyDescent="0.25">
      <c r="H631" s="34"/>
    </row>
    <row r="632" spans="8:8" ht="14.25" customHeight="1" x14ac:dyDescent="0.25">
      <c r="H632" s="34"/>
    </row>
    <row r="633" spans="8:8" ht="14.25" customHeight="1" x14ac:dyDescent="0.25">
      <c r="H633" s="34"/>
    </row>
    <row r="634" spans="8:8" ht="14.25" customHeight="1" x14ac:dyDescent="0.25">
      <c r="H634" s="34"/>
    </row>
    <row r="635" spans="8:8" ht="14.25" customHeight="1" x14ac:dyDescent="0.25">
      <c r="H635" s="34"/>
    </row>
    <row r="636" spans="8:8" ht="14.25" customHeight="1" x14ac:dyDescent="0.25">
      <c r="H636" s="34"/>
    </row>
    <row r="637" spans="8:8" ht="14.25" customHeight="1" x14ac:dyDescent="0.25">
      <c r="H637" s="34"/>
    </row>
    <row r="638" spans="8:8" ht="14.25" customHeight="1" x14ac:dyDescent="0.25">
      <c r="H638" s="34"/>
    </row>
    <row r="639" spans="8:8" ht="14.25" customHeight="1" x14ac:dyDescent="0.25">
      <c r="H639" s="34"/>
    </row>
    <row r="640" spans="8:8" ht="14.25" customHeight="1" x14ac:dyDescent="0.25">
      <c r="H640" s="34"/>
    </row>
    <row r="641" spans="8:8" ht="14.25" customHeight="1" x14ac:dyDescent="0.25">
      <c r="H641" s="34"/>
    </row>
    <row r="642" spans="8:8" ht="14.25" customHeight="1" x14ac:dyDescent="0.25">
      <c r="H642" s="34"/>
    </row>
    <row r="643" spans="8:8" ht="14.25" customHeight="1" x14ac:dyDescent="0.25">
      <c r="H643" s="34"/>
    </row>
    <row r="644" spans="8:8" ht="14.25" customHeight="1" x14ac:dyDescent="0.25">
      <c r="H644" s="34"/>
    </row>
    <row r="645" spans="8:8" ht="14.25" customHeight="1" x14ac:dyDescent="0.25">
      <c r="H645" s="34"/>
    </row>
    <row r="646" spans="8:8" ht="14.25" customHeight="1" x14ac:dyDescent="0.25">
      <c r="H646" s="34"/>
    </row>
    <row r="647" spans="8:8" ht="14.25" customHeight="1" x14ac:dyDescent="0.25">
      <c r="H647" s="34"/>
    </row>
    <row r="648" spans="8:8" ht="14.25" customHeight="1" x14ac:dyDescent="0.25">
      <c r="H648" s="34"/>
    </row>
    <row r="649" spans="8:8" ht="14.25" customHeight="1" x14ac:dyDescent="0.25">
      <c r="H649" s="34"/>
    </row>
    <row r="650" spans="8:8" ht="14.25" customHeight="1" x14ac:dyDescent="0.25">
      <c r="H650" s="34"/>
    </row>
    <row r="651" spans="8:8" ht="14.25" customHeight="1" x14ac:dyDescent="0.25">
      <c r="H651" s="34"/>
    </row>
    <row r="652" spans="8:8" ht="14.25" customHeight="1" x14ac:dyDescent="0.25">
      <c r="H652" s="34"/>
    </row>
    <row r="653" spans="8:8" ht="14.25" customHeight="1" x14ac:dyDescent="0.25">
      <c r="H653" s="34"/>
    </row>
    <row r="654" spans="8:8" ht="14.25" customHeight="1" x14ac:dyDescent="0.25">
      <c r="H654" s="34"/>
    </row>
    <row r="655" spans="8:8" ht="14.25" customHeight="1" x14ac:dyDescent="0.25">
      <c r="H655" s="34"/>
    </row>
    <row r="656" spans="8:8" ht="14.25" customHeight="1" x14ac:dyDescent="0.25">
      <c r="H656" s="34"/>
    </row>
    <row r="657" spans="8:8" ht="14.25" customHeight="1" x14ac:dyDescent="0.25">
      <c r="H657" s="34"/>
    </row>
    <row r="658" spans="8:8" ht="14.25" customHeight="1" x14ac:dyDescent="0.25">
      <c r="H658" s="34"/>
    </row>
    <row r="659" spans="8:8" ht="14.25" customHeight="1" x14ac:dyDescent="0.25">
      <c r="H659" s="34"/>
    </row>
    <row r="660" spans="8:8" ht="14.25" customHeight="1" x14ac:dyDescent="0.25">
      <c r="H660" s="34"/>
    </row>
    <row r="661" spans="8:8" ht="14.25" customHeight="1" x14ac:dyDescent="0.25">
      <c r="H661" s="34"/>
    </row>
    <row r="662" spans="8:8" ht="14.25" customHeight="1" x14ac:dyDescent="0.25">
      <c r="H662" s="34"/>
    </row>
    <row r="663" spans="8:8" ht="14.25" customHeight="1" x14ac:dyDescent="0.25">
      <c r="H663" s="34"/>
    </row>
    <row r="664" spans="8:8" ht="14.25" customHeight="1" x14ac:dyDescent="0.25">
      <c r="H664" s="34"/>
    </row>
    <row r="665" spans="8:8" ht="14.25" customHeight="1" x14ac:dyDescent="0.25">
      <c r="H665" s="34"/>
    </row>
    <row r="666" spans="8:8" ht="14.25" customHeight="1" x14ac:dyDescent="0.25">
      <c r="H666" s="34"/>
    </row>
    <row r="667" spans="8:8" ht="14.25" customHeight="1" x14ac:dyDescent="0.25">
      <c r="H667" s="34"/>
    </row>
    <row r="668" spans="8:8" ht="14.25" customHeight="1" x14ac:dyDescent="0.25">
      <c r="H668" s="34"/>
    </row>
    <row r="669" spans="8:8" ht="14.25" customHeight="1" x14ac:dyDescent="0.25">
      <c r="H669" s="34"/>
    </row>
    <row r="670" spans="8:8" ht="14.25" customHeight="1" x14ac:dyDescent="0.25">
      <c r="H670" s="34"/>
    </row>
    <row r="671" spans="8:8" ht="14.25" customHeight="1" x14ac:dyDescent="0.25">
      <c r="H671" s="34"/>
    </row>
    <row r="672" spans="8:8" ht="14.25" customHeight="1" x14ac:dyDescent="0.25">
      <c r="H672" s="34"/>
    </row>
    <row r="673" spans="8:8" ht="14.25" customHeight="1" x14ac:dyDescent="0.25">
      <c r="H673" s="34"/>
    </row>
    <row r="674" spans="8:8" ht="14.25" customHeight="1" x14ac:dyDescent="0.25">
      <c r="H674" s="34"/>
    </row>
    <row r="675" spans="8:8" ht="14.25" customHeight="1" x14ac:dyDescent="0.25">
      <c r="H675" s="34"/>
    </row>
    <row r="676" spans="8:8" ht="14.25" customHeight="1" x14ac:dyDescent="0.25">
      <c r="H676" s="34"/>
    </row>
    <row r="677" spans="8:8" ht="14.25" customHeight="1" x14ac:dyDescent="0.25">
      <c r="H677" s="34"/>
    </row>
    <row r="678" spans="8:8" ht="14.25" customHeight="1" x14ac:dyDescent="0.25">
      <c r="H678" s="34"/>
    </row>
    <row r="679" spans="8:8" ht="14.25" customHeight="1" x14ac:dyDescent="0.25">
      <c r="H679" s="34"/>
    </row>
    <row r="680" spans="8:8" ht="14.25" customHeight="1" x14ac:dyDescent="0.25">
      <c r="H680" s="34"/>
    </row>
    <row r="681" spans="8:8" ht="14.25" customHeight="1" x14ac:dyDescent="0.25">
      <c r="H681" s="34"/>
    </row>
    <row r="682" spans="8:8" ht="14.25" customHeight="1" x14ac:dyDescent="0.25">
      <c r="H682" s="34"/>
    </row>
    <row r="683" spans="8:8" ht="14.25" customHeight="1" x14ac:dyDescent="0.25">
      <c r="H683" s="34"/>
    </row>
    <row r="684" spans="8:8" ht="14.25" customHeight="1" x14ac:dyDescent="0.25">
      <c r="H684" s="34"/>
    </row>
    <row r="685" spans="8:8" ht="14.25" customHeight="1" x14ac:dyDescent="0.25">
      <c r="H685" s="34"/>
    </row>
    <row r="686" spans="8:8" ht="14.25" customHeight="1" x14ac:dyDescent="0.25">
      <c r="H686" s="34"/>
    </row>
    <row r="687" spans="8:8" ht="14.25" customHeight="1" x14ac:dyDescent="0.25">
      <c r="H687" s="34"/>
    </row>
    <row r="688" spans="8:8" ht="14.25" customHeight="1" x14ac:dyDescent="0.25">
      <c r="H688" s="34"/>
    </row>
    <row r="689" spans="8:8" ht="14.25" customHeight="1" x14ac:dyDescent="0.25">
      <c r="H689" s="34"/>
    </row>
    <row r="690" spans="8:8" ht="14.25" customHeight="1" x14ac:dyDescent="0.25">
      <c r="H690" s="34"/>
    </row>
    <row r="691" spans="8:8" ht="14.25" customHeight="1" x14ac:dyDescent="0.25">
      <c r="H691" s="34"/>
    </row>
    <row r="692" spans="8:8" ht="14.25" customHeight="1" x14ac:dyDescent="0.25">
      <c r="H692" s="34"/>
    </row>
    <row r="693" spans="8:8" ht="14.25" customHeight="1" x14ac:dyDescent="0.25">
      <c r="H693" s="34"/>
    </row>
    <row r="694" spans="8:8" ht="14.25" customHeight="1" x14ac:dyDescent="0.25">
      <c r="H694" s="34"/>
    </row>
    <row r="695" spans="8:8" ht="14.25" customHeight="1" x14ac:dyDescent="0.25">
      <c r="H695" s="34"/>
    </row>
    <row r="696" spans="8:8" ht="14.25" customHeight="1" x14ac:dyDescent="0.25">
      <c r="H696" s="34"/>
    </row>
    <row r="697" spans="8:8" ht="14.25" customHeight="1" x14ac:dyDescent="0.25">
      <c r="H697" s="34"/>
    </row>
    <row r="698" spans="8:8" ht="14.25" customHeight="1" x14ac:dyDescent="0.25">
      <c r="H698" s="34"/>
    </row>
    <row r="699" spans="8:8" ht="14.25" customHeight="1" x14ac:dyDescent="0.25">
      <c r="H699" s="34"/>
    </row>
    <row r="700" spans="8:8" ht="14.25" customHeight="1" x14ac:dyDescent="0.25">
      <c r="H700" s="34"/>
    </row>
    <row r="701" spans="8:8" ht="14.25" customHeight="1" x14ac:dyDescent="0.25">
      <c r="H701" s="34"/>
    </row>
    <row r="702" spans="8:8" ht="14.25" customHeight="1" x14ac:dyDescent="0.25">
      <c r="H702" s="34"/>
    </row>
    <row r="703" spans="8:8" ht="14.25" customHeight="1" x14ac:dyDescent="0.25">
      <c r="H703" s="34"/>
    </row>
    <row r="704" spans="8:8" ht="14.25" customHeight="1" x14ac:dyDescent="0.25">
      <c r="H704" s="34"/>
    </row>
    <row r="705" spans="8:8" ht="14.25" customHeight="1" x14ac:dyDescent="0.25">
      <c r="H705" s="34"/>
    </row>
    <row r="706" spans="8:8" ht="14.25" customHeight="1" x14ac:dyDescent="0.25">
      <c r="H706" s="34"/>
    </row>
    <row r="707" spans="8:8" ht="14.25" customHeight="1" x14ac:dyDescent="0.25">
      <c r="H707" s="34"/>
    </row>
    <row r="708" spans="8:8" ht="14.25" customHeight="1" x14ac:dyDescent="0.25">
      <c r="H708" s="34"/>
    </row>
    <row r="709" spans="8:8" ht="14.25" customHeight="1" x14ac:dyDescent="0.25">
      <c r="H709" s="34"/>
    </row>
    <row r="710" spans="8:8" ht="14.25" customHeight="1" x14ac:dyDescent="0.25">
      <c r="H710" s="34"/>
    </row>
    <row r="711" spans="8:8" ht="14.25" customHeight="1" x14ac:dyDescent="0.25">
      <c r="H711" s="34"/>
    </row>
    <row r="712" spans="8:8" ht="14.25" customHeight="1" x14ac:dyDescent="0.25">
      <c r="H712" s="34"/>
    </row>
    <row r="713" spans="8:8" ht="14.25" customHeight="1" x14ac:dyDescent="0.25">
      <c r="H713" s="34"/>
    </row>
    <row r="714" spans="8:8" ht="14.25" customHeight="1" x14ac:dyDescent="0.25">
      <c r="H714" s="34"/>
    </row>
    <row r="715" spans="8:8" ht="14.25" customHeight="1" x14ac:dyDescent="0.25">
      <c r="H715" s="34"/>
    </row>
    <row r="716" spans="8:8" ht="14.25" customHeight="1" x14ac:dyDescent="0.25">
      <c r="H716" s="34"/>
    </row>
    <row r="717" spans="8:8" ht="14.25" customHeight="1" x14ac:dyDescent="0.25">
      <c r="H717" s="34"/>
    </row>
    <row r="718" spans="8:8" ht="14.25" customHeight="1" x14ac:dyDescent="0.25">
      <c r="H718" s="34"/>
    </row>
    <row r="719" spans="8:8" ht="14.25" customHeight="1" x14ac:dyDescent="0.25">
      <c r="H719" s="34"/>
    </row>
    <row r="720" spans="8:8" ht="14.25" customHeight="1" x14ac:dyDescent="0.25">
      <c r="H720" s="34"/>
    </row>
    <row r="721" spans="8:8" ht="14.25" customHeight="1" x14ac:dyDescent="0.25">
      <c r="H721" s="34"/>
    </row>
    <row r="722" spans="8:8" ht="14.25" customHeight="1" x14ac:dyDescent="0.25">
      <c r="H722" s="34"/>
    </row>
    <row r="723" spans="8:8" ht="14.25" customHeight="1" x14ac:dyDescent="0.25">
      <c r="H723" s="34"/>
    </row>
    <row r="724" spans="8:8" ht="14.25" customHeight="1" x14ac:dyDescent="0.25">
      <c r="H724" s="34"/>
    </row>
    <row r="725" spans="8:8" ht="14.25" customHeight="1" x14ac:dyDescent="0.25">
      <c r="H725" s="34"/>
    </row>
    <row r="726" spans="8:8" ht="14.25" customHeight="1" x14ac:dyDescent="0.25">
      <c r="H726" s="34"/>
    </row>
    <row r="727" spans="8:8" ht="14.25" customHeight="1" x14ac:dyDescent="0.25">
      <c r="H727" s="34"/>
    </row>
    <row r="728" spans="8:8" ht="14.25" customHeight="1" x14ac:dyDescent="0.25">
      <c r="H728" s="34"/>
    </row>
    <row r="729" spans="8:8" ht="14.25" customHeight="1" x14ac:dyDescent="0.25">
      <c r="H729" s="34"/>
    </row>
    <row r="730" spans="8:8" ht="14.25" customHeight="1" x14ac:dyDescent="0.25">
      <c r="H730" s="34"/>
    </row>
    <row r="731" spans="8:8" ht="14.25" customHeight="1" x14ac:dyDescent="0.25">
      <c r="H731" s="34"/>
    </row>
    <row r="732" spans="8:8" ht="14.25" customHeight="1" x14ac:dyDescent="0.25">
      <c r="H732" s="34"/>
    </row>
    <row r="733" spans="8:8" ht="14.25" customHeight="1" x14ac:dyDescent="0.25">
      <c r="H733" s="34"/>
    </row>
    <row r="734" spans="8:8" ht="14.25" customHeight="1" x14ac:dyDescent="0.25">
      <c r="H734" s="34"/>
    </row>
    <row r="735" spans="8:8" ht="14.25" customHeight="1" x14ac:dyDescent="0.25">
      <c r="H735" s="34"/>
    </row>
    <row r="736" spans="8:8" ht="14.25" customHeight="1" x14ac:dyDescent="0.25">
      <c r="H736" s="34"/>
    </row>
    <row r="737" spans="8:8" ht="14.25" customHeight="1" x14ac:dyDescent="0.25">
      <c r="H737" s="34"/>
    </row>
    <row r="738" spans="8:8" ht="14.25" customHeight="1" x14ac:dyDescent="0.25">
      <c r="H738" s="34"/>
    </row>
    <row r="739" spans="8:8" ht="14.25" customHeight="1" x14ac:dyDescent="0.25">
      <c r="H739" s="34"/>
    </row>
    <row r="740" spans="8:8" ht="14.25" customHeight="1" x14ac:dyDescent="0.25">
      <c r="H740" s="34"/>
    </row>
    <row r="741" spans="8:8" ht="14.25" customHeight="1" x14ac:dyDescent="0.25">
      <c r="H741" s="34"/>
    </row>
    <row r="742" spans="8:8" ht="14.25" customHeight="1" x14ac:dyDescent="0.25">
      <c r="H742" s="34"/>
    </row>
    <row r="743" spans="8:8" ht="14.25" customHeight="1" x14ac:dyDescent="0.25">
      <c r="H743" s="34"/>
    </row>
    <row r="744" spans="8:8" ht="14.25" customHeight="1" x14ac:dyDescent="0.25">
      <c r="H744" s="34"/>
    </row>
    <row r="745" spans="8:8" ht="14.25" customHeight="1" x14ac:dyDescent="0.25">
      <c r="H745" s="34"/>
    </row>
    <row r="746" spans="8:8" ht="14.25" customHeight="1" x14ac:dyDescent="0.25">
      <c r="H746" s="34"/>
    </row>
    <row r="747" spans="8:8" ht="14.25" customHeight="1" x14ac:dyDescent="0.25">
      <c r="H747" s="34"/>
    </row>
    <row r="748" spans="8:8" ht="14.25" customHeight="1" x14ac:dyDescent="0.25">
      <c r="H748" s="34"/>
    </row>
    <row r="749" spans="8:8" ht="14.25" customHeight="1" x14ac:dyDescent="0.25">
      <c r="H749" s="34"/>
    </row>
    <row r="750" spans="8:8" ht="14.25" customHeight="1" x14ac:dyDescent="0.25">
      <c r="H750" s="34"/>
    </row>
    <row r="751" spans="8:8" ht="14.25" customHeight="1" x14ac:dyDescent="0.25">
      <c r="H751" s="34"/>
    </row>
    <row r="752" spans="8:8" ht="14.25" customHeight="1" x14ac:dyDescent="0.25">
      <c r="H752" s="34"/>
    </row>
    <row r="753" spans="8:8" ht="14.25" customHeight="1" x14ac:dyDescent="0.25">
      <c r="H753" s="34"/>
    </row>
    <row r="754" spans="8:8" ht="14.25" customHeight="1" x14ac:dyDescent="0.25">
      <c r="H754" s="34"/>
    </row>
    <row r="755" spans="8:8" ht="14.25" customHeight="1" x14ac:dyDescent="0.25">
      <c r="H755" s="34"/>
    </row>
    <row r="756" spans="8:8" ht="14.25" customHeight="1" x14ac:dyDescent="0.25">
      <c r="H756" s="34"/>
    </row>
    <row r="757" spans="8:8" ht="14.25" customHeight="1" x14ac:dyDescent="0.25">
      <c r="H757" s="34"/>
    </row>
    <row r="758" spans="8:8" ht="14.25" customHeight="1" x14ac:dyDescent="0.25">
      <c r="H758" s="34"/>
    </row>
    <row r="759" spans="8:8" ht="14.25" customHeight="1" x14ac:dyDescent="0.25">
      <c r="H759" s="34"/>
    </row>
    <row r="760" spans="8:8" ht="14.25" customHeight="1" x14ac:dyDescent="0.25">
      <c r="H760" s="34"/>
    </row>
    <row r="761" spans="8:8" ht="14.25" customHeight="1" x14ac:dyDescent="0.25">
      <c r="H761" s="34"/>
    </row>
    <row r="762" spans="8:8" ht="14.25" customHeight="1" x14ac:dyDescent="0.25">
      <c r="H762" s="34"/>
    </row>
    <row r="763" spans="8:8" ht="14.25" customHeight="1" x14ac:dyDescent="0.25">
      <c r="H763" s="34"/>
    </row>
    <row r="764" spans="8:8" ht="14.25" customHeight="1" x14ac:dyDescent="0.25">
      <c r="H764" s="34"/>
    </row>
    <row r="765" spans="8:8" ht="14.25" customHeight="1" x14ac:dyDescent="0.25">
      <c r="H765" s="34"/>
    </row>
    <row r="766" spans="8:8" ht="14.25" customHeight="1" x14ac:dyDescent="0.25">
      <c r="H766" s="34"/>
    </row>
    <row r="767" spans="8:8" ht="14.25" customHeight="1" x14ac:dyDescent="0.25">
      <c r="H767" s="34"/>
    </row>
    <row r="768" spans="8:8" ht="14.25" customHeight="1" x14ac:dyDescent="0.25">
      <c r="H768" s="34"/>
    </row>
    <row r="769" spans="8:8" ht="14.25" customHeight="1" x14ac:dyDescent="0.25">
      <c r="H769" s="34"/>
    </row>
    <row r="770" spans="8:8" ht="14.25" customHeight="1" x14ac:dyDescent="0.25">
      <c r="H770" s="34"/>
    </row>
    <row r="771" spans="8:8" ht="14.25" customHeight="1" x14ac:dyDescent="0.25">
      <c r="H771" s="34"/>
    </row>
    <row r="772" spans="8:8" ht="14.25" customHeight="1" x14ac:dyDescent="0.25">
      <c r="H772" s="34"/>
    </row>
    <row r="773" spans="8:8" ht="14.25" customHeight="1" x14ac:dyDescent="0.25">
      <c r="H773" s="34"/>
    </row>
    <row r="774" spans="8:8" ht="14.25" customHeight="1" x14ac:dyDescent="0.25">
      <c r="H774" s="34"/>
    </row>
    <row r="775" spans="8:8" ht="14.25" customHeight="1" x14ac:dyDescent="0.25">
      <c r="H775" s="34"/>
    </row>
    <row r="776" spans="8:8" ht="14.25" customHeight="1" x14ac:dyDescent="0.25">
      <c r="H776" s="34"/>
    </row>
    <row r="777" spans="8:8" ht="14.25" customHeight="1" x14ac:dyDescent="0.25">
      <c r="H777" s="34"/>
    </row>
    <row r="778" spans="8:8" ht="14.25" customHeight="1" x14ac:dyDescent="0.25">
      <c r="H778" s="34"/>
    </row>
    <row r="779" spans="8:8" ht="14.25" customHeight="1" x14ac:dyDescent="0.25">
      <c r="H779" s="34"/>
    </row>
    <row r="780" spans="8:8" ht="14.25" customHeight="1" x14ac:dyDescent="0.25">
      <c r="H780" s="34"/>
    </row>
    <row r="781" spans="8:8" ht="14.25" customHeight="1" x14ac:dyDescent="0.25">
      <c r="H781" s="34"/>
    </row>
    <row r="782" spans="8:8" ht="14.25" customHeight="1" x14ac:dyDescent="0.25">
      <c r="H782" s="34"/>
    </row>
    <row r="783" spans="8:8" ht="14.25" customHeight="1" x14ac:dyDescent="0.25">
      <c r="H783" s="34"/>
    </row>
    <row r="784" spans="8:8" ht="14.25" customHeight="1" x14ac:dyDescent="0.25">
      <c r="H784" s="34"/>
    </row>
    <row r="785" spans="8:8" ht="14.25" customHeight="1" x14ac:dyDescent="0.25">
      <c r="H785" s="34"/>
    </row>
    <row r="786" spans="8:8" ht="14.25" customHeight="1" x14ac:dyDescent="0.25">
      <c r="H786" s="34"/>
    </row>
    <row r="787" spans="8:8" ht="14.25" customHeight="1" x14ac:dyDescent="0.25">
      <c r="H787" s="34"/>
    </row>
    <row r="788" spans="8:8" ht="14.25" customHeight="1" x14ac:dyDescent="0.25">
      <c r="H788" s="34"/>
    </row>
    <row r="789" spans="8:8" ht="14.25" customHeight="1" x14ac:dyDescent="0.25">
      <c r="H789" s="34"/>
    </row>
    <row r="790" spans="8:8" ht="14.25" customHeight="1" x14ac:dyDescent="0.25">
      <c r="H790" s="34"/>
    </row>
    <row r="791" spans="8:8" ht="14.25" customHeight="1" x14ac:dyDescent="0.25">
      <c r="H791" s="34"/>
    </row>
    <row r="792" spans="8:8" ht="14.25" customHeight="1" x14ac:dyDescent="0.25">
      <c r="H792" s="34"/>
    </row>
    <row r="793" spans="8:8" ht="14.25" customHeight="1" x14ac:dyDescent="0.25">
      <c r="H793" s="34"/>
    </row>
    <row r="794" spans="8:8" ht="14.25" customHeight="1" x14ac:dyDescent="0.25">
      <c r="H794" s="34"/>
    </row>
    <row r="795" spans="8:8" ht="14.25" customHeight="1" x14ac:dyDescent="0.25">
      <c r="H795" s="34"/>
    </row>
    <row r="796" spans="8:8" ht="14.25" customHeight="1" x14ac:dyDescent="0.25">
      <c r="H796" s="34"/>
    </row>
    <row r="797" spans="8:8" ht="14.25" customHeight="1" x14ac:dyDescent="0.25">
      <c r="H797" s="34"/>
    </row>
    <row r="798" spans="8:8" ht="14.25" customHeight="1" x14ac:dyDescent="0.25">
      <c r="H798" s="34"/>
    </row>
    <row r="799" spans="8:8" ht="14.25" customHeight="1" x14ac:dyDescent="0.25">
      <c r="H799" s="34"/>
    </row>
    <row r="800" spans="8:8" ht="14.25" customHeight="1" x14ac:dyDescent="0.25">
      <c r="H800" s="34"/>
    </row>
    <row r="801" spans="8:8" ht="14.25" customHeight="1" x14ac:dyDescent="0.25">
      <c r="H801" s="34"/>
    </row>
    <row r="802" spans="8:8" ht="14.25" customHeight="1" x14ac:dyDescent="0.25">
      <c r="H802" s="34"/>
    </row>
    <row r="803" spans="8:8" ht="14.25" customHeight="1" x14ac:dyDescent="0.25">
      <c r="H803" s="34"/>
    </row>
    <row r="804" spans="8:8" ht="14.25" customHeight="1" x14ac:dyDescent="0.25">
      <c r="H804" s="34"/>
    </row>
    <row r="805" spans="8:8" ht="14.25" customHeight="1" x14ac:dyDescent="0.25">
      <c r="H805" s="34"/>
    </row>
    <row r="806" spans="8:8" ht="14.25" customHeight="1" x14ac:dyDescent="0.25">
      <c r="H806" s="34"/>
    </row>
    <row r="807" spans="8:8" ht="14.25" customHeight="1" x14ac:dyDescent="0.25">
      <c r="H807" s="34"/>
    </row>
    <row r="808" spans="8:8" ht="14.25" customHeight="1" x14ac:dyDescent="0.25">
      <c r="H808" s="34"/>
    </row>
    <row r="809" spans="8:8" ht="14.25" customHeight="1" x14ac:dyDescent="0.25">
      <c r="H809" s="34"/>
    </row>
    <row r="810" spans="8:8" ht="14.25" customHeight="1" x14ac:dyDescent="0.25">
      <c r="H810" s="34"/>
    </row>
    <row r="811" spans="8:8" ht="14.25" customHeight="1" x14ac:dyDescent="0.25">
      <c r="H811" s="34"/>
    </row>
    <row r="812" spans="8:8" ht="14.25" customHeight="1" x14ac:dyDescent="0.25">
      <c r="H812" s="34"/>
    </row>
    <row r="813" spans="8:8" ht="14.25" customHeight="1" x14ac:dyDescent="0.25">
      <c r="H813" s="34"/>
    </row>
    <row r="814" spans="8:8" ht="14.25" customHeight="1" x14ac:dyDescent="0.25">
      <c r="H814" s="34"/>
    </row>
    <row r="815" spans="8:8" ht="14.25" customHeight="1" x14ac:dyDescent="0.25">
      <c r="H815" s="34"/>
    </row>
    <row r="816" spans="8:8" ht="14.25" customHeight="1" x14ac:dyDescent="0.25">
      <c r="H816" s="34"/>
    </row>
    <row r="817" spans="8:8" ht="14.25" customHeight="1" x14ac:dyDescent="0.25">
      <c r="H817" s="34"/>
    </row>
    <row r="818" spans="8:8" ht="14.25" customHeight="1" x14ac:dyDescent="0.25">
      <c r="H818" s="34"/>
    </row>
    <row r="819" spans="8:8" ht="14.25" customHeight="1" x14ac:dyDescent="0.25">
      <c r="H819" s="34"/>
    </row>
    <row r="820" spans="8:8" ht="14.25" customHeight="1" x14ac:dyDescent="0.25">
      <c r="H820" s="34"/>
    </row>
    <row r="821" spans="8:8" ht="14.25" customHeight="1" x14ac:dyDescent="0.25">
      <c r="H821" s="34"/>
    </row>
    <row r="822" spans="8:8" ht="14.25" customHeight="1" x14ac:dyDescent="0.25">
      <c r="H822" s="34"/>
    </row>
    <row r="823" spans="8:8" ht="14.25" customHeight="1" x14ac:dyDescent="0.25">
      <c r="H823" s="34"/>
    </row>
    <row r="824" spans="8:8" ht="14.25" customHeight="1" x14ac:dyDescent="0.25">
      <c r="H824" s="34"/>
    </row>
    <row r="825" spans="8:8" ht="14.25" customHeight="1" x14ac:dyDescent="0.25">
      <c r="H825" s="34"/>
    </row>
    <row r="826" spans="8:8" ht="14.25" customHeight="1" x14ac:dyDescent="0.25">
      <c r="H826" s="34"/>
    </row>
    <row r="827" spans="8:8" ht="14.25" customHeight="1" x14ac:dyDescent="0.25">
      <c r="H827" s="34"/>
    </row>
    <row r="828" spans="8:8" ht="14.25" customHeight="1" x14ac:dyDescent="0.25">
      <c r="H828" s="34"/>
    </row>
    <row r="829" spans="8:8" ht="14.25" customHeight="1" x14ac:dyDescent="0.25">
      <c r="H829" s="34"/>
    </row>
    <row r="830" spans="8:8" ht="14.25" customHeight="1" x14ac:dyDescent="0.25">
      <c r="H830" s="34"/>
    </row>
    <row r="831" spans="8:8" ht="14.25" customHeight="1" x14ac:dyDescent="0.25">
      <c r="H831" s="34"/>
    </row>
    <row r="832" spans="8:8" ht="14.25" customHeight="1" x14ac:dyDescent="0.25">
      <c r="H832" s="34"/>
    </row>
    <row r="833" spans="8:8" ht="14.25" customHeight="1" x14ac:dyDescent="0.25">
      <c r="H833" s="34"/>
    </row>
    <row r="834" spans="8:8" ht="14.25" customHeight="1" x14ac:dyDescent="0.25">
      <c r="H834" s="34"/>
    </row>
    <row r="835" spans="8:8" ht="14.25" customHeight="1" x14ac:dyDescent="0.25">
      <c r="H835" s="34"/>
    </row>
    <row r="836" spans="8:8" ht="14.25" customHeight="1" x14ac:dyDescent="0.25">
      <c r="H836" s="34"/>
    </row>
    <row r="837" spans="8:8" ht="14.25" customHeight="1" x14ac:dyDescent="0.25">
      <c r="H837" s="34"/>
    </row>
    <row r="838" spans="8:8" ht="14.25" customHeight="1" x14ac:dyDescent="0.25">
      <c r="H838" s="34"/>
    </row>
    <row r="839" spans="8:8" ht="14.25" customHeight="1" x14ac:dyDescent="0.25">
      <c r="H839" s="34"/>
    </row>
    <row r="840" spans="8:8" ht="14.25" customHeight="1" x14ac:dyDescent="0.25">
      <c r="H840" s="34"/>
    </row>
    <row r="841" spans="8:8" ht="14.25" customHeight="1" x14ac:dyDescent="0.25">
      <c r="H841" s="34"/>
    </row>
    <row r="842" spans="8:8" ht="14.25" customHeight="1" x14ac:dyDescent="0.25">
      <c r="H842" s="34"/>
    </row>
    <row r="843" spans="8:8" ht="14.25" customHeight="1" x14ac:dyDescent="0.25">
      <c r="H843" s="34"/>
    </row>
    <row r="844" spans="8:8" ht="14.25" customHeight="1" x14ac:dyDescent="0.25">
      <c r="H844" s="34"/>
    </row>
    <row r="845" spans="8:8" ht="14.25" customHeight="1" x14ac:dyDescent="0.25">
      <c r="H845" s="34"/>
    </row>
    <row r="846" spans="8:8" ht="14.25" customHeight="1" x14ac:dyDescent="0.25">
      <c r="H846" s="34"/>
    </row>
    <row r="847" spans="8:8" ht="14.25" customHeight="1" x14ac:dyDescent="0.25">
      <c r="H847" s="34"/>
    </row>
    <row r="848" spans="8:8" ht="14.25" customHeight="1" x14ac:dyDescent="0.25">
      <c r="H848" s="34"/>
    </row>
    <row r="849" spans="8:8" ht="14.25" customHeight="1" x14ac:dyDescent="0.25">
      <c r="H849" s="34"/>
    </row>
    <row r="850" spans="8:8" ht="14.25" customHeight="1" x14ac:dyDescent="0.25">
      <c r="H850" s="34"/>
    </row>
    <row r="851" spans="8:8" ht="14.25" customHeight="1" x14ac:dyDescent="0.25">
      <c r="H851" s="34"/>
    </row>
    <row r="852" spans="8:8" ht="14.25" customHeight="1" x14ac:dyDescent="0.25">
      <c r="H852" s="34"/>
    </row>
    <row r="853" spans="8:8" ht="14.25" customHeight="1" x14ac:dyDescent="0.25">
      <c r="H853" s="34"/>
    </row>
    <row r="854" spans="8:8" ht="14.25" customHeight="1" x14ac:dyDescent="0.25">
      <c r="H854" s="34"/>
    </row>
    <row r="855" spans="8:8" ht="14.25" customHeight="1" x14ac:dyDescent="0.25">
      <c r="H855" s="34"/>
    </row>
    <row r="856" spans="8:8" ht="14.25" customHeight="1" x14ac:dyDescent="0.25">
      <c r="H856" s="34"/>
    </row>
    <row r="857" spans="8:8" ht="14.25" customHeight="1" x14ac:dyDescent="0.25">
      <c r="H857" s="34"/>
    </row>
    <row r="858" spans="8:8" ht="14.25" customHeight="1" x14ac:dyDescent="0.25">
      <c r="H858" s="34"/>
    </row>
    <row r="859" spans="8:8" ht="14.25" customHeight="1" x14ac:dyDescent="0.25">
      <c r="H859" s="34"/>
    </row>
    <row r="860" spans="8:8" ht="14.25" customHeight="1" x14ac:dyDescent="0.25">
      <c r="H860" s="34"/>
    </row>
    <row r="861" spans="8:8" ht="14.25" customHeight="1" x14ac:dyDescent="0.25">
      <c r="H861" s="34"/>
    </row>
    <row r="862" spans="8:8" ht="14.25" customHeight="1" x14ac:dyDescent="0.25">
      <c r="H862" s="34"/>
    </row>
    <row r="863" spans="8:8" ht="14.25" customHeight="1" x14ac:dyDescent="0.25">
      <c r="H863" s="34"/>
    </row>
    <row r="864" spans="8:8" ht="14.25" customHeight="1" x14ac:dyDescent="0.25">
      <c r="H864" s="34"/>
    </row>
    <row r="865" spans="8:8" ht="14.25" customHeight="1" x14ac:dyDescent="0.25">
      <c r="H865" s="34"/>
    </row>
    <row r="866" spans="8:8" ht="14.25" customHeight="1" x14ac:dyDescent="0.25">
      <c r="H866" s="34"/>
    </row>
    <row r="867" spans="8:8" ht="14.25" customHeight="1" x14ac:dyDescent="0.25">
      <c r="H867" s="34"/>
    </row>
    <row r="868" spans="8:8" ht="14.25" customHeight="1" x14ac:dyDescent="0.25">
      <c r="H868" s="34"/>
    </row>
    <row r="869" spans="8:8" ht="14.25" customHeight="1" x14ac:dyDescent="0.25">
      <c r="H869" s="34"/>
    </row>
    <row r="870" spans="8:8" ht="14.25" customHeight="1" x14ac:dyDescent="0.25">
      <c r="H870" s="34"/>
    </row>
    <row r="871" spans="8:8" ht="14.25" customHeight="1" x14ac:dyDescent="0.25">
      <c r="H871" s="34"/>
    </row>
    <row r="872" spans="8:8" ht="14.25" customHeight="1" x14ac:dyDescent="0.25">
      <c r="H872" s="34"/>
    </row>
    <row r="873" spans="8:8" ht="14.25" customHeight="1" x14ac:dyDescent="0.25">
      <c r="H873" s="34"/>
    </row>
    <row r="874" spans="8:8" ht="14.25" customHeight="1" x14ac:dyDescent="0.25">
      <c r="H874" s="34"/>
    </row>
    <row r="875" spans="8:8" ht="14.25" customHeight="1" x14ac:dyDescent="0.25">
      <c r="H875" s="34"/>
    </row>
    <row r="876" spans="8:8" ht="14.25" customHeight="1" x14ac:dyDescent="0.25">
      <c r="H876" s="34"/>
    </row>
    <row r="877" spans="8:8" ht="14.25" customHeight="1" x14ac:dyDescent="0.25">
      <c r="H877" s="34"/>
    </row>
    <row r="878" spans="8:8" ht="14.25" customHeight="1" x14ac:dyDescent="0.25">
      <c r="H878" s="34"/>
    </row>
    <row r="879" spans="8:8" ht="14.25" customHeight="1" x14ac:dyDescent="0.25">
      <c r="H879" s="34"/>
    </row>
    <row r="880" spans="8:8" ht="14.25" customHeight="1" x14ac:dyDescent="0.25">
      <c r="H880" s="34"/>
    </row>
    <row r="881" spans="8:8" ht="14.25" customHeight="1" x14ac:dyDescent="0.25">
      <c r="H881" s="34"/>
    </row>
    <row r="882" spans="8:8" ht="14.25" customHeight="1" x14ac:dyDescent="0.25">
      <c r="H882" s="34"/>
    </row>
    <row r="883" spans="8:8" ht="14.25" customHeight="1" x14ac:dyDescent="0.25">
      <c r="H883" s="34"/>
    </row>
    <row r="884" spans="8:8" ht="14.25" customHeight="1" x14ac:dyDescent="0.25">
      <c r="H884" s="34"/>
    </row>
    <row r="885" spans="8:8" ht="14.25" customHeight="1" x14ac:dyDescent="0.25">
      <c r="H885" s="34"/>
    </row>
    <row r="886" spans="8:8" ht="14.25" customHeight="1" x14ac:dyDescent="0.25">
      <c r="H886" s="34"/>
    </row>
    <row r="887" spans="8:8" ht="14.25" customHeight="1" x14ac:dyDescent="0.25">
      <c r="H887" s="34"/>
    </row>
    <row r="888" spans="8:8" ht="14.25" customHeight="1" x14ac:dyDescent="0.25">
      <c r="H888" s="34"/>
    </row>
    <row r="889" spans="8:8" ht="14.25" customHeight="1" x14ac:dyDescent="0.25">
      <c r="H889" s="34"/>
    </row>
    <row r="890" spans="8:8" ht="14.25" customHeight="1" x14ac:dyDescent="0.25">
      <c r="H890" s="34"/>
    </row>
    <row r="891" spans="8:8" ht="14.25" customHeight="1" x14ac:dyDescent="0.25">
      <c r="H891" s="34"/>
    </row>
    <row r="892" spans="8:8" ht="14.25" customHeight="1" x14ac:dyDescent="0.25">
      <c r="H892" s="34"/>
    </row>
    <row r="893" spans="8:8" ht="14.25" customHeight="1" x14ac:dyDescent="0.25">
      <c r="H893" s="34"/>
    </row>
    <row r="894" spans="8:8" ht="14.25" customHeight="1" x14ac:dyDescent="0.25">
      <c r="H894" s="34"/>
    </row>
    <row r="895" spans="8:8" ht="14.25" customHeight="1" x14ac:dyDescent="0.25">
      <c r="H895" s="34"/>
    </row>
    <row r="896" spans="8:8" ht="14.25" customHeight="1" x14ac:dyDescent="0.25">
      <c r="H896" s="34"/>
    </row>
    <row r="897" spans="8:8" ht="14.25" customHeight="1" x14ac:dyDescent="0.25">
      <c r="H897" s="34"/>
    </row>
    <row r="898" spans="8:8" ht="14.25" customHeight="1" x14ac:dyDescent="0.25">
      <c r="H898" s="34"/>
    </row>
    <row r="899" spans="8:8" ht="14.25" customHeight="1" x14ac:dyDescent="0.25">
      <c r="H899" s="34"/>
    </row>
    <row r="900" spans="8:8" ht="14.25" customHeight="1" x14ac:dyDescent="0.25">
      <c r="H900" s="34"/>
    </row>
    <row r="901" spans="8:8" ht="14.25" customHeight="1" x14ac:dyDescent="0.25">
      <c r="H901" s="34"/>
    </row>
    <row r="902" spans="8:8" ht="14.25" customHeight="1" x14ac:dyDescent="0.25">
      <c r="H902" s="34"/>
    </row>
    <row r="903" spans="8:8" ht="14.25" customHeight="1" x14ac:dyDescent="0.25">
      <c r="H903" s="34"/>
    </row>
    <row r="904" spans="8:8" ht="14.25" customHeight="1" x14ac:dyDescent="0.25">
      <c r="H904" s="34"/>
    </row>
    <row r="905" spans="8:8" ht="14.25" customHeight="1" x14ac:dyDescent="0.25">
      <c r="H905" s="34"/>
    </row>
    <row r="906" spans="8:8" ht="14.25" customHeight="1" x14ac:dyDescent="0.25">
      <c r="H906" s="34"/>
    </row>
    <row r="907" spans="8:8" ht="14.25" customHeight="1" x14ac:dyDescent="0.25">
      <c r="H907" s="34"/>
    </row>
    <row r="908" spans="8:8" ht="14.25" customHeight="1" x14ac:dyDescent="0.25">
      <c r="H908" s="34"/>
    </row>
    <row r="909" spans="8:8" ht="14.25" customHeight="1" x14ac:dyDescent="0.25">
      <c r="H909" s="34"/>
    </row>
    <row r="910" spans="8:8" ht="14.25" customHeight="1" x14ac:dyDescent="0.25">
      <c r="H910" s="34"/>
    </row>
    <row r="911" spans="8:8" ht="14.25" customHeight="1" x14ac:dyDescent="0.25">
      <c r="H911" s="34"/>
    </row>
    <row r="912" spans="8:8" ht="14.25" customHeight="1" x14ac:dyDescent="0.25">
      <c r="H912" s="34"/>
    </row>
    <row r="913" spans="8:8" ht="14.25" customHeight="1" x14ac:dyDescent="0.25">
      <c r="H913" s="34"/>
    </row>
    <row r="914" spans="8:8" ht="14.25" customHeight="1" x14ac:dyDescent="0.25">
      <c r="H914" s="34"/>
    </row>
    <row r="915" spans="8:8" ht="14.25" customHeight="1" x14ac:dyDescent="0.25">
      <c r="H915" s="34"/>
    </row>
    <row r="916" spans="8:8" ht="14.25" customHeight="1" x14ac:dyDescent="0.25">
      <c r="H916" s="34"/>
    </row>
    <row r="917" spans="8:8" ht="14.25" customHeight="1" x14ac:dyDescent="0.25">
      <c r="H917" s="34"/>
    </row>
    <row r="918" spans="8:8" ht="14.25" customHeight="1" x14ac:dyDescent="0.25">
      <c r="H918" s="34"/>
    </row>
    <row r="919" spans="8:8" ht="14.25" customHeight="1" x14ac:dyDescent="0.25">
      <c r="H919" s="34"/>
    </row>
    <row r="920" spans="8:8" ht="14.25" customHeight="1" x14ac:dyDescent="0.25">
      <c r="H920" s="34"/>
    </row>
    <row r="921" spans="8:8" ht="14.25" customHeight="1" x14ac:dyDescent="0.25">
      <c r="H921" s="34"/>
    </row>
    <row r="922" spans="8:8" ht="14.25" customHeight="1" x14ac:dyDescent="0.25">
      <c r="H922" s="34"/>
    </row>
    <row r="923" spans="8:8" ht="14.25" customHeight="1" x14ac:dyDescent="0.25">
      <c r="H923" s="34"/>
    </row>
    <row r="924" spans="8:8" ht="14.25" customHeight="1" x14ac:dyDescent="0.25">
      <c r="H924" s="34"/>
    </row>
    <row r="925" spans="8:8" ht="14.25" customHeight="1" x14ac:dyDescent="0.25">
      <c r="H925" s="34"/>
    </row>
    <row r="926" spans="8:8" ht="14.25" customHeight="1" x14ac:dyDescent="0.25">
      <c r="H926" s="34"/>
    </row>
    <row r="927" spans="8:8" ht="14.25" customHeight="1" x14ac:dyDescent="0.25">
      <c r="H927" s="34"/>
    </row>
    <row r="928" spans="8:8" ht="14.25" customHeight="1" x14ac:dyDescent="0.25">
      <c r="H928" s="34"/>
    </row>
    <row r="929" spans="8:8" ht="14.25" customHeight="1" x14ac:dyDescent="0.25">
      <c r="H929" s="34"/>
    </row>
    <row r="930" spans="8:8" ht="14.25" customHeight="1" x14ac:dyDescent="0.25">
      <c r="H930" s="34"/>
    </row>
    <row r="931" spans="8:8" ht="14.25" customHeight="1" x14ac:dyDescent="0.25">
      <c r="H931" s="34"/>
    </row>
    <row r="932" spans="8:8" ht="14.25" customHeight="1" x14ac:dyDescent="0.25">
      <c r="H932" s="34"/>
    </row>
    <row r="933" spans="8:8" ht="14.25" customHeight="1" x14ac:dyDescent="0.25">
      <c r="H933" s="34"/>
    </row>
    <row r="934" spans="8:8" ht="14.25" customHeight="1" x14ac:dyDescent="0.25">
      <c r="H934" s="34"/>
    </row>
    <row r="935" spans="8:8" ht="14.25" customHeight="1" x14ac:dyDescent="0.25">
      <c r="H935" s="34"/>
    </row>
    <row r="936" spans="8:8" ht="14.25" customHeight="1" x14ac:dyDescent="0.25">
      <c r="H936" s="34"/>
    </row>
    <row r="937" spans="8:8" ht="14.25" customHeight="1" x14ac:dyDescent="0.25">
      <c r="H937" s="34"/>
    </row>
    <row r="938" spans="8:8" ht="14.25" customHeight="1" x14ac:dyDescent="0.25">
      <c r="H938" s="34"/>
    </row>
    <row r="939" spans="8:8" ht="14.25" customHeight="1" x14ac:dyDescent="0.25">
      <c r="H939" s="34"/>
    </row>
    <row r="940" spans="8:8" ht="14.25" customHeight="1" x14ac:dyDescent="0.25">
      <c r="H940" s="34"/>
    </row>
    <row r="941" spans="8:8" ht="14.25" customHeight="1" x14ac:dyDescent="0.25">
      <c r="H941" s="34"/>
    </row>
    <row r="942" spans="8:8" ht="14.25" customHeight="1" x14ac:dyDescent="0.25">
      <c r="H942" s="34"/>
    </row>
    <row r="943" spans="8:8" ht="14.25" customHeight="1" x14ac:dyDescent="0.25">
      <c r="H943" s="34"/>
    </row>
    <row r="944" spans="8:8" ht="14.25" customHeight="1" x14ac:dyDescent="0.25">
      <c r="H944" s="34"/>
    </row>
    <row r="945" spans="8:8" ht="14.25" customHeight="1" x14ac:dyDescent="0.25">
      <c r="H945" s="34"/>
    </row>
    <row r="946" spans="8:8" ht="14.25" customHeight="1" x14ac:dyDescent="0.25">
      <c r="H946" s="34"/>
    </row>
    <row r="947" spans="8:8" ht="14.25" customHeight="1" x14ac:dyDescent="0.25">
      <c r="H947" s="34"/>
    </row>
    <row r="948" spans="8:8" ht="14.25" customHeight="1" x14ac:dyDescent="0.25">
      <c r="H948" s="34"/>
    </row>
    <row r="949" spans="8:8" ht="14.25" customHeight="1" x14ac:dyDescent="0.25">
      <c r="H949" s="34"/>
    </row>
    <row r="950" spans="8:8" ht="14.25" customHeight="1" x14ac:dyDescent="0.25">
      <c r="H950" s="34"/>
    </row>
    <row r="951" spans="8:8" ht="14.25" customHeight="1" x14ac:dyDescent="0.25">
      <c r="H951" s="34"/>
    </row>
    <row r="952" spans="8:8" ht="14.25" customHeight="1" x14ac:dyDescent="0.25">
      <c r="H952" s="34"/>
    </row>
    <row r="953" spans="8:8" ht="14.25" customHeight="1" x14ac:dyDescent="0.25">
      <c r="H953" s="34"/>
    </row>
    <row r="954" spans="8:8" ht="14.25" customHeight="1" x14ac:dyDescent="0.25">
      <c r="H954" s="34"/>
    </row>
    <row r="955" spans="8:8" ht="14.25" customHeight="1" x14ac:dyDescent="0.25">
      <c r="H955" s="34"/>
    </row>
    <row r="956" spans="8:8" ht="14.25" customHeight="1" x14ac:dyDescent="0.25">
      <c r="H956" s="34"/>
    </row>
    <row r="957" spans="8:8" ht="14.25" customHeight="1" x14ac:dyDescent="0.25">
      <c r="H957" s="34"/>
    </row>
    <row r="958" spans="8:8" ht="14.25" customHeight="1" x14ac:dyDescent="0.25">
      <c r="H958" s="34"/>
    </row>
    <row r="959" spans="8:8" ht="14.25" customHeight="1" x14ac:dyDescent="0.25">
      <c r="H959" s="34"/>
    </row>
    <row r="960" spans="8:8" ht="14.25" customHeight="1" x14ac:dyDescent="0.25">
      <c r="H960" s="34"/>
    </row>
    <row r="961" spans="8:8" ht="14.25" customHeight="1" x14ac:dyDescent="0.25">
      <c r="H961" s="34"/>
    </row>
    <row r="962" spans="8:8" ht="14.25" customHeight="1" x14ac:dyDescent="0.25">
      <c r="H962" s="34"/>
    </row>
    <row r="963" spans="8:8" ht="14.25" customHeight="1" x14ac:dyDescent="0.25">
      <c r="H963" s="34"/>
    </row>
    <row r="964" spans="8:8" ht="14.25" customHeight="1" x14ac:dyDescent="0.25">
      <c r="H964" s="34"/>
    </row>
    <row r="965" spans="8:8" ht="14.25" customHeight="1" x14ac:dyDescent="0.25">
      <c r="H965" s="34"/>
    </row>
    <row r="966" spans="8:8" ht="14.25" customHeight="1" x14ac:dyDescent="0.25">
      <c r="H966" s="34"/>
    </row>
    <row r="967" spans="8:8" ht="14.25" customHeight="1" x14ac:dyDescent="0.25">
      <c r="H967" s="34"/>
    </row>
    <row r="968" spans="8:8" ht="14.25" customHeight="1" x14ac:dyDescent="0.25">
      <c r="H968" s="34"/>
    </row>
    <row r="969" spans="8:8" ht="14.25" customHeight="1" x14ac:dyDescent="0.25">
      <c r="H969" s="34"/>
    </row>
    <row r="970" spans="8:8" ht="14.25" customHeight="1" x14ac:dyDescent="0.25">
      <c r="H970" s="34"/>
    </row>
    <row r="971" spans="8:8" ht="14.25" customHeight="1" x14ac:dyDescent="0.25">
      <c r="H971" s="34"/>
    </row>
    <row r="972" spans="8:8" ht="14.25" customHeight="1" x14ac:dyDescent="0.25">
      <c r="H972" s="34"/>
    </row>
    <row r="973" spans="8:8" ht="14.25" customHeight="1" x14ac:dyDescent="0.25">
      <c r="H973" s="34"/>
    </row>
    <row r="974" spans="8:8" ht="14.25" customHeight="1" x14ac:dyDescent="0.25">
      <c r="H974" s="34"/>
    </row>
    <row r="975" spans="8:8" ht="14.25" customHeight="1" x14ac:dyDescent="0.25">
      <c r="H975" s="34"/>
    </row>
    <row r="976" spans="8:8" ht="14.25" customHeight="1" x14ac:dyDescent="0.25">
      <c r="H976" s="34"/>
    </row>
    <row r="977" spans="8:8" ht="14.25" customHeight="1" x14ac:dyDescent="0.25">
      <c r="H977" s="34"/>
    </row>
    <row r="978" spans="8:8" ht="14.25" customHeight="1" x14ac:dyDescent="0.25">
      <c r="H978" s="34"/>
    </row>
    <row r="979" spans="8:8" ht="14.25" customHeight="1" x14ac:dyDescent="0.25">
      <c r="H979" s="34"/>
    </row>
    <row r="980" spans="8:8" ht="14.25" customHeight="1" x14ac:dyDescent="0.25">
      <c r="H980" s="34"/>
    </row>
    <row r="981" spans="8:8" ht="14.25" customHeight="1" x14ac:dyDescent="0.25">
      <c r="H981" s="34"/>
    </row>
    <row r="982" spans="8:8" ht="14.25" customHeight="1" x14ac:dyDescent="0.25">
      <c r="H982" s="34"/>
    </row>
    <row r="983" spans="8:8" ht="14.25" customHeight="1" x14ac:dyDescent="0.25">
      <c r="H983" s="34"/>
    </row>
    <row r="984" spans="8:8" ht="14.25" customHeight="1" x14ac:dyDescent="0.25">
      <c r="H984" s="34"/>
    </row>
    <row r="985" spans="8:8" ht="14.25" customHeight="1" x14ac:dyDescent="0.25">
      <c r="H985" s="34"/>
    </row>
    <row r="986" spans="8:8" ht="14.25" customHeight="1" x14ac:dyDescent="0.25">
      <c r="H986" s="34"/>
    </row>
    <row r="987" spans="8:8" ht="14.25" customHeight="1" x14ac:dyDescent="0.25">
      <c r="H987" s="34"/>
    </row>
    <row r="988" spans="8:8" ht="14.25" customHeight="1" x14ac:dyDescent="0.25">
      <c r="H988" s="34"/>
    </row>
    <row r="989" spans="8:8" ht="14.25" customHeight="1" x14ac:dyDescent="0.25">
      <c r="H989" s="34"/>
    </row>
    <row r="990" spans="8:8" ht="14.25" customHeight="1" x14ac:dyDescent="0.25">
      <c r="H990" s="34"/>
    </row>
    <row r="991" spans="8:8" ht="14.25" customHeight="1" x14ac:dyDescent="0.25">
      <c r="H991" s="34"/>
    </row>
    <row r="992" spans="8:8" ht="14.25" customHeight="1" x14ac:dyDescent="0.25">
      <c r="H992" s="34"/>
    </row>
    <row r="993" spans="8:8" ht="14.25" customHeight="1" x14ac:dyDescent="0.25">
      <c r="H993" s="34"/>
    </row>
    <row r="994" spans="8:8" ht="14.25" customHeight="1" x14ac:dyDescent="0.25">
      <c r="H994" s="34"/>
    </row>
    <row r="995" spans="8:8" ht="14.25" customHeight="1" x14ac:dyDescent="0.25">
      <c r="H995" s="34"/>
    </row>
    <row r="996" spans="8:8" ht="14.25" customHeight="1" x14ac:dyDescent="0.25">
      <c r="H996" s="34"/>
    </row>
    <row r="997" spans="8:8" ht="14.25" customHeight="1" x14ac:dyDescent="0.25">
      <c r="H997" s="34"/>
    </row>
    <row r="998" spans="8:8" ht="14.25" customHeight="1" x14ac:dyDescent="0.25">
      <c r="H998" s="34"/>
    </row>
    <row r="999" spans="8:8" ht="14.25" customHeight="1" x14ac:dyDescent="0.25">
      <c r="H999" s="34"/>
    </row>
    <row r="1000" spans="8:8" ht="14.25" customHeight="1" x14ac:dyDescent="0.25">
      <c r="H1000" s="34"/>
    </row>
  </sheetData>
  <autoFilter ref="B3:H97" xr:uid="{00000000-0009-0000-0000-000004000000}">
    <sortState xmlns:xlrd2="http://schemas.microsoft.com/office/spreadsheetml/2017/richdata2" ref="B3:H97">
      <sortCondition ref="C3:C97"/>
    </sortState>
  </autoFilter>
  <mergeCells count="1">
    <mergeCell ref="C2:H2"/>
  </mergeCells>
  <conditionalFormatting sqref="B26:B27">
    <cfRule type="expression" dxfId="24" priority="1">
      <formula>AND(B26&gt;TODAY(), B26-TODAY()&gt;=WEEKDAY(B26), B26-TODAY()&lt;WEEKDAY(B26)+7)</formula>
    </cfRule>
    <cfRule type="expression" dxfId="23" priority="2">
      <formula>OR(AND(B26&lt;=TODAY(), TODAY()-B26&lt;WEEKDAY(TODAY())), AND(TODAY()&lt;B26, B26-TODAY()&lt;WEEKDAY(B26)))</formula>
    </cfRule>
  </conditionalFormatting>
  <conditionalFormatting sqref="C51:C53 D76:D83">
    <cfRule type="expression" dxfId="22" priority="3" stopIfTrue="1">
      <formula>AND(COUNTIF(#REF!, C51)+COUNTIF($B:$B, C51)&gt;1,NOT(ISBLANK(C51)))</formula>
    </cfRule>
  </conditionalFormatting>
  <conditionalFormatting sqref="D42">
    <cfRule type="expression" dxfId="21" priority="4" stopIfTrue="1">
      <formula>AND(COUNTIF(#REF!, D42)+COUNTIF($B:$B, D42)&gt;1,NOT(ISBLANK(D42)))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2.42578125" customWidth="1"/>
    <col min="3" max="3" width="13.5703125" customWidth="1"/>
    <col min="4" max="4" width="18.140625" customWidth="1"/>
    <col min="5" max="5" width="38.85546875" customWidth="1"/>
    <col min="6" max="6" width="15" customWidth="1"/>
    <col min="7" max="7" width="19.42578125" customWidth="1"/>
    <col min="8" max="8" width="20" customWidth="1"/>
    <col min="9" max="9" width="18.42578125" customWidth="1"/>
    <col min="10" max="10" width="19.140625" customWidth="1"/>
    <col min="11" max="26" width="8.5703125" customWidth="1"/>
  </cols>
  <sheetData>
    <row r="1" spans="1:26" ht="14.25" customHeight="1" x14ac:dyDescent="0.25">
      <c r="H1" s="37"/>
      <c r="I1" s="37"/>
    </row>
    <row r="2" spans="1:26" ht="14.25" customHeight="1" x14ac:dyDescent="0.25">
      <c r="B2" s="362" t="s">
        <v>236</v>
      </c>
      <c r="C2" s="363"/>
      <c r="D2" s="363"/>
      <c r="E2" s="363"/>
      <c r="F2" s="363"/>
      <c r="G2" s="363"/>
      <c r="H2" s="363"/>
      <c r="I2" s="363"/>
      <c r="J2" s="365"/>
    </row>
    <row r="3" spans="1:26" ht="14.25" customHeight="1" x14ac:dyDescent="0.25">
      <c r="B3" s="28" t="s">
        <v>219</v>
      </c>
      <c r="C3" s="28" t="s">
        <v>220</v>
      </c>
      <c r="D3" s="28" t="s">
        <v>1</v>
      </c>
      <c r="E3" s="28" t="s">
        <v>2</v>
      </c>
      <c r="F3" s="28" t="s">
        <v>3</v>
      </c>
      <c r="G3" s="28" t="s">
        <v>4</v>
      </c>
      <c r="H3" s="29" t="s">
        <v>5</v>
      </c>
      <c r="I3" s="29" t="s">
        <v>6</v>
      </c>
      <c r="J3" s="38" t="s">
        <v>233</v>
      </c>
    </row>
    <row r="4" spans="1:26" ht="14.25" customHeight="1" x14ac:dyDescent="0.25">
      <c r="A4" s="19"/>
      <c r="B4" s="39">
        <v>46084</v>
      </c>
      <c r="C4" s="39">
        <v>46086</v>
      </c>
      <c r="D4" s="40" t="s">
        <v>246</v>
      </c>
      <c r="E4" s="40" t="s">
        <v>247</v>
      </c>
      <c r="F4" s="40" t="s">
        <v>32</v>
      </c>
      <c r="G4" s="40">
        <v>21</v>
      </c>
      <c r="H4" s="41">
        <f t="shared" ref="H4:H16" si="0">G4*16.5</f>
        <v>346.5</v>
      </c>
      <c r="I4" s="41">
        <v>114.54</v>
      </c>
      <c r="J4" s="40" t="s">
        <v>10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4.25" customHeight="1" x14ac:dyDescent="0.25">
      <c r="A5" s="19"/>
      <c r="B5" s="39">
        <v>46084</v>
      </c>
      <c r="C5" s="39">
        <v>46086</v>
      </c>
      <c r="D5" s="40" t="s">
        <v>248</v>
      </c>
      <c r="E5" s="40" t="s">
        <v>249</v>
      </c>
      <c r="F5" s="40" t="s">
        <v>32</v>
      </c>
      <c r="G5" s="40">
        <v>21</v>
      </c>
      <c r="H5" s="41">
        <f t="shared" si="0"/>
        <v>346.5</v>
      </c>
      <c r="I5" s="41">
        <v>114.54</v>
      </c>
      <c r="J5" s="40" t="s">
        <v>10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.25" customHeight="1" x14ac:dyDescent="0.25">
      <c r="A6" s="19"/>
      <c r="B6" s="42">
        <v>46090</v>
      </c>
      <c r="C6" s="42">
        <v>46091</v>
      </c>
      <c r="D6" s="6" t="s">
        <v>250</v>
      </c>
      <c r="E6" s="6" t="s">
        <v>251</v>
      </c>
      <c r="F6" s="6" t="s">
        <v>40</v>
      </c>
      <c r="G6" s="6">
        <v>17</v>
      </c>
      <c r="H6" s="8">
        <f t="shared" si="0"/>
        <v>280.5</v>
      </c>
      <c r="I6" s="8" t="s">
        <v>10</v>
      </c>
      <c r="J6" s="6" t="s">
        <v>10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4.25" customHeight="1" x14ac:dyDescent="0.25">
      <c r="A7" s="19"/>
      <c r="B7" s="42">
        <v>46090</v>
      </c>
      <c r="C7" s="42">
        <v>46091</v>
      </c>
      <c r="D7" s="6" t="s">
        <v>252</v>
      </c>
      <c r="E7" s="6" t="s">
        <v>253</v>
      </c>
      <c r="F7" s="6" t="s">
        <v>103</v>
      </c>
      <c r="G7" s="6">
        <v>17</v>
      </c>
      <c r="H7" s="8">
        <f t="shared" si="0"/>
        <v>280.5</v>
      </c>
      <c r="I7" s="8">
        <v>92.72</v>
      </c>
      <c r="J7" s="6" t="s">
        <v>10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4.25" customHeight="1" x14ac:dyDescent="0.25">
      <c r="A8" s="19"/>
      <c r="B8" s="42">
        <v>46093</v>
      </c>
      <c r="C8" s="42">
        <v>46093</v>
      </c>
      <c r="D8" s="6" t="s">
        <v>254</v>
      </c>
      <c r="E8" s="6" t="s">
        <v>255</v>
      </c>
      <c r="F8" s="6" t="s">
        <v>13</v>
      </c>
      <c r="G8" s="6">
        <v>14</v>
      </c>
      <c r="H8" s="8">
        <f t="shared" si="0"/>
        <v>231</v>
      </c>
      <c r="I8" s="8" t="s">
        <v>10</v>
      </c>
      <c r="J8" s="6" t="s">
        <v>10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4.25" customHeight="1" x14ac:dyDescent="0.25">
      <c r="A9" s="19"/>
      <c r="B9" s="42">
        <v>46093</v>
      </c>
      <c r="C9" s="42">
        <v>46093</v>
      </c>
      <c r="D9" s="6" t="s">
        <v>256</v>
      </c>
      <c r="E9" s="6" t="s">
        <v>257</v>
      </c>
      <c r="F9" s="6" t="s">
        <v>143</v>
      </c>
      <c r="G9" s="6">
        <v>13</v>
      </c>
      <c r="H9" s="8">
        <f t="shared" si="0"/>
        <v>214.5</v>
      </c>
      <c r="I9" s="8">
        <v>76.36</v>
      </c>
      <c r="J9" s="6" t="s">
        <v>10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4.25" customHeight="1" x14ac:dyDescent="0.25">
      <c r="A10" s="19"/>
      <c r="B10" s="42">
        <v>46069</v>
      </c>
      <c r="C10" s="42">
        <v>46098</v>
      </c>
      <c r="D10" s="6" t="s">
        <v>258</v>
      </c>
      <c r="E10" s="6" t="s">
        <v>259</v>
      </c>
      <c r="F10" s="6" t="s">
        <v>23</v>
      </c>
      <c r="G10" s="6">
        <v>8</v>
      </c>
      <c r="H10" s="8">
        <f t="shared" si="0"/>
        <v>132</v>
      </c>
      <c r="I10" s="8" t="s">
        <v>10</v>
      </c>
      <c r="J10" s="6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4.25" customHeight="1" x14ac:dyDescent="0.25">
      <c r="A11" s="19"/>
      <c r="B11" s="42">
        <v>46069</v>
      </c>
      <c r="C11" s="42">
        <v>46098</v>
      </c>
      <c r="D11" s="6" t="s">
        <v>260</v>
      </c>
      <c r="E11" s="6" t="s">
        <v>261</v>
      </c>
      <c r="F11" s="6" t="s">
        <v>23</v>
      </c>
      <c r="G11" s="6">
        <v>12</v>
      </c>
      <c r="H11" s="8">
        <f t="shared" si="0"/>
        <v>198</v>
      </c>
      <c r="I11" s="8">
        <v>65.45</v>
      </c>
      <c r="J11" s="6" t="s">
        <v>10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.25" customHeight="1" x14ac:dyDescent="0.25">
      <c r="A12" s="19"/>
      <c r="B12" s="42">
        <v>46069</v>
      </c>
      <c r="C12" s="42">
        <v>46098</v>
      </c>
      <c r="D12" s="6" t="s">
        <v>262</v>
      </c>
      <c r="E12" s="6" t="s">
        <v>263</v>
      </c>
      <c r="F12" s="6" t="s">
        <v>23</v>
      </c>
      <c r="G12" s="6">
        <v>12</v>
      </c>
      <c r="H12" s="8">
        <f t="shared" si="0"/>
        <v>198</v>
      </c>
      <c r="I12" s="8">
        <v>65.45</v>
      </c>
      <c r="J12" s="6" t="s">
        <v>10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.25" customHeight="1" x14ac:dyDescent="0.25">
      <c r="A13" s="19"/>
      <c r="B13" s="42">
        <v>46069</v>
      </c>
      <c r="C13" s="42">
        <v>46098</v>
      </c>
      <c r="D13" s="6" t="s">
        <v>264</v>
      </c>
      <c r="E13" s="6" t="s">
        <v>265</v>
      </c>
      <c r="F13" s="6" t="s">
        <v>23</v>
      </c>
      <c r="G13" s="6">
        <v>12</v>
      </c>
      <c r="H13" s="8">
        <f t="shared" si="0"/>
        <v>198</v>
      </c>
      <c r="I13" s="8">
        <v>65.45</v>
      </c>
      <c r="J13" s="6" t="s">
        <v>10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 x14ac:dyDescent="0.25">
      <c r="A14" s="19"/>
      <c r="B14" s="42">
        <v>46069</v>
      </c>
      <c r="C14" s="42">
        <v>46098</v>
      </c>
      <c r="D14" s="6" t="s">
        <v>266</v>
      </c>
      <c r="E14" s="6" t="s">
        <v>267</v>
      </c>
      <c r="F14" s="6" t="s">
        <v>23</v>
      </c>
      <c r="G14" s="6">
        <v>9</v>
      </c>
      <c r="H14" s="8">
        <f t="shared" si="0"/>
        <v>148.5</v>
      </c>
      <c r="I14" s="8" t="s">
        <v>10</v>
      </c>
      <c r="J14" s="6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25" customHeight="1" x14ac:dyDescent="0.25">
      <c r="A15" s="19"/>
      <c r="B15" s="42">
        <v>46069</v>
      </c>
      <c r="C15" s="42">
        <v>46098</v>
      </c>
      <c r="D15" s="6" t="s">
        <v>268</v>
      </c>
      <c r="E15" s="6" t="s">
        <v>269</v>
      </c>
      <c r="F15" s="6" t="s">
        <v>32</v>
      </c>
      <c r="G15" s="6">
        <v>12</v>
      </c>
      <c r="H15" s="8">
        <f t="shared" si="0"/>
        <v>198</v>
      </c>
      <c r="I15" s="8">
        <v>65.45</v>
      </c>
      <c r="J15" s="6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4.25" customHeight="1" x14ac:dyDescent="0.25">
      <c r="A16" s="18"/>
      <c r="B16" s="6" t="s">
        <v>270</v>
      </c>
      <c r="C16" s="42">
        <v>46098</v>
      </c>
      <c r="D16" s="6" t="s">
        <v>271</v>
      </c>
      <c r="E16" s="6" t="s">
        <v>272</v>
      </c>
      <c r="F16" s="6" t="s">
        <v>103</v>
      </c>
      <c r="G16" s="6">
        <v>11</v>
      </c>
      <c r="H16" s="8">
        <f t="shared" si="0"/>
        <v>181.5</v>
      </c>
      <c r="I16" s="8">
        <v>60</v>
      </c>
      <c r="J16" s="6" t="s">
        <v>10</v>
      </c>
      <c r="K16" s="18"/>
    </row>
    <row r="17" spans="1:11" ht="14.25" customHeight="1" x14ac:dyDescent="0.25">
      <c r="A17" s="18"/>
      <c r="B17" s="6"/>
      <c r="C17" s="6"/>
      <c r="D17" s="6" t="s">
        <v>273</v>
      </c>
      <c r="E17" s="6" t="s">
        <v>274</v>
      </c>
      <c r="F17" s="6" t="s">
        <v>35</v>
      </c>
      <c r="G17" s="6"/>
      <c r="H17" s="8"/>
      <c r="I17" s="8"/>
      <c r="J17" s="6"/>
      <c r="K17" s="18"/>
    </row>
    <row r="18" spans="1:11" ht="14.25" customHeight="1" x14ac:dyDescent="0.25">
      <c r="A18" s="18"/>
      <c r="B18" s="19"/>
      <c r="C18" s="19"/>
      <c r="D18" s="19"/>
      <c r="E18" s="19"/>
      <c r="F18" s="19"/>
      <c r="G18" s="19"/>
      <c r="H18" s="34"/>
      <c r="I18" s="34"/>
      <c r="J18" s="19"/>
      <c r="K18" s="18"/>
    </row>
    <row r="19" spans="1:11" ht="14.25" customHeight="1" x14ac:dyDescent="0.25">
      <c r="A19" s="18"/>
      <c r="B19" s="18"/>
      <c r="C19" s="18"/>
      <c r="D19" s="18"/>
      <c r="E19" s="18"/>
      <c r="F19" s="18"/>
      <c r="G19" s="18"/>
      <c r="H19" s="43"/>
      <c r="I19" s="43"/>
      <c r="J19" s="18"/>
      <c r="K19" s="18"/>
    </row>
    <row r="20" spans="1:11" ht="14.25" customHeight="1" x14ac:dyDescent="0.25">
      <c r="A20" s="18"/>
      <c r="B20" s="18"/>
      <c r="C20" s="18"/>
      <c r="D20" s="18"/>
      <c r="E20" s="18"/>
      <c r="F20" s="18"/>
      <c r="G20" s="18"/>
      <c r="H20" s="43"/>
      <c r="I20" s="43"/>
      <c r="J20" s="18"/>
      <c r="K20" s="18"/>
    </row>
    <row r="21" spans="1:11" ht="14.25" customHeight="1" x14ac:dyDescent="0.25">
      <c r="A21" s="18"/>
      <c r="B21" s="18"/>
      <c r="C21" s="18"/>
      <c r="D21" s="18"/>
      <c r="E21" s="18"/>
      <c r="F21" s="18"/>
      <c r="G21" s="18"/>
      <c r="H21" s="43"/>
      <c r="I21" s="43"/>
      <c r="J21" s="18"/>
      <c r="K21" s="18"/>
    </row>
    <row r="22" spans="1:11" ht="14.25" customHeight="1" x14ac:dyDescent="0.25">
      <c r="A22" s="18"/>
      <c r="B22" s="18"/>
      <c r="C22" s="18"/>
      <c r="D22" s="18"/>
      <c r="E22" s="18"/>
      <c r="F22" s="18"/>
      <c r="G22" s="18"/>
      <c r="H22" s="43"/>
      <c r="I22" s="43"/>
      <c r="J22" s="18"/>
      <c r="K22" s="18"/>
    </row>
    <row r="23" spans="1:11" ht="14.25" customHeight="1" x14ac:dyDescent="0.25">
      <c r="A23" s="18"/>
      <c r="B23" s="18"/>
      <c r="C23" s="18"/>
      <c r="D23" s="18"/>
      <c r="E23" s="18"/>
      <c r="F23" s="18"/>
      <c r="G23" s="18"/>
      <c r="H23" s="43"/>
      <c r="I23" s="43"/>
      <c r="J23" s="18"/>
      <c r="K23" s="18"/>
    </row>
    <row r="24" spans="1:11" ht="14.25" customHeight="1" x14ac:dyDescent="0.25">
      <c r="A24" s="18"/>
      <c r="B24" s="18"/>
      <c r="C24" s="18"/>
      <c r="D24" s="18"/>
      <c r="E24" s="18"/>
      <c r="F24" s="18"/>
      <c r="G24" s="18"/>
      <c r="H24" s="43"/>
      <c r="I24" s="43"/>
      <c r="J24" s="18"/>
      <c r="K24" s="18"/>
    </row>
    <row r="25" spans="1:11" ht="14.25" customHeight="1" x14ac:dyDescent="0.25">
      <c r="A25" s="18"/>
      <c r="B25" s="18"/>
      <c r="C25" s="18"/>
      <c r="D25" s="18"/>
      <c r="E25" s="18"/>
      <c r="F25" s="18"/>
      <c r="G25" s="18"/>
      <c r="H25" s="43"/>
      <c r="I25" s="43"/>
      <c r="J25" s="18"/>
      <c r="K25" s="18"/>
    </row>
    <row r="26" spans="1:11" ht="14.25" customHeight="1" x14ac:dyDescent="0.25">
      <c r="A26" s="18"/>
      <c r="B26" s="18"/>
      <c r="C26" s="18"/>
      <c r="D26" s="18"/>
      <c r="E26" s="18"/>
      <c r="F26" s="18"/>
      <c r="G26" s="18"/>
      <c r="H26" s="43"/>
      <c r="I26" s="43"/>
      <c r="J26" s="18"/>
      <c r="K26" s="18"/>
    </row>
    <row r="27" spans="1:11" ht="14.25" customHeight="1" x14ac:dyDescent="0.25">
      <c r="A27" s="18"/>
      <c r="B27" s="18"/>
      <c r="C27" s="18"/>
      <c r="D27" s="18"/>
      <c r="E27" s="18"/>
      <c r="F27" s="18"/>
      <c r="G27" s="18"/>
      <c r="H27" s="43"/>
      <c r="I27" s="43"/>
      <c r="J27" s="18"/>
      <c r="K27" s="18"/>
    </row>
    <row r="28" spans="1:11" ht="14.25" customHeight="1" x14ac:dyDescent="0.25">
      <c r="A28" s="18"/>
      <c r="B28" s="18"/>
      <c r="C28" s="18"/>
      <c r="D28" s="18"/>
      <c r="E28" s="18"/>
      <c r="F28" s="18"/>
      <c r="G28" s="18"/>
      <c r="H28" s="43"/>
      <c r="I28" s="43"/>
      <c r="J28" s="18"/>
      <c r="K28" s="18"/>
    </row>
    <row r="29" spans="1:11" ht="14.25" customHeight="1" x14ac:dyDescent="0.25">
      <c r="A29" s="18"/>
      <c r="B29" s="18"/>
      <c r="C29" s="18"/>
      <c r="D29" s="18"/>
      <c r="E29" s="18"/>
      <c r="F29" s="18"/>
      <c r="G29" s="18"/>
      <c r="H29" s="43"/>
      <c r="I29" s="43"/>
      <c r="J29" s="18"/>
      <c r="K29" s="18"/>
    </row>
    <row r="30" spans="1:11" ht="14.25" customHeight="1" x14ac:dyDescent="0.25">
      <c r="A30" s="18"/>
      <c r="B30" s="18"/>
      <c r="C30" s="18"/>
      <c r="D30" s="18"/>
      <c r="E30" s="18"/>
      <c r="F30" s="18"/>
      <c r="G30" s="18"/>
      <c r="H30" s="43"/>
      <c r="I30" s="43"/>
      <c r="J30" s="18"/>
      <c r="K30" s="18"/>
    </row>
    <row r="31" spans="1:11" ht="14.25" customHeight="1" x14ac:dyDescent="0.25">
      <c r="A31" s="18"/>
      <c r="B31" s="18"/>
      <c r="C31" s="18"/>
      <c r="D31" s="18"/>
      <c r="E31" s="18"/>
      <c r="F31" s="18"/>
      <c r="G31" s="18"/>
      <c r="H31" s="43"/>
      <c r="I31" s="43"/>
      <c r="J31" s="18"/>
      <c r="K31" s="18"/>
    </row>
    <row r="32" spans="1:11" ht="14.25" customHeight="1" x14ac:dyDescent="0.25">
      <c r="A32" s="18"/>
      <c r="B32" s="18"/>
      <c r="C32" s="18"/>
      <c r="D32" s="18"/>
      <c r="E32" s="18"/>
      <c r="F32" s="18"/>
      <c r="G32" s="18"/>
      <c r="H32" s="43"/>
      <c r="I32" s="43"/>
      <c r="J32" s="18"/>
      <c r="K32" s="18"/>
    </row>
    <row r="33" spans="1:11" ht="14.25" customHeight="1" x14ac:dyDescent="0.25">
      <c r="A33" s="18"/>
      <c r="B33" s="18"/>
      <c r="C33" s="18"/>
      <c r="D33" s="18"/>
      <c r="E33" s="18"/>
      <c r="F33" s="18"/>
      <c r="G33" s="18"/>
      <c r="H33" s="43"/>
      <c r="I33" s="43"/>
      <c r="J33" s="18"/>
      <c r="K33" s="18"/>
    </row>
    <row r="34" spans="1:11" ht="14.25" customHeight="1" x14ac:dyDescent="0.25">
      <c r="A34" s="18"/>
      <c r="B34" s="18"/>
      <c r="C34" s="18"/>
      <c r="D34" s="18"/>
      <c r="E34" s="18"/>
      <c r="F34" s="18"/>
      <c r="G34" s="18"/>
      <c r="H34" s="43"/>
      <c r="I34" s="43"/>
      <c r="J34" s="18"/>
      <c r="K34" s="18"/>
    </row>
    <row r="35" spans="1:11" ht="14.25" customHeight="1" x14ac:dyDescent="0.25">
      <c r="A35" s="18"/>
      <c r="B35" s="18"/>
      <c r="C35" s="18"/>
      <c r="D35" s="18"/>
      <c r="E35" s="18"/>
      <c r="F35" s="18"/>
      <c r="G35" s="18"/>
      <c r="H35" s="43"/>
      <c r="I35" s="43"/>
      <c r="J35" s="18"/>
      <c r="K35" s="18"/>
    </row>
    <row r="36" spans="1:11" ht="14.25" customHeight="1" x14ac:dyDescent="0.25">
      <c r="H36" s="37"/>
      <c r="I36" s="37"/>
    </row>
    <row r="37" spans="1:11" ht="14.25" customHeight="1" x14ac:dyDescent="0.25">
      <c r="H37" s="37"/>
      <c r="I37" s="37"/>
    </row>
    <row r="38" spans="1:11" ht="14.25" customHeight="1" x14ac:dyDescent="0.25">
      <c r="H38" s="37"/>
      <c r="I38" s="37"/>
    </row>
    <row r="39" spans="1:11" ht="14.25" customHeight="1" x14ac:dyDescent="0.25">
      <c r="H39" s="37"/>
      <c r="I39" s="37"/>
    </row>
    <row r="40" spans="1:11" ht="14.25" customHeight="1" x14ac:dyDescent="0.25">
      <c r="H40" s="37"/>
      <c r="I40" s="37"/>
    </row>
    <row r="41" spans="1:11" ht="14.25" customHeight="1" x14ac:dyDescent="0.25">
      <c r="H41" s="37"/>
      <c r="I41" s="37"/>
    </row>
    <row r="42" spans="1:11" ht="14.25" customHeight="1" x14ac:dyDescent="0.25">
      <c r="H42" s="37"/>
      <c r="I42" s="37"/>
    </row>
    <row r="43" spans="1:11" ht="14.25" customHeight="1" x14ac:dyDescent="0.25">
      <c r="H43" s="37"/>
      <c r="I43" s="37"/>
    </row>
    <row r="44" spans="1:11" ht="14.25" customHeight="1" x14ac:dyDescent="0.25">
      <c r="H44" s="37"/>
      <c r="I44" s="37"/>
    </row>
    <row r="45" spans="1:11" ht="14.25" customHeight="1" x14ac:dyDescent="0.25">
      <c r="H45" s="37"/>
      <c r="I45" s="37"/>
    </row>
    <row r="46" spans="1:11" ht="14.25" customHeight="1" x14ac:dyDescent="0.25">
      <c r="H46" s="37"/>
      <c r="I46" s="37"/>
    </row>
    <row r="47" spans="1:11" ht="14.25" customHeight="1" x14ac:dyDescent="0.25">
      <c r="H47" s="37"/>
      <c r="I47" s="37"/>
    </row>
    <row r="48" spans="1:11" ht="14.25" customHeight="1" x14ac:dyDescent="0.25">
      <c r="H48" s="37"/>
      <c r="I48" s="37"/>
    </row>
    <row r="49" spans="8:9" ht="14.25" customHeight="1" x14ac:dyDescent="0.25">
      <c r="H49" s="37"/>
      <c r="I49" s="37"/>
    </row>
    <row r="50" spans="8:9" ht="14.25" customHeight="1" x14ac:dyDescent="0.25">
      <c r="H50" s="37"/>
      <c r="I50" s="37"/>
    </row>
    <row r="51" spans="8:9" ht="14.25" customHeight="1" x14ac:dyDescent="0.25">
      <c r="H51" s="37"/>
      <c r="I51" s="37"/>
    </row>
    <row r="52" spans="8:9" ht="14.25" customHeight="1" x14ac:dyDescent="0.25">
      <c r="H52" s="37"/>
      <c r="I52" s="37"/>
    </row>
    <row r="53" spans="8:9" ht="14.25" customHeight="1" x14ac:dyDescent="0.25">
      <c r="H53" s="37"/>
      <c r="I53" s="37"/>
    </row>
    <row r="54" spans="8:9" ht="14.25" customHeight="1" x14ac:dyDescent="0.25">
      <c r="H54" s="37"/>
      <c r="I54" s="37"/>
    </row>
    <row r="55" spans="8:9" ht="14.25" customHeight="1" x14ac:dyDescent="0.25">
      <c r="H55" s="37"/>
      <c r="I55" s="37"/>
    </row>
    <row r="56" spans="8:9" ht="14.25" customHeight="1" x14ac:dyDescent="0.25">
      <c r="H56" s="37"/>
      <c r="I56" s="37"/>
    </row>
    <row r="57" spans="8:9" ht="14.25" customHeight="1" x14ac:dyDescent="0.25">
      <c r="H57" s="37"/>
      <c r="I57" s="37"/>
    </row>
    <row r="58" spans="8:9" ht="14.25" customHeight="1" x14ac:dyDescent="0.25">
      <c r="H58" s="37"/>
      <c r="I58" s="37"/>
    </row>
    <row r="59" spans="8:9" ht="14.25" customHeight="1" x14ac:dyDescent="0.25">
      <c r="H59" s="37"/>
      <c r="I59" s="37"/>
    </row>
    <row r="60" spans="8:9" ht="14.25" customHeight="1" x14ac:dyDescent="0.25">
      <c r="H60" s="37"/>
      <c r="I60" s="37"/>
    </row>
    <row r="61" spans="8:9" ht="14.25" customHeight="1" x14ac:dyDescent="0.25">
      <c r="H61" s="37"/>
      <c r="I61" s="37"/>
    </row>
    <row r="62" spans="8:9" ht="14.25" customHeight="1" x14ac:dyDescent="0.25">
      <c r="H62" s="37"/>
      <c r="I62" s="37"/>
    </row>
    <row r="63" spans="8:9" ht="14.25" customHeight="1" x14ac:dyDescent="0.25">
      <c r="H63" s="37"/>
      <c r="I63" s="37"/>
    </row>
    <row r="64" spans="8:9" ht="14.25" customHeight="1" x14ac:dyDescent="0.25">
      <c r="H64" s="37"/>
      <c r="I64" s="37"/>
    </row>
    <row r="65" spans="8:9" ht="14.25" customHeight="1" x14ac:dyDescent="0.25">
      <c r="H65" s="37"/>
      <c r="I65" s="37"/>
    </row>
    <row r="66" spans="8:9" ht="14.25" customHeight="1" x14ac:dyDescent="0.25">
      <c r="H66" s="37"/>
      <c r="I66" s="37"/>
    </row>
    <row r="67" spans="8:9" ht="14.25" customHeight="1" x14ac:dyDescent="0.25">
      <c r="H67" s="37"/>
      <c r="I67" s="37"/>
    </row>
    <row r="68" spans="8:9" ht="14.25" customHeight="1" x14ac:dyDescent="0.25">
      <c r="H68" s="37"/>
      <c r="I68" s="37"/>
    </row>
    <row r="69" spans="8:9" ht="14.25" customHeight="1" x14ac:dyDescent="0.25">
      <c r="H69" s="37"/>
      <c r="I69" s="37"/>
    </row>
    <row r="70" spans="8:9" ht="14.25" customHeight="1" x14ac:dyDescent="0.25">
      <c r="H70" s="37"/>
      <c r="I70" s="37"/>
    </row>
    <row r="71" spans="8:9" ht="14.25" customHeight="1" x14ac:dyDescent="0.25">
      <c r="H71" s="37"/>
      <c r="I71" s="37"/>
    </row>
    <row r="72" spans="8:9" ht="14.25" customHeight="1" x14ac:dyDescent="0.25">
      <c r="H72" s="37"/>
      <c r="I72" s="37"/>
    </row>
    <row r="73" spans="8:9" ht="14.25" customHeight="1" x14ac:dyDescent="0.25">
      <c r="H73" s="37"/>
      <c r="I73" s="37"/>
    </row>
    <row r="74" spans="8:9" ht="14.25" customHeight="1" x14ac:dyDescent="0.25">
      <c r="H74" s="37"/>
      <c r="I74" s="37"/>
    </row>
    <row r="75" spans="8:9" ht="14.25" customHeight="1" x14ac:dyDescent="0.25">
      <c r="H75" s="37"/>
      <c r="I75" s="37"/>
    </row>
    <row r="76" spans="8:9" ht="14.25" customHeight="1" x14ac:dyDescent="0.25">
      <c r="H76" s="37"/>
      <c r="I76" s="37"/>
    </row>
    <row r="77" spans="8:9" ht="14.25" customHeight="1" x14ac:dyDescent="0.25">
      <c r="H77" s="37"/>
      <c r="I77" s="37"/>
    </row>
    <row r="78" spans="8:9" ht="14.25" customHeight="1" x14ac:dyDescent="0.25">
      <c r="H78" s="37"/>
      <c r="I78" s="37"/>
    </row>
    <row r="79" spans="8:9" ht="14.25" customHeight="1" x14ac:dyDescent="0.25">
      <c r="H79" s="37"/>
      <c r="I79" s="37"/>
    </row>
    <row r="80" spans="8:9" ht="14.25" customHeight="1" x14ac:dyDescent="0.25">
      <c r="H80" s="37"/>
      <c r="I80" s="37"/>
    </row>
    <row r="81" spans="8:9" ht="14.25" customHeight="1" x14ac:dyDescent="0.25">
      <c r="H81" s="37"/>
      <c r="I81" s="37"/>
    </row>
    <row r="82" spans="8:9" ht="14.25" customHeight="1" x14ac:dyDescent="0.25">
      <c r="H82" s="37"/>
      <c r="I82" s="37"/>
    </row>
    <row r="83" spans="8:9" ht="14.25" customHeight="1" x14ac:dyDescent="0.25">
      <c r="H83" s="37"/>
      <c r="I83" s="37"/>
    </row>
    <row r="84" spans="8:9" ht="14.25" customHeight="1" x14ac:dyDescent="0.25">
      <c r="H84" s="37"/>
      <c r="I84" s="37"/>
    </row>
    <row r="85" spans="8:9" ht="14.25" customHeight="1" x14ac:dyDescent="0.25">
      <c r="H85" s="37"/>
      <c r="I85" s="37"/>
    </row>
    <row r="86" spans="8:9" ht="14.25" customHeight="1" x14ac:dyDescent="0.25">
      <c r="H86" s="37"/>
      <c r="I86" s="37"/>
    </row>
    <row r="87" spans="8:9" ht="14.25" customHeight="1" x14ac:dyDescent="0.25">
      <c r="H87" s="37"/>
      <c r="I87" s="37"/>
    </row>
    <row r="88" spans="8:9" ht="14.25" customHeight="1" x14ac:dyDescent="0.25">
      <c r="H88" s="37"/>
      <c r="I88" s="37"/>
    </row>
    <row r="89" spans="8:9" ht="14.25" customHeight="1" x14ac:dyDescent="0.25">
      <c r="H89" s="37"/>
      <c r="I89" s="37"/>
    </row>
    <row r="90" spans="8:9" ht="14.25" customHeight="1" x14ac:dyDescent="0.25">
      <c r="H90" s="37"/>
      <c r="I90" s="37"/>
    </row>
    <row r="91" spans="8:9" ht="14.25" customHeight="1" x14ac:dyDescent="0.25">
      <c r="H91" s="37"/>
      <c r="I91" s="37"/>
    </row>
    <row r="92" spans="8:9" ht="14.25" customHeight="1" x14ac:dyDescent="0.25">
      <c r="H92" s="37"/>
      <c r="I92" s="37"/>
    </row>
    <row r="93" spans="8:9" ht="14.25" customHeight="1" x14ac:dyDescent="0.25">
      <c r="H93" s="37"/>
      <c r="I93" s="37"/>
    </row>
    <row r="94" spans="8:9" ht="14.25" customHeight="1" x14ac:dyDescent="0.25">
      <c r="H94" s="37"/>
      <c r="I94" s="37"/>
    </row>
    <row r="95" spans="8:9" ht="14.25" customHeight="1" x14ac:dyDescent="0.25">
      <c r="H95" s="37"/>
      <c r="I95" s="37"/>
    </row>
    <row r="96" spans="8:9" ht="14.25" customHeight="1" x14ac:dyDescent="0.25">
      <c r="H96" s="37"/>
      <c r="I96" s="37"/>
    </row>
    <row r="97" spans="8:9" ht="14.25" customHeight="1" x14ac:dyDescent="0.25">
      <c r="H97" s="37"/>
      <c r="I97" s="37"/>
    </row>
    <row r="98" spans="8:9" ht="14.25" customHeight="1" x14ac:dyDescent="0.25">
      <c r="H98" s="37"/>
      <c r="I98" s="37"/>
    </row>
    <row r="99" spans="8:9" ht="14.25" customHeight="1" x14ac:dyDescent="0.25">
      <c r="H99" s="37"/>
      <c r="I99" s="37"/>
    </row>
    <row r="100" spans="8:9" ht="14.25" customHeight="1" x14ac:dyDescent="0.25">
      <c r="H100" s="37"/>
      <c r="I100" s="37"/>
    </row>
    <row r="101" spans="8:9" ht="14.25" customHeight="1" x14ac:dyDescent="0.25">
      <c r="H101" s="37"/>
      <c r="I101" s="37"/>
    </row>
    <row r="102" spans="8:9" ht="14.25" customHeight="1" x14ac:dyDescent="0.25">
      <c r="H102" s="37"/>
      <c r="I102" s="37"/>
    </row>
    <row r="103" spans="8:9" ht="14.25" customHeight="1" x14ac:dyDescent="0.25">
      <c r="H103" s="37"/>
      <c r="I103" s="37"/>
    </row>
    <row r="104" spans="8:9" ht="14.25" customHeight="1" x14ac:dyDescent="0.25">
      <c r="H104" s="37"/>
      <c r="I104" s="37"/>
    </row>
    <row r="105" spans="8:9" ht="14.25" customHeight="1" x14ac:dyDescent="0.25">
      <c r="H105" s="37"/>
      <c r="I105" s="37"/>
    </row>
    <row r="106" spans="8:9" ht="14.25" customHeight="1" x14ac:dyDescent="0.25">
      <c r="H106" s="37"/>
      <c r="I106" s="37"/>
    </row>
    <row r="107" spans="8:9" ht="14.25" customHeight="1" x14ac:dyDescent="0.25">
      <c r="H107" s="37"/>
      <c r="I107" s="37"/>
    </row>
    <row r="108" spans="8:9" ht="14.25" customHeight="1" x14ac:dyDescent="0.25">
      <c r="H108" s="37"/>
      <c r="I108" s="37"/>
    </row>
    <row r="109" spans="8:9" ht="14.25" customHeight="1" x14ac:dyDescent="0.25">
      <c r="H109" s="37"/>
      <c r="I109" s="37"/>
    </row>
    <row r="110" spans="8:9" ht="14.25" customHeight="1" x14ac:dyDescent="0.25">
      <c r="H110" s="37"/>
      <c r="I110" s="37"/>
    </row>
    <row r="111" spans="8:9" ht="14.25" customHeight="1" x14ac:dyDescent="0.25">
      <c r="H111" s="37"/>
      <c r="I111" s="37"/>
    </row>
    <row r="112" spans="8:9" ht="14.25" customHeight="1" x14ac:dyDescent="0.25">
      <c r="H112" s="37"/>
      <c r="I112" s="37"/>
    </row>
    <row r="113" spans="8:9" ht="14.25" customHeight="1" x14ac:dyDescent="0.25">
      <c r="H113" s="37"/>
      <c r="I113" s="37"/>
    </row>
    <row r="114" spans="8:9" ht="14.25" customHeight="1" x14ac:dyDescent="0.25">
      <c r="H114" s="37"/>
      <c r="I114" s="37"/>
    </row>
    <row r="115" spans="8:9" ht="14.25" customHeight="1" x14ac:dyDescent="0.25">
      <c r="H115" s="37"/>
      <c r="I115" s="37"/>
    </row>
    <row r="116" spans="8:9" ht="14.25" customHeight="1" x14ac:dyDescent="0.25">
      <c r="H116" s="37"/>
      <c r="I116" s="37"/>
    </row>
    <row r="117" spans="8:9" ht="14.25" customHeight="1" x14ac:dyDescent="0.25">
      <c r="H117" s="37"/>
      <c r="I117" s="37"/>
    </row>
    <row r="118" spans="8:9" ht="14.25" customHeight="1" x14ac:dyDescent="0.25">
      <c r="H118" s="37"/>
      <c r="I118" s="37"/>
    </row>
    <row r="119" spans="8:9" ht="14.25" customHeight="1" x14ac:dyDescent="0.25">
      <c r="H119" s="37"/>
      <c r="I119" s="37"/>
    </row>
    <row r="120" spans="8:9" ht="14.25" customHeight="1" x14ac:dyDescent="0.25">
      <c r="H120" s="37"/>
      <c r="I120" s="37"/>
    </row>
    <row r="121" spans="8:9" ht="14.25" customHeight="1" x14ac:dyDescent="0.25">
      <c r="H121" s="37"/>
      <c r="I121" s="37"/>
    </row>
    <row r="122" spans="8:9" ht="14.25" customHeight="1" x14ac:dyDescent="0.25">
      <c r="H122" s="37"/>
      <c r="I122" s="37"/>
    </row>
    <row r="123" spans="8:9" ht="14.25" customHeight="1" x14ac:dyDescent="0.25">
      <c r="H123" s="37"/>
      <c r="I123" s="37"/>
    </row>
    <row r="124" spans="8:9" ht="14.25" customHeight="1" x14ac:dyDescent="0.25">
      <c r="H124" s="37"/>
      <c r="I124" s="37"/>
    </row>
    <row r="125" spans="8:9" ht="14.25" customHeight="1" x14ac:dyDescent="0.25">
      <c r="H125" s="37"/>
      <c r="I125" s="37"/>
    </row>
    <row r="126" spans="8:9" ht="14.25" customHeight="1" x14ac:dyDescent="0.25">
      <c r="H126" s="37"/>
      <c r="I126" s="37"/>
    </row>
    <row r="127" spans="8:9" ht="14.25" customHeight="1" x14ac:dyDescent="0.25">
      <c r="H127" s="37"/>
      <c r="I127" s="37"/>
    </row>
    <row r="128" spans="8:9" ht="14.25" customHeight="1" x14ac:dyDescent="0.25">
      <c r="H128" s="37"/>
      <c r="I128" s="37"/>
    </row>
    <row r="129" spans="8:9" ht="14.25" customHeight="1" x14ac:dyDescent="0.25">
      <c r="H129" s="37"/>
      <c r="I129" s="37"/>
    </row>
    <row r="130" spans="8:9" ht="14.25" customHeight="1" x14ac:dyDescent="0.25">
      <c r="H130" s="37"/>
      <c r="I130" s="37"/>
    </row>
    <row r="131" spans="8:9" ht="14.25" customHeight="1" x14ac:dyDescent="0.25">
      <c r="H131" s="37"/>
      <c r="I131" s="37"/>
    </row>
    <row r="132" spans="8:9" ht="14.25" customHeight="1" x14ac:dyDescent="0.25">
      <c r="H132" s="37"/>
      <c r="I132" s="37"/>
    </row>
    <row r="133" spans="8:9" ht="14.25" customHeight="1" x14ac:dyDescent="0.25">
      <c r="H133" s="37"/>
      <c r="I133" s="37"/>
    </row>
    <row r="134" spans="8:9" ht="14.25" customHeight="1" x14ac:dyDescent="0.25">
      <c r="H134" s="37"/>
      <c r="I134" s="37"/>
    </row>
    <row r="135" spans="8:9" ht="14.25" customHeight="1" x14ac:dyDescent="0.25">
      <c r="H135" s="37"/>
      <c r="I135" s="37"/>
    </row>
    <row r="136" spans="8:9" ht="14.25" customHeight="1" x14ac:dyDescent="0.25">
      <c r="H136" s="37"/>
      <c r="I136" s="37"/>
    </row>
    <row r="137" spans="8:9" ht="14.25" customHeight="1" x14ac:dyDescent="0.25">
      <c r="H137" s="37"/>
      <c r="I137" s="37"/>
    </row>
    <row r="138" spans="8:9" ht="14.25" customHeight="1" x14ac:dyDescent="0.25">
      <c r="H138" s="37"/>
      <c r="I138" s="37"/>
    </row>
    <row r="139" spans="8:9" ht="14.25" customHeight="1" x14ac:dyDescent="0.25">
      <c r="H139" s="37"/>
      <c r="I139" s="37"/>
    </row>
    <row r="140" spans="8:9" ht="14.25" customHeight="1" x14ac:dyDescent="0.25">
      <c r="H140" s="37"/>
      <c r="I140" s="37"/>
    </row>
    <row r="141" spans="8:9" ht="14.25" customHeight="1" x14ac:dyDescent="0.25">
      <c r="H141" s="37"/>
      <c r="I141" s="37"/>
    </row>
    <row r="142" spans="8:9" ht="14.25" customHeight="1" x14ac:dyDescent="0.25">
      <c r="H142" s="37"/>
      <c r="I142" s="37"/>
    </row>
    <row r="143" spans="8:9" ht="14.25" customHeight="1" x14ac:dyDescent="0.25">
      <c r="H143" s="37"/>
      <c r="I143" s="37"/>
    </row>
    <row r="144" spans="8:9" ht="14.25" customHeight="1" x14ac:dyDescent="0.25">
      <c r="H144" s="37"/>
      <c r="I144" s="37"/>
    </row>
    <row r="145" spans="8:9" ht="14.25" customHeight="1" x14ac:dyDescent="0.25">
      <c r="H145" s="37"/>
      <c r="I145" s="37"/>
    </row>
    <row r="146" spans="8:9" ht="14.25" customHeight="1" x14ac:dyDescent="0.25">
      <c r="H146" s="37"/>
      <c r="I146" s="37"/>
    </row>
    <row r="147" spans="8:9" ht="14.25" customHeight="1" x14ac:dyDescent="0.25">
      <c r="H147" s="37"/>
      <c r="I147" s="37"/>
    </row>
    <row r="148" spans="8:9" ht="14.25" customHeight="1" x14ac:dyDescent="0.25">
      <c r="H148" s="37"/>
      <c r="I148" s="37"/>
    </row>
    <row r="149" spans="8:9" ht="14.25" customHeight="1" x14ac:dyDescent="0.25">
      <c r="H149" s="37"/>
      <c r="I149" s="37"/>
    </row>
    <row r="150" spans="8:9" ht="14.25" customHeight="1" x14ac:dyDescent="0.25">
      <c r="H150" s="37"/>
      <c r="I150" s="37"/>
    </row>
    <row r="151" spans="8:9" ht="14.25" customHeight="1" x14ac:dyDescent="0.25">
      <c r="H151" s="37"/>
      <c r="I151" s="37"/>
    </row>
    <row r="152" spans="8:9" ht="14.25" customHeight="1" x14ac:dyDescent="0.25">
      <c r="H152" s="37"/>
      <c r="I152" s="37"/>
    </row>
    <row r="153" spans="8:9" ht="14.25" customHeight="1" x14ac:dyDescent="0.25">
      <c r="H153" s="37"/>
      <c r="I153" s="37"/>
    </row>
    <row r="154" spans="8:9" ht="14.25" customHeight="1" x14ac:dyDescent="0.25">
      <c r="H154" s="37"/>
      <c r="I154" s="37"/>
    </row>
    <row r="155" spans="8:9" ht="14.25" customHeight="1" x14ac:dyDescent="0.25">
      <c r="H155" s="37"/>
      <c r="I155" s="37"/>
    </row>
    <row r="156" spans="8:9" ht="14.25" customHeight="1" x14ac:dyDescent="0.25">
      <c r="H156" s="37"/>
      <c r="I156" s="37"/>
    </row>
    <row r="157" spans="8:9" ht="14.25" customHeight="1" x14ac:dyDescent="0.25">
      <c r="H157" s="37"/>
      <c r="I157" s="37"/>
    </row>
    <row r="158" spans="8:9" ht="14.25" customHeight="1" x14ac:dyDescent="0.25">
      <c r="H158" s="37"/>
      <c r="I158" s="37"/>
    </row>
    <row r="159" spans="8:9" ht="14.25" customHeight="1" x14ac:dyDescent="0.25">
      <c r="H159" s="37"/>
      <c r="I159" s="37"/>
    </row>
    <row r="160" spans="8:9" ht="14.25" customHeight="1" x14ac:dyDescent="0.25">
      <c r="H160" s="37"/>
      <c r="I160" s="37"/>
    </row>
    <row r="161" spans="8:9" ht="14.25" customHeight="1" x14ac:dyDescent="0.25">
      <c r="H161" s="37"/>
      <c r="I161" s="37"/>
    </row>
    <row r="162" spans="8:9" ht="14.25" customHeight="1" x14ac:dyDescent="0.25">
      <c r="H162" s="37"/>
      <c r="I162" s="37"/>
    </row>
    <row r="163" spans="8:9" ht="14.25" customHeight="1" x14ac:dyDescent="0.25">
      <c r="H163" s="37"/>
      <c r="I163" s="37"/>
    </row>
    <row r="164" spans="8:9" ht="14.25" customHeight="1" x14ac:dyDescent="0.25">
      <c r="H164" s="37"/>
      <c r="I164" s="37"/>
    </row>
    <row r="165" spans="8:9" ht="14.25" customHeight="1" x14ac:dyDescent="0.25">
      <c r="H165" s="37"/>
      <c r="I165" s="37"/>
    </row>
    <row r="166" spans="8:9" ht="14.25" customHeight="1" x14ac:dyDescent="0.25">
      <c r="H166" s="37"/>
      <c r="I166" s="37"/>
    </row>
    <row r="167" spans="8:9" ht="14.25" customHeight="1" x14ac:dyDescent="0.25">
      <c r="H167" s="37"/>
      <c r="I167" s="37"/>
    </row>
    <row r="168" spans="8:9" ht="14.25" customHeight="1" x14ac:dyDescent="0.25">
      <c r="H168" s="37"/>
      <c r="I168" s="37"/>
    </row>
    <row r="169" spans="8:9" ht="14.25" customHeight="1" x14ac:dyDescent="0.25">
      <c r="H169" s="37"/>
      <c r="I169" s="37"/>
    </row>
    <row r="170" spans="8:9" ht="14.25" customHeight="1" x14ac:dyDescent="0.25">
      <c r="H170" s="37"/>
      <c r="I170" s="37"/>
    </row>
    <row r="171" spans="8:9" ht="14.25" customHeight="1" x14ac:dyDescent="0.25">
      <c r="H171" s="37"/>
      <c r="I171" s="37"/>
    </row>
    <row r="172" spans="8:9" ht="14.25" customHeight="1" x14ac:dyDescent="0.25">
      <c r="H172" s="37"/>
      <c r="I172" s="37"/>
    </row>
    <row r="173" spans="8:9" ht="14.25" customHeight="1" x14ac:dyDescent="0.25">
      <c r="H173" s="37"/>
      <c r="I173" s="37"/>
    </row>
    <row r="174" spans="8:9" ht="14.25" customHeight="1" x14ac:dyDescent="0.25">
      <c r="H174" s="37"/>
      <c r="I174" s="37"/>
    </row>
    <row r="175" spans="8:9" ht="14.25" customHeight="1" x14ac:dyDescent="0.25">
      <c r="H175" s="37"/>
      <c r="I175" s="37"/>
    </row>
    <row r="176" spans="8:9" ht="14.25" customHeight="1" x14ac:dyDescent="0.25">
      <c r="H176" s="37"/>
      <c r="I176" s="37"/>
    </row>
    <row r="177" spans="8:9" ht="14.25" customHeight="1" x14ac:dyDescent="0.25">
      <c r="H177" s="37"/>
      <c r="I177" s="37"/>
    </row>
    <row r="178" spans="8:9" ht="14.25" customHeight="1" x14ac:dyDescent="0.25">
      <c r="H178" s="37"/>
      <c r="I178" s="37"/>
    </row>
    <row r="179" spans="8:9" ht="14.25" customHeight="1" x14ac:dyDescent="0.25">
      <c r="H179" s="37"/>
      <c r="I179" s="37"/>
    </row>
    <row r="180" spans="8:9" ht="14.25" customHeight="1" x14ac:dyDescent="0.25">
      <c r="H180" s="37"/>
      <c r="I180" s="37"/>
    </row>
    <row r="181" spans="8:9" ht="14.25" customHeight="1" x14ac:dyDescent="0.25">
      <c r="H181" s="37"/>
      <c r="I181" s="37"/>
    </row>
    <row r="182" spans="8:9" ht="14.25" customHeight="1" x14ac:dyDescent="0.25">
      <c r="H182" s="37"/>
      <c r="I182" s="37"/>
    </row>
    <row r="183" spans="8:9" ht="14.25" customHeight="1" x14ac:dyDescent="0.25">
      <c r="H183" s="37"/>
      <c r="I183" s="37"/>
    </row>
    <row r="184" spans="8:9" ht="14.25" customHeight="1" x14ac:dyDescent="0.25">
      <c r="H184" s="37"/>
      <c r="I184" s="37"/>
    </row>
    <row r="185" spans="8:9" ht="14.25" customHeight="1" x14ac:dyDescent="0.25">
      <c r="H185" s="37"/>
      <c r="I185" s="37"/>
    </row>
    <row r="186" spans="8:9" ht="14.25" customHeight="1" x14ac:dyDescent="0.25">
      <c r="H186" s="37"/>
      <c r="I186" s="37"/>
    </row>
    <row r="187" spans="8:9" ht="14.25" customHeight="1" x14ac:dyDescent="0.25">
      <c r="H187" s="37"/>
      <c r="I187" s="37"/>
    </row>
    <row r="188" spans="8:9" ht="14.25" customHeight="1" x14ac:dyDescent="0.25">
      <c r="H188" s="37"/>
      <c r="I188" s="37"/>
    </row>
    <row r="189" spans="8:9" ht="14.25" customHeight="1" x14ac:dyDescent="0.25">
      <c r="H189" s="37"/>
      <c r="I189" s="37"/>
    </row>
    <row r="190" spans="8:9" ht="14.25" customHeight="1" x14ac:dyDescent="0.25">
      <c r="H190" s="37"/>
      <c r="I190" s="37"/>
    </row>
    <row r="191" spans="8:9" ht="14.25" customHeight="1" x14ac:dyDescent="0.25">
      <c r="H191" s="37"/>
      <c r="I191" s="37"/>
    </row>
    <row r="192" spans="8:9" ht="14.25" customHeight="1" x14ac:dyDescent="0.25">
      <c r="H192" s="37"/>
      <c r="I192" s="37"/>
    </row>
    <row r="193" spans="8:9" ht="14.25" customHeight="1" x14ac:dyDescent="0.25">
      <c r="H193" s="37"/>
      <c r="I193" s="37"/>
    </row>
    <row r="194" spans="8:9" ht="14.25" customHeight="1" x14ac:dyDescent="0.25">
      <c r="H194" s="37"/>
      <c r="I194" s="37"/>
    </row>
    <row r="195" spans="8:9" ht="14.25" customHeight="1" x14ac:dyDescent="0.25">
      <c r="H195" s="37"/>
      <c r="I195" s="37"/>
    </row>
    <row r="196" spans="8:9" ht="14.25" customHeight="1" x14ac:dyDescent="0.25">
      <c r="H196" s="37"/>
      <c r="I196" s="37"/>
    </row>
    <row r="197" spans="8:9" ht="14.25" customHeight="1" x14ac:dyDescent="0.25">
      <c r="H197" s="37"/>
      <c r="I197" s="37"/>
    </row>
    <row r="198" spans="8:9" ht="14.25" customHeight="1" x14ac:dyDescent="0.25">
      <c r="H198" s="37"/>
      <c r="I198" s="37"/>
    </row>
    <row r="199" spans="8:9" ht="14.25" customHeight="1" x14ac:dyDescent="0.25">
      <c r="H199" s="37"/>
      <c r="I199" s="37"/>
    </row>
    <row r="200" spans="8:9" ht="14.25" customHeight="1" x14ac:dyDescent="0.25">
      <c r="H200" s="37"/>
      <c r="I200" s="37"/>
    </row>
    <row r="201" spans="8:9" ht="14.25" customHeight="1" x14ac:dyDescent="0.25">
      <c r="H201" s="37"/>
      <c r="I201" s="37"/>
    </row>
    <row r="202" spans="8:9" ht="14.25" customHeight="1" x14ac:dyDescent="0.25">
      <c r="H202" s="37"/>
      <c r="I202" s="37"/>
    </row>
    <row r="203" spans="8:9" ht="14.25" customHeight="1" x14ac:dyDescent="0.25">
      <c r="H203" s="37"/>
      <c r="I203" s="37"/>
    </row>
    <row r="204" spans="8:9" ht="14.25" customHeight="1" x14ac:dyDescent="0.25">
      <c r="H204" s="37"/>
      <c r="I204" s="37"/>
    </row>
    <row r="205" spans="8:9" ht="14.25" customHeight="1" x14ac:dyDescent="0.25">
      <c r="H205" s="37"/>
      <c r="I205" s="37"/>
    </row>
    <row r="206" spans="8:9" ht="14.25" customHeight="1" x14ac:dyDescent="0.25">
      <c r="H206" s="37"/>
      <c r="I206" s="37"/>
    </row>
    <row r="207" spans="8:9" ht="14.25" customHeight="1" x14ac:dyDescent="0.25">
      <c r="H207" s="37"/>
      <c r="I207" s="37"/>
    </row>
    <row r="208" spans="8:9" ht="14.25" customHeight="1" x14ac:dyDescent="0.25">
      <c r="H208" s="37"/>
      <c r="I208" s="37"/>
    </row>
    <row r="209" spans="8:9" ht="14.25" customHeight="1" x14ac:dyDescent="0.25">
      <c r="H209" s="37"/>
      <c r="I209" s="37"/>
    </row>
    <row r="210" spans="8:9" ht="14.25" customHeight="1" x14ac:dyDescent="0.25">
      <c r="H210" s="37"/>
      <c r="I210" s="37"/>
    </row>
    <row r="211" spans="8:9" ht="14.25" customHeight="1" x14ac:dyDescent="0.25">
      <c r="H211" s="37"/>
      <c r="I211" s="37"/>
    </row>
    <row r="212" spans="8:9" ht="14.25" customHeight="1" x14ac:dyDescent="0.25">
      <c r="H212" s="37"/>
      <c r="I212" s="37"/>
    </row>
    <row r="213" spans="8:9" ht="14.25" customHeight="1" x14ac:dyDescent="0.25">
      <c r="H213" s="37"/>
      <c r="I213" s="37"/>
    </row>
    <row r="214" spans="8:9" ht="14.25" customHeight="1" x14ac:dyDescent="0.25">
      <c r="H214" s="37"/>
      <c r="I214" s="37"/>
    </row>
    <row r="215" spans="8:9" ht="14.25" customHeight="1" x14ac:dyDescent="0.25">
      <c r="H215" s="37"/>
      <c r="I215" s="37"/>
    </row>
    <row r="216" spans="8:9" ht="14.25" customHeight="1" x14ac:dyDescent="0.25">
      <c r="H216" s="37"/>
      <c r="I216" s="37"/>
    </row>
    <row r="217" spans="8:9" ht="14.25" customHeight="1" x14ac:dyDescent="0.25">
      <c r="H217" s="37"/>
      <c r="I217" s="37"/>
    </row>
    <row r="218" spans="8:9" ht="14.25" customHeight="1" x14ac:dyDescent="0.25">
      <c r="H218" s="37"/>
      <c r="I218" s="37"/>
    </row>
    <row r="219" spans="8:9" ht="14.25" customHeight="1" x14ac:dyDescent="0.25">
      <c r="H219" s="37"/>
      <c r="I219" s="37"/>
    </row>
    <row r="220" spans="8:9" ht="14.25" customHeight="1" x14ac:dyDescent="0.25">
      <c r="H220" s="37"/>
      <c r="I220" s="37"/>
    </row>
    <row r="221" spans="8:9" ht="14.25" customHeight="1" x14ac:dyDescent="0.25">
      <c r="H221" s="37"/>
      <c r="I221" s="37"/>
    </row>
    <row r="222" spans="8:9" ht="14.25" customHeight="1" x14ac:dyDescent="0.25">
      <c r="H222" s="37"/>
      <c r="I222" s="37"/>
    </row>
    <row r="223" spans="8:9" ht="14.25" customHeight="1" x14ac:dyDescent="0.25">
      <c r="H223" s="37"/>
      <c r="I223" s="37"/>
    </row>
    <row r="224" spans="8:9" ht="14.25" customHeight="1" x14ac:dyDescent="0.25">
      <c r="H224" s="37"/>
      <c r="I224" s="37"/>
    </row>
    <row r="225" spans="8:9" ht="14.25" customHeight="1" x14ac:dyDescent="0.25">
      <c r="H225" s="37"/>
      <c r="I225" s="37"/>
    </row>
    <row r="226" spans="8:9" ht="14.25" customHeight="1" x14ac:dyDescent="0.25">
      <c r="H226" s="37"/>
      <c r="I226" s="37"/>
    </row>
    <row r="227" spans="8:9" ht="14.25" customHeight="1" x14ac:dyDescent="0.25">
      <c r="H227" s="37"/>
      <c r="I227" s="37"/>
    </row>
    <row r="228" spans="8:9" ht="14.25" customHeight="1" x14ac:dyDescent="0.25">
      <c r="H228" s="37"/>
      <c r="I228" s="37"/>
    </row>
    <row r="229" spans="8:9" ht="14.25" customHeight="1" x14ac:dyDescent="0.25">
      <c r="H229" s="37"/>
      <c r="I229" s="37"/>
    </row>
    <row r="230" spans="8:9" ht="14.25" customHeight="1" x14ac:dyDescent="0.25">
      <c r="H230" s="37"/>
      <c r="I230" s="37"/>
    </row>
    <row r="231" spans="8:9" ht="14.25" customHeight="1" x14ac:dyDescent="0.25">
      <c r="H231" s="37"/>
      <c r="I231" s="37"/>
    </row>
    <row r="232" spans="8:9" ht="14.25" customHeight="1" x14ac:dyDescent="0.25">
      <c r="H232" s="37"/>
      <c r="I232" s="37"/>
    </row>
    <row r="233" spans="8:9" ht="14.25" customHeight="1" x14ac:dyDescent="0.25">
      <c r="H233" s="37"/>
      <c r="I233" s="37"/>
    </row>
    <row r="234" spans="8:9" ht="14.25" customHeight="1" x14ac:dyDescent="0.25">
      <c r="H234" s="37"/>
      <c r="I234" s="37"/>
    </row>
    <row r="235" spans="8:9" ht="14.25" customHeight="1" x14ac:dyDescent="0.25">
      <c r="H235" s="37"/>
      <c r="I235" s="37"/>
    </row>
    <row r="236" spans="8:9" ht="14.25" customHeight="1" x14ac:dyDescent="0.25">
      <c r="H236" s="37"/>
      <c r="I236" s="37"/>
    </row>
    <row r="237" spans="8:9" ht="14.25" customHeight="1" x14ac:dyDescent="0.25">
      <c r="H237" s="37"/>
      <c r="I237" s="37"/>
    </row>
    <row r="238" spans="8:9" ht="14.25" customHeight="1" x14ac:dyDescent="0.25">
      <c r="H238" s="37"/>
      <c r="I238" s="37"/>
    </row>
    <row r="239" spans="8:9" ht="14.25" customHeight="1" x14ac:dyDescent="0.25">
      <c r="H239" s="37"/>
      <c r="I239" s="37"/>
    </row>
    <row r="240" spans="8:9" ht="14.25" customHeight="1" x14ac:dyDescent="0.25">
      <c r="H240" s="37"/>
      <c r="I240" s="37"/>
    </row>
    <row r="241" spans="8:9" ht="14.25" customHeight="1" x14ac:dyDescent="0.25">
      <c r="H241" s="37"/>
      <c r="I241" s="37"/>
    </row>
    <row r="242" spans="8:9" ht="14.25" customHeight="1" x14ac:dyDescent="0.25">
      <c r="H242" s="37"/>
      <c r="I242" s="37"/>
    </row>
    <row r="243" spans="8:9" ht="14.25" customHeight="1" x14ac:dyDescent="0.25">
      <c r="H243" s="37"/>
      <c r="I243" s="37"/>
    </row>
    <row r="244" spans="8:9" ht="14.25" customHeight="1" x14ac:dyDescent="0.25">
      <c r="H244" s="37"/>
      <c r="I244" s="37"/>
    </row>
    <row r="245" spans="8:9" ht="14.25" customHeight="1" x14ac:dyDescent="0.25">
      <c r="H245" s="37"/>
      <c r="I245" s="37"/>
    </row>
    <row r="246" spans="8:9" ht="14.25" customHeight="1" x14ac:dyDescent="0.25">
      <c r="H246" s="37"/>
      <c r="I246" s="37"/>
    </row>
    <row r="247" spans="8:9" ht="14.25" customHeight="1" x14ac:dyDescent="0.25">
      <c r="H247" s="37"/>
      <c r="I247" s="37"/>
    </row>
    <row r="248" spans="8:9" ht="14.25" customHeight="1" x14ac:dyDescent="0.25">
      <c r="H248" s="37"/>
      <c r="I248" s="37"/>
    </row>
    <row r="249" spans="8:9" ht="14.25" customHeight="1" x14ac:dyDescent="0.25">
      <c r="H249" s="37"/>
      <c r="I249" s="37"/>
    </row>
    <row r="250" spans="8:9" ht="14.25" customHeight="1" x14ac:dyDescent="0.25">
      <c r="H250" s="37"/>
      <c r="I250" s="37"/>
    </row>
    <row r="251" spans="8:9" ht="14.25" customHeight="1" x14ac:dyDescent="0.25">
      <c r="H251" s="37"/>
      <c r="I251" s="37"/>
    </row>
    <row r="252" spans="8:9" ht="14.25" customHeight="1" x14ac:dyDescent="0.25">
      <c r="H252" s="37"/>
      <c r="I252" s="37"/>
    </row>
    <row r="253" spans="8:9" ht="14.25" customHeight="1" x14ac:dyDescent="0.25">
      <c r="H253" s="37"/>
      <c r="I253" s="37"/>
    </row>
    <row r="254" spans="8:9" ht="14.25" customHeight="1" x14ac:dyDescent="0.25">
      <c r="H254" s="37"/>
      <c r="I254" s="37"/>
    </row>
    <row r="255" spans="8:9" ht="14.25" customHeight="1" x14ac:dyDescent="0.25">
      <c r="H255" s="37"/>
      <c r="I255" s="37"/>
    </row>
    <row r="256" spans="8:9" ht="14.25" customHeight="1" x14ac:dyDescent="0.25">
      <c r="H256" s="37"/>
      <c r="I256" s="37"/>
    </row>
    <row r="257" spans="8:9" ht="14.25" customHeight="1" x14ac:dyDescent="0.25">
      <c r="H257" s="37"/>
      <c r="I257" s="37"/>
    </row>
    <row r="258" spans="8:9" ht="14.25" customHeight="1" x14ac:dyDescent="0.25">
      <c r="H258" s="37"/>
      <c r="I258" s="37"/>
    </row>
    <row r="259" spans="8:9" ht="14.25" customHeight="1" x14ac:dyDescent="0.25">
      <c r="H259" s="37"/>
      <c r="I259" s="37"/>
    </row>
    <row r="260" spans="8:9" ht="14.25" customHeight="1" x14ac:dyDescent="0.25">
      <c r="H260" s="37"/>
      <c r="I260" s="37"/>
    </row>
    <row r="261" spans="8:9" ht="14.25" customHeight="1" x14ac:dyDescent="0.25">
      <c r="H261" s="37"/>
      <c r="I261" s="37"/>
    </row>
    <row r="262" spans="8:9" ht="14.25" customHeight="1" x14ac:dyDescent="0.25">
      <c r="H262" s="37"/>
      <c r="I262" s="37"/>
    </row>
    <row r="263" spans="8:9" ht="14.25" customHeight="1" x14ac:dyDescent="0.25">
      <c r="H263" s="37"/>
      <c r="I263" s="37"/>
    </row>
    <row r="264" spans="8:9" ht="14.25" customHeight="1" x14ac:dyDescent="0.25">
      <c r="H264" s="37"/>
      <c r="I264" s="37"/>
    </row>
    <row r="265" spans="8:9" ht="14.25" customHeight="1" x14ac:dyDescent="0.25">
      <c r="H265" s="37"/>
      <c r="I265" s="37"/>
    </row>
    <row r="266" spans="8:9" ht="14.25" customHeight="1" x14ac:dyDescent="0.25">
      <c r="H266" s="37"/>
      <c r="I266" s="37"/>
    </row>
    <row r="267" spans="8:9" ht="14.25" customHeight="1" x14ac:dyDescent="0.25">
      <c r="H267" s="37"/>
      <c r="I267" s="37"/>
    </row>
    <row r="268" spans="8:9" ht="14.25" customHeight="1" x14ac:dyDescent="0.25">
      <c r="H268" s="37"/>
      <c r="I268" s="37"/>
    </row>
    <row r="269" spans="8:9" ht="14.25" customHeight="1" x14ac:dyDescent="0.25">
      <c r="H269" s="37"/>
      <c r="I269" s="37"/>
    </row>
    <row r="270" spans="8:9" ht="14.25" customHeight="1" x14ac:dyDescent="0.25">
      <c r="H270" s="37"/>
      <c r="I270" s="37"/>
    </row>
    <row r="271" spans="8:9" ht="14.25" customHeight="1" x14ac:dyDescent="0.25">
      <c r="H271" s="37"/>
      <c r="I271" s="37"/>
    </row>
    <row r="272" spans="8:9" ht="14.25" customHeight="1" x14ac:dyDescent="0.25">
      <c r="H272" s="37"/>
      <c r="I272" s="37"/>
    </row>
    <row r="273" spans="8:9" ht="14.25" customHeight="1" x14ac:dyDescent="0.25">
      <c r="H273" s="37"/>
      <c r="I273" s="37"/>
    </row>
    <row r="274" spans="8:9" ht="14.25" customHeight="1" x14ac:dyDescent="0.25">
      <c r="H274" s="37"/>
      <c r="I274" s="37"/>
    </row>
    <row r="275" spans="8:9" ht="14.25" customHeight="1" x14ac:dyDescent="0.25">
      <c r="H275" s="37"/>
      <c r="I275" s="37"/>
    </row>
    <row r="276" spans="8:9" ht="14.25" customHeight="1" x14ac:dyDescent="0.25">
      <c r="H276" s="37"/>
      <c r="I276" s="37"/>
    </row>
    <row r="277" spans="8:9" ht="14.25" customHeight="1" x14ac:dyDescent="0.25">
      <c r="H277" s="37"/>
      <c r="I277" s="37"/>
    </row>
    <row r="278" spans="8:9" ht="14.25" customHeight="1" x14ac:dyDescent="0.25">
      <c r="H278" s="37"/>
      <c r="I278" s="37"/>
    </row>
    <row r="279" spans="8:9" ht="14.25" customHeight="1" x14ac:dyDescent="0.25">
      <c r="H279" s="37"/>
      <c r="I279" s="37"/>
    </row>
    <row r="280" spans="8:9" ht="14.25" customHeight="1" x14ac:dyDescent="0.25">
      <c r="H280" s="37"/>
      <c r="I280" s="37"/>
    </row>
    <row r="281" spans="8:9" ht="14.25" customHeight="1" x14ac:dyDescent="0.25">
      <c r="H281" s="37"/>
      <c r="I281" s="37"/>
    </row>
    <row r="282" spans="8:9" ht="14.25" customHeight="1" x14ac:dyDescent="0.25">
      <c r="H282" s="37"/>
      <c r="I282" s="37"/>
    </row>
    <row r="283" spans="8:9" ht="14.25" customHeight="1" x14ac:dyDescent="0.25">
      <c r="H283" s="37"/>
      <c r="I283" s="37"/>
    </row>
    <row r="284" spans="8:9" ht="14.25" customHeight="1" x14ac:dyDescent="0.25">
      <c r="H284" s="37"/>
      <c r="I284" s="37"/>
    </row>
    <row r="285" spans="8:9" ht="14.25" customHeight="1" x14ac:dyDescent="0.25">
      <c r="H285" s="37"/>
      <c r="I285" s="37"/>
    </row>
    <row r="286" spans="8:9" ht="14.25" customHeight="1" x14ac:dyDescent="0.25">
      <c r="H286" s="37"/>
      <c r="I286" s="37"/>
    </row>
    <row r="287" spans="8:9" ht="14.25" customHeight="1" x14ac:dyDescent="0.25">
      <c r="H287" s="37"/>
      <c r="I287" s="37"/>
    </row>
    <row r="288" spans="8:9" ht="14.25" customHeight="1" x14ac:dyDescent="0.25">
      <c r="H288" s="37"/>
      <c r="I288" s="37"/>
    </row>
    <row r="289" spans="8:9" ht="14.25" customHeight="1" x14ac:dyDescent="0.25">
      <c r="H289" s="37"/>
      <c r="I289" s="37"/>
    </row>
    <row r="290" spans="8:9" ht="14.25" customHeight="1" x14ac:dyDescent="0.25">
      <c r="H290" s="37"/>
      <c r="I290" s="37"/>
    </row>
    <row r="291" spans="8:9" ht="14.25" customHeight="1" x14ac:dyDescent="0.25">
      <c r="H291" s="37"/>
      <c r="I291" s="37"/>
    </row>
    <row r="292" spans="8:9" ht="14.25" customHeight="1" x14ac:dyDescent="0.25">
      <c r="H292" s="37"/>
      <c r="I292" s="37"/>
    </row>
    <row r="293" spans="8:9" ht="14.25" customHeight="1" x14ac:dyDescent="0.25">
      <c r="H293" s="37"/>
      <c r="I293" s="37"/>
    </row>
    <row r="294" spans="8:9" ht="14.25" customHeight="1" x14ac:dyDescent="0.25">
      <c r="H294" s="37"/>
      <c r="I294" s="37"/>
    </row>
    <row r="295" spans="8:9" ht="14.25" customHeight="1" x14ac:dyDescent="0.25">
      <c r="H295" s="37"/>
      <c r="I295" s="37"/>
    </row>
    <row r="296" spans="8:9" ht="14.25" customHeight="1" x14ac:dyDescent="0.25">
      <c r="H296" s="37"/>
      <c r="I296" s="37"/>
    </row>
    <row r="297" spans="8:9" ht="14.25" customHeight="1" x14ac:dyDescent="0.25">
      <c r="H297" s="37"/>
      <c r="I297" s="37"/>
    </row>
    <row r="298" spans="8:9" ht="14.25" customHeight="1" x14ac:dyDescent="0.25">
      <c r="H298" s="37"/>
      <c r="I298" s="37"/>
    </row>
    <row r="299" spans="8:9" ht="14.25" customHeight="1" x14ac:dyDescent="0.25">
      <c r="H299" s="37"/>
      <c r="I299" s="37"/>
    </row>
    <row r="300" spans="8:9" ht="14.25" customHeight="1" x14ac:dyDescent="0.25">
      <c r="H300" s="37"/>
      <c r="I300" s="37"/>
    </row>
    <row r="301" spans="8:9" ht="14.25" customHeight="1" x14ac:dyDescent="0.25">
      <c r="H301" s="37"/>
      <c r="I301" s="37"/>
    </row>
    <row r="302" spans="8:9" ht="14.25" customHeight="1" x14ac:dyDescent="0.25">
      <c r="H302" s="37"/>
      <c r="I302" s="37"/>
    </row>
    <row r="303" spans="8:9" ht="14.25" customHeight="1" x14ac:dyDescent="0.25">
      <c r="H303" s="37"/>
      <c r="I303" s="37"/>
    </row>
    <row r="304" spans="8:9" ht="14.25" customHeight="1" x14ac:dyDescent="0.25">
      <c r="H304" s="37"/>
      <c r="I304" s="37"/>
    </row>
    <row r="305" spans="8:9" ht="14.25" customHeight="1" x14ac:dyDescent="0.25">
      <c r="H305" s="37"/>
      <c r="I305" s="37"/>
    </row>
    <row r="306" spans="8:9" ht="14.25" customHeight="1" x14ac:dyDescent="0.25">
      <c r="H306" s="37"/>
      <c r="I306" s="37"/>
    </row>
    <row r="307" spans="8:9" ht="14.25" customHeight="1" x14ac:dyDescent="0.25">
      <c r="H307" s="37"/>
      <c r="I307" s="37"/>
    </row>
    <row r="308" spans="8:9" ht="14.25" customHeight="1" x14ac:dyDescent="0.25">
      <c r="H308" s="37"/>
      <c r="I308" s="37"/>
    </row>
    <row r="309" spans="8:9" ht="14.25" customHeight="1" x14ac:dyDescent="0.25">
      <c r="H309" s="37"/>
      <c r="I309" s="37"/>
    </row>
    <row r="310" spans="8:9" ht="14.25" customHeight="1" x14ac:dyDescent="0.25">
      <c r="H310" s="37"/>
      <c r="I310" s="37"/>
    </row>
    <row r="311" spans="8:9" ht="14.25" customHeight="1" x14ac:dyDescent="0.25">
      <c r="H311" s="37"/>
      <c r="I311" s="37"/>
    </row>
    <row r="312" spans="8:9" ht="14.25" customHeight="1" x14ac:dyDescent="0.25">
      <c r="H312" s="37"/>
      <c r="I312" s="37"/>
    </row>
    <row r="313" spans="8:9" ht="14.25" customHeight="1" x14ac:dyDescent="0.25">
      <c r="H313" s="37"/>
      <c r="I313" s="37"/>
    </row>
    <row r="314" spans="8:9" ht="14.25" customHeight="1" x14ac:dyDescent="0.25">
      <c r="H314" s="37"/>
      <c r="I314" s="37"/>
    </row>
    <row r="315" spans="8:9" ht="14.25" customHeight="1" x14ac:dyDescent="0.25">
      <c r="H315" s="37"/>
      <c r="I315" s="37"/>
    </row>
    <row r="316" spans="8:9" ht="14.25" customHeight="1" x14ac:dyDescent="0.25">
      <c r="H316" s="37"/>
      <c r="I316" s="37"/>
    </row>
    <row r="317" spans="8:9" ht="14.25" customHeight="1" x14ac:dyDescent="0.25">
      <c r="H317" s="37"/>
      <c r="I317" s="37"/>
    </row>
    <row r="318" spans="8:9" ht="14.25" customHeight="1" x14ac:dyDescent="0.25">
      <c r="H318" s="37"/>
      <c r="I318" s="37"/>
    </row>
    <row r="319" spans="8:9" ht="14.25" customHeight="1" x14ac:dyDescent="0.25">
      <c r="H319" s="37"/>
      <c r="I319" s="37"/>
    </row>
    <row r="320" spans="8:9" ht="14.25" customHeight="1" x14ac:dyDescent="0.25">
      <c r="H320" s="37"/>
      <c r="I320" s="37"/>
    </row>
    <row r="321" spans="8:9" ht="14.25" customHeight="1" x14ac:dyDescent="0.25">
      <c r="H321" s="37"/>
      <c r="I321" s="37"/>
    </row>
    <row r="322" spans="8:9" ht="14.25" customHeight="1" x14ac:dyDescent="0.25">
      <c r="H322" s="37"/>
      <c r="I322" s="37"/>
    </row>
    <row r="323" spans="8:9" ht="14.25" customHeight="1" x14ac:dyDescent="0.25">
      <c r="H323" s="37"/>
      <c r="I323" s="37"/>
    </row>
    <row r="324" spans="8:9" ht="14.25" customHeight="1" x14ac:dyDescent="0.25">
      <c r="H324" s="37"/>
      <c r="I324" s="37"/>
    </row>
    <row r="325" spans="8:9" ht="14.25" customHeight="1" x14ac:dyDescent="0.25">
      <c r="H325" s="37"/>
      <c r="I325" s="37"/>
    </row>
    <row r="326" spans="8:9" ht="14.25" customHeight="1" x14ac:dyDescent="0.25">
      <c r="H326" s="37"/>
      <c r="I326" s="37"/>
    </row>
    <row r="327" spans="8:9" ht="14.25" customHeight="1" x14ac:dyDescent="0.25">
      <c r="H327" s="37"/>
      <c r="I327" s="37"/>
    </row>
    <row r="328" spans="8:9" ht="14.25" customHeight="1" x14ac:dyDescent="0.25">
      <c r="H328" s="37"/>
      <c r="I328" s="37"/>
    </row>
    <row r="329" spans="8:9" ht="14.25" customHeight="1" x14ac:dyDescent="0.25">
      <c r="H329" s="37"/>
      <c r="I329" s="37"/>
    </row>
    <row r="330" spans="8:9" ht="14.25" customHeight="1" x14ac:dyDescent="0.25">
      <c r="H330" s="37"/>
      <c r="I330" s="37"/>
    </row>
    <row r="331" spans="8:9" ht="14.25" customHeight="1" x14ac:dyDescent="0.25">
      <c r="H331" s="37"/>
      <c r="I331" s="37"/>
    </row>
    <row r="332" spans="8:9" ht="14.25" customHeight="1" x14ac:dyDescent="0.25">
      <c r="H332" s="37"/>
      <c r="I332" s="37"/>
    </row>
    <row r="333" spans="8:9" ht="14.25" customHeight="1" x14ac:dyDescent="0.25">
      <c r="H333" s="37"/>
      <c r="I333" s="37"/>
    </row>
    <row r="334" spans="8:9" ht="14.25" customHeight="1" x14ac:dyDescent="0.25">
      <c r="H334" s="37"/>
      <c r="I334" s="37"/>
    </row>
    <row r="335" spans="8:9" ht="14.25" customHeight="1" x14ac:dyDescent="0.25">
      <c r="H335" s="37"/>
      <c r="I335" s="37"/>
    </row>
    <row r="336" spans="8:9" ht="14.25" customHeight="1" x14ac:dyDescent="0.25">
      <c r="H336" s="37"/>
      <c r="I336" s="37"/>
    </row>
    <row r="337" spans="8:9" ht="14.25" customHeight="1" x14ac:dyDescent="0.25">
      <c r="H337" s="37"/>
      <c r="I337" s="37"/>
    </row>
    <row r="338" spans="8:9" ht="14.25" customHeight="1" x14ac:dyDescent="0.25">
      <c r="H338" s="37"/>
      <c r="I338" s="37"/>
    </row>
    <row r="339" spans="8:9" ht="14.25" customHeight="1" x14ac:dyDescent="0.25">
      <c r="H339" s="37"/>
      <c r="I339" s="37"/>
    </row>
    <row r="340" spans="8:9" ht="14.25" customHeight="1" x14ac:dyDescent="0.25">
      <c r="H340" s="37"/>
      <c r="I340" s="37"/>
    </row>
    <row r="341" spans="8:9" ht="14.25" customHeight="1" x14ac:dyDescent="0.25">
      <c r="H341" s="37"/>
      <c r="I341" s="37"/>
    </row>
    <row r="342" spans="8:9" ht="14.25" customHeight="1" x14ac:dyDescent="0.25">
      <c r="H342" s="37"/>
      <c r="I342" s="37"/>
    </row>
    <row r="343" spans="8:9" ht="14.25" customHeight="1" x14ac:dyDescent="0.25">
      <c r="H343" s="37"/>
      <c r="I343" s="37"/>
    </row>
    <row r="344" spans="8:9" ht="14.25" customHeight="1" x14ac:dyDescent="0.25">
      <c r="H344" s="37"/>
      <c r="I344" s="37"/>
    </row>
    <row r="345" spans="8:9" ht="14.25" customHeight="1" x14ac:dyDescent="0.25">
      <c r="H345" s="37"/>
      <c r="I345" s="37"/>
    </row>
    <row r="346" spans="8:9" ht="14.25" customHeight="1" x14ac:dyDescent="0.25">
      <c r="H346" s="37"/>
      <c r="I346" s="37"/>
    </row>
    <row r="347" spans="8:9" ht="14.25" customHeight="1" x14ac:dyDescent="0.25">
      <c r="H347" s="37"/>
      <c r="I347" s="37"/>
    </row>
    <row r="348" spans="8:9" ht="14.25" customHeight="1" x14ac:dyDescent="0.25">
      <c r="H348" s="37"/>
      <c r="I348" s="37"/>
    </row>
    <row r="349" spans="8:9" ht="14.25" customHeight="1" x14ac:dyDescent="0.25">
      <c r="H349" s="37"/>
      <c r="I349" s="37"/>
    </row>
    <row r="350" spans="8:9" ht="14.25" customHeight="1" x14ac:dyDescent="0.25">
      <c r="H350" s="37"/>
      <c r="I350" s="37"/>
    </row>
    <row r="351" spans="8:9" ht="14.25" customHeight="1" x14ac:dyDescent="0.25">
      <c r="H351" s="37"/>
      <c r="I351" s="37"/>
    </row>
    <row r="352" spans="8:9" ht="14.25" customHeight="1" x14ac:dyDescent="0.25">
      <c r="H352" s="37"/>
      <c r="I352" s="37"/>
    </row>
    <row r="353" spans="8:9" ht="14.25" customHeight="1" x14ac:dyDescent="0.25">
      <c r="H353" s="37"/>
      <c r="I353" s="37"/>
    </row>
    <row r="354" spans="8:9" ht="14.25" customHeight="1" x14ac:dyDescent="0.25">
      <c r="H354" s="37"/>
      <c r="I354" s="37"/>
    </row>
    <row r="355" spans="8:9" ht="14.25" customHeight="1" x14ac:dyDescent="0.25">
      <c r="H355" s="37"/>
      <c r="I355" s="37"/>
    </row>
    <row r="356" spans="8:9" ht="14.25" customHeight="1" x14ac:dyDescent="0.25">
      <c r="H356" s="37"/>
      <c r="I356" s="37"/>
    </row>
    <row r="357" spans="8:9" ht="14.25" customHeight="1" x14ac:dyDescent="0.25">
      <c r="H357" s="37"/>
      <c r="I357" s="37"/>
    </row>
    <row r="358" spans="8:9" ht="14.25" customHeight="1" x14ac:dyDescent="0.25">
      <c r="H358" s="37"/>
      <c r="I358" s="37"/>
    </row>
    <row r="359" spans="8:9" ht="14.25" customHeight="1" x14ac:dyDescent="0.25">
      <c r="H359" s="37"/>
      <c r="I359" s="37"/>
    </row>
    <row r="360" spans="8:9" ht="14.25" customHeight="1" x14ac:dyDescent="0.25">
      <c r="H360" s="37"/>
      <c r="I360" s="37"/>
    </row>
    <row r="361" spans="8:9" ht="14.25" customHeight="1" x14ac:dyDescent="0.25">
      <c r="H361" s="37"/>
      <c r="I361" s="37"/>
    </row>
    <row r="362" spans="8:9" ht="14.25" customHeight="1" x14ac:dyDescent="0.25">
      <c r="H362" s="37"/>
      <c r="I362" s="37"/>
    </row>
    <row r="363" spans="8:9" ht="14.25" customHeight="1" x14ac:dyDescent="0.25">
      <c r="H363" s="37"/>
      <c r="I363" s="37"/>
    </row>
    <row r="364" spans="8:9" ht="14.25" customHeight="1" x14ac:dyDescent="0.25">
      <c r="H364" s="37"/>
      <c r="I364" s="37"/>
    </row>
    <row r="365" spans="8:9" ht="14.25" customHeight="1" x14ac:dyDescent="0.25">
      <c r="H365" s="37"/>
      <c r="I365" s="37"/>
    </row>
    <row r="366" spans="8:9" ht="14.25" customHeight="1" x14ac:dyDescent="0.25">
      <c r="H366" s="37"/>
      <c r="I366" s="37"/>
    </row>
    <row r="367" spans="8:9" ht="14.25" customHeight="1" x14ac:dyDescent="0.25">
      <c r="H367" s="37"/>
      <c r="I367" s="37"/>
    </row>
    <row r="368" spans="8:9" ht="14.25" customHeight="1" x14ac:dyDescent="0.25">
      <c r="H368" s="37"/>
      <c r="I368" s="37"/>
    </row>
    <row r="369" spans="8:9" ht="14.25" customHeight="1" x14ac:dyDescent="0.25">
      <c r="H369" s="37"/>
      <c r="I369" s="37"/>
    </row>
    <row r="370" spans="8:9" ht="14.25" customHeight="1" x14ac:dyDescent="0.25">
      <c r="H370" s="37"/>
      <c r="I370" s="37"/>
    </row>
    <row r="371" spans="8:9" ht="14.25" customHeight="1" x14ac:dyDescent="0.25">
      <c r="H371" s="37"/>
      <c r="I371" s="37"/>
    </row>
    <row r="372" spans="8:9" ht="14.25" customHeight="1" x14ac:dyDescent="0.25">
      <c r="H372" s="37"/>
      <c r="I372" s="37"/>
    </row>
    <row r="373" spans="8:9" ht="14.25" customHeight="1" x14ac:dyDescent="0.25">
      <c r="H373" s="37"/>
      <c r="I373" s="37"/>
    </row>
    <row r="374" spans="8:9" ht="14.25" customHeight="1" x14ac:dyDescent="0.25">
      <c r="H374" s="37"/>
      <c r="I374" s="37"/>
    </row>
    <row r="375" spans="8:9" ht="14.25" customHeight="1" x14ac:dyDescent="0.25">
      <c r="H375" s="37"/>
      <c r="I375" s="37"/>
    </row>
    <row r="376" spans="8:9" ht="14.25" customHeight="1" x14ac:dyDescent="0.25">
      <c r="H376" s="37"/>
      <c r="I376" s="37"/>
    </row>
    <row r="377" spans="8:9" ht="14.25" customHeight="1" x14ac:dyDescent="0.25">
      <c r="H377" s="37"/>
      <c r="I377" s="37"/>
    </row>
    <row r="378" spans="8:9" ht="14.25" customHeight="1" x14ac:dyDescent="0.25">
      <c r="H378" s="37"/>
      <c r="I378" s="37"/>
    </row>
    <row r="379" spans="8:9" ht="14.25" customHeight="1" x14ac:dyDescent="0.25">
      <c r="H379" s="37"/>
      <c r="I379" s="37"/>
    </row>
    <row r="380" spans="8:9" ht="14.25" customHeight="1" x14ac:dyDescent="0.25">
      <c r="H380" s="37"/>
      <c r="I380" s="37"/>
    </row>
    <row r="381" spans="8:9" ht="14.25" customHeight="1" x14ac:dyDescent="0.25">
      <c r="H381" s="37"/>
      <c r="I381" s="37"/>
    </row>
    <row r="382" spans="8:9" ht="14.25" customHeight="1" x14ac:dyDescent="0.25">
      <c r="H382" s="37"/>
      <c r="I382" s="37"/>
    </row>
    <row r="383" spans="8:9" ht="14.25" customHeight="1" x14ac:dyDescent="0.25">
      <c r="H383" s="37"/>
      <c r="I383" s="37"/>
    </row>
    <row r="384" spans="8:9" ht="14.25" customHeight="1" x14ac:dyDescent="0.25">
      <c r="H384" s="37"/>
      <c r="I384" s="37"/>
    </row>
    <row r="385" spans="8:9" ht="14.25" customHeight="1" x14ac:dyDescent="0.25">
      <c r="H385" s="37"/>
      <c r="I385" s="37"/>
    </row>
    <row r="386" spans="8:9" ht="14.25" customHeight="1" x14ac:dyDescent="0.25">
      <c r="H386" s="37"/>
      <c r="I386" s="37"/>
    </row>
    <row r="387" spans="8:9" ht="14.25" customHeight="1" x14ac:dyDescent="0.25">
      <c r="H387" s="37"/>
      <c r="I387" s="37"/>
    </row>
    <row r="388" spans="8:9" ht="14.25" customHeight="1" x14ac:dyDescent="0.25">
      <c r="H388" s="37"/>
      <c r="I388" s="37"/>
    </row>
    <row r="389" spans="8:9" ht="14.25" customHeight="1" x14ac:dyDescent="0.25">
      <c r="H389" s="37"/>
      <c r="I389" s="37"/>
    </row>
    <row r="390" spans="8:9" ht="14.25" customHeight="1" x14ac:dyDescent="0.25">
      <c r="H390" s="37"/>
      <c r="I390" s="37"/>
    </row>
    <row r="391" spans="8:9" ht="14.25" customHeight="1" x14ac:dyDescent="0.25">
      <c r="H391" s="37"/>
      <c r="I391" s="37"/>
    </row>
    <row r="392" spans="8:9" ht="14.25" customHeight="1" x14ac:dyDescent="0.25">
      <c r="H392" s="37"/>
      <c r="I392" s="37"/>
    </row>
    <row r="393" spans="8:9" ht="14.25" customHeight="1" x14ac:dyDescent="0.25">
      <c r="H393" s="37"/>
      <c r="I393" s="37"/>
    </row>
    <row r="394" spans="8:9" ht="14.25" customHeight="1" x14ac:dyDescent="0.25">
      <c r="H394" s="37"/>
      <c r="I394" s="37"/>
    </row>
    <row r="395" spans="8:9" ht="14.25" customHeight="1" x14ac:dyDescent="0.25">
      <c r="H395" s="37"/>
      <c r="I395" s="37"/>
    </row>
    <row r="396" spans="8:9" ht="14.25" customHeight="1" x14ac:dyDescent="0.25">
      <c r="H396" s="37"/>
      <c r="I396" s="37"/>
    </row>
    <row r="397" spans="8:9" ht="14.25" customHeight="1" x14ac:dyDescent="0.25">
      <c r="H397" s="37"/>
      <c r="I397" s="37"/>
    </row>
    <row r="398" spans="8:9" ht="14.25" customHeight="1" x14ac:dyDescent="0.25">
      <c r="H398" s="37"/>
      <c r="I398" s="37"/>
    </row>
    <row r="399" spans="8:9" ht="14.25" customHeight="1" x14ac:dyDescent="0.25">
      <c r="H399" s="37"/>
      <c r="I399" s="37"/>
    </row>
    <row r="400" spans="8:9" ht="14.25" customHeight="1" x14ac:dyDescent="0.25">
      <c r="H400" s="37"/>
      <c r="I400" s="37"/>
    </row>
    <row r="401" spans="8:9" ht="14.25" customHeight="1" x14ac:dyDescent="0.25">
      <c r="H401" s="37"/>
      <c r="I401" s="37"/>
    </row>
    <row r="402" spans="8:9" ht="14.25" customHeight="1" x14ac:dyDescent="0.25">
      <c r="H402" s="37"/>
      <c r="I402" s="37"/>
    </row>
    <row r="403" spans="8:9" ht="14.25" customHeight="1" x14ac:dyDescent="0.25">
      <c r="H403" s="37"/>
      <c r="I403" s="37"/>
    </row>
    <row r="404" spans="8:9" ht="14.25" customHeight="1" x14ac:dyDescent="0.25">
      <c r="H404" s="37"/>
      <c r="I404" s="37"/>
    </row>
    <row r="405" spans="8:9" ht="14.25" customHeight="1" x14ac:dyDescent="0.25">
      <c r="H405" s="37"/>
      <c r="I405" s="37"/>
    </row>
    <row r="406" spans="8:9" ht="14.25" customHeight="1" x14ac:dyDescent="0.25">
      <c r="H406" s="37"/>
      <c r="I406" s="37"/>
    </row>
    <row r="407" spans="8:9" ht="14.25" customHeight="1" x14ac:dyDescent="0.25">
      <c r="H407" s="37"/>
      <c r="I407" s="37"/>
    </row>
    <row r="408" spans="8:9" ht="14.25" customHeight="1" x14ac:dyDescent="0.25">
      <c r="H408" s="37"/>
      <c r="I408" s="37"/>
    </row>
    <row r="409" spans="8:9" ht="14.25" customHeight="1" x14ac:dyDescent="0.25">
      <c r="H409" s="37"/>
      <c r="I409" s="37"/>
    </row>
    <row r="410" spans="8:9" ht="14.25" customHeight="1" x14ac:dyDescent="0.25">
      <c r="H410" s="37"/>
      <c r="I410" s="37"/>
    </row>
    <row r="411" spans="8:9" ht="14.25" customHeight="1" x14ac:dyDescent="0.25">
      <c r="H411" s="37"/>
      <c r="I411" s="37"/>
    </row>
    <row r="412" spans="8:9" ht="14.25" customHeight="1" x14ac:dyDescent="0.25">
      <c r="H412" s="37"/>
      <c r="I412" s="37"/>
    </row>
    <row r="413" spans="8:9" ht="14.25" customHeight="1" x14ac:dyDescent="0.25">
      <c r="H413" s="37"/>
      <c r="I413" s="37"/>
    </row>
    <row r="414" spans="8:9" ht="14.25" customHeight="1" x14ac:dyDescent="0.25">
      <c r="H414" s="37"/>
      <c r="I414" s="37"/>
    </row>
    <row r="415" spans="8:9" ht="14.25" customHeight="1" x14ac:dyDescent="0.25">
      <c r="H415" s="37"/>
      <c r="I415" s="37"/>
    </row>
    <row r="416" spans="8:9" ht="14.25" customHeight="1" x14ac:dyDescent="0.25">
      <c r="H416" s="37"/>
      <c r="I416" s="37"/>
    </row>
    <row r="417" spans="8:9" ht="14.25" customHeight="1" x14ac:dyDescent="0.25">
      <c r="H417" s="37"/>
      <c r="I417" s="37"/>
    </row>
    <row r="418" spans="8:9" ht="14.25" customHeight="1" x14ac:dyDescent="0.25">
      <c r="H418" s="37"/>
      <c r="I418" s="37"/>
    </row>
    <row r="419" spans="8:9" ht="14.25" customHeight="1" x14ac:dyDescent="0.25">
      <c r="H419" s="37"/>
      <c r="I419" s="37"/>
    </row>
    <row r="420" spans="8:9" ht="14.25" customHeight="1" x14ac:dyDescent="0.25">
      <c r="H420" s="37"/>
      <c r="I420" s="37"/>
    </row>
    <row r="421" spans="8:9" ht="14.25" customHeight="1" x14ac:dyDescent="0.25">
      <c r="H421" s="37"/>
      <c r="I421" s="37"/>
    </row>
    <row r="422" spans="8:9" ht="14.25" customHeight="1" x14ac:dyDescent="0.25">
      <c r="H422" s="37"/>
      <c r="I422" s="37"/>
    </row>
    <row r="423" spans="8:9" ht="14.25" customHeight="1" x14ac:dyDescent="0.25">
      <c r="H423" s="37"/>
      <c r="I423" s="37"/>
    </row>
    <row r="424" spans="8:9" ht="14.25" customHeight="1" x14ac:dyDescent="0.25">
      <c r="H424" s="37"/>
      <c r="I424" s="37"/>
    </row>
    <row r="425" spans="8:9" ht="14.25" customHeight="1" x14ac:dyDescent="0.25">
      <c r="H425" s="37"/>
      <c r="I425" s="37"/>
    </row>
    <row r="426" spans="8:9" ht="14.25" customHeight="1" x14ac:dyDescent="0.25">
      <c r="H426" s="37"/>
      <c r="I426" s="37"/>
    </row>
    <row r="427" spans="8:9" ht="14.25" customHeight="1" x14ac:dyDescent="0.25">
      <c r="H427" s="37"/>
      <c r="I427" s="37"/>
    </row>
    <row r="428" spans="8:9" ht="14.25" customHeight="1" x14ac:dyDescent="0.25">
      <c r="H428" s="37"/>
      <c r="I428" s="37"/>
    </row>
    <row r="429" spans="8:9" ht="14.25" customHeight="1" x14ac:dyDescent="0.25">
      <c r="H429" s="37"/>
      <c r="I429" s="37"/>
    </row>
    <row r="430" spans="8:9" ht="14.25" customHeight="1" x14ac:dyDescent="0.25">
      <c r="H430" s="37"/>
      <c r="I430" s="37"/>
    </row>
    <row r="431" spans="8:9" ht="14.25" customHeight="1" x14ac:dyDescent="0.25">
      <c r="H431" s="37"/>
      <c r="I431" s="37"/>
    </row>
    <row r="432" spans="8:9" ht="14.25" customHeight="1" x14ac:dyDescent="0.25">
      <c r="H432" s="37"/>
      <c r="I432" s="37"/>
    </row>
    <row r="433" spans="8:9" ht="14.25" customHeight="1" x14ac:dyDescent="0.25">
      <c r="H433" s="37"/>
      <c r="I433" s="37"/>
    </row>
    <row r="434" spans="8:9" ht="14.25" customHeight="1" x14ac:dyDescent="0.25">
      <c r="H434" s="37"/>
      <c r="I434" s="37"/>
    </row>
    <row r="435" spans="8:9" ht="14.25" customHeight="1" x14ac:dyDescent="0.25">
      <c r="H435" s="37"/>
      <c r="I435" s="37"/>
    </row>
    <row r="436" spans="8:9" ht="14.25" customHeight="1" x14ac:dyDescent="0.25">
      <c r="H436" s="37"/>
      <c r="I436" s="37"/>
    </row>
    <row r="437" spans="8:9" ht="14.25" customHeight="1" x14ac:dyDescent="0.25">
      <c r="H437" s="37"/>
      <c r="I437" s="37"/>
    </row>
    <row r="438" spans="8:9" ht="14.25" customHeight="1" x14ac:dyDescent="0.25">
      <c r="H438" s="37"/>
      <c r="I438" s="37"/>
    </row>
    <row r="439" spans="8:9" ht="14.25" customHeight="1" x14ac:dyDescent="0.25">
      <c r="H439" s="37"/>
      <c r="I439" s="37"/>
    </row>
    <row r="440" spans="8:9" ht="14.25" customHeight="1" x14ac:dyDescent="0.25">
      <c r="H440" s="37"/>
      <c r="I440" s="37"/>
    </row>
    <row r="441" spans="8:9" ht="14.25" customHeight="1" x14ac:dyDescent="0.25">
      <c r="H441" s="37"/>
      <c r="I441" s="37"/>
    </row>
    <row r="442" spans="8:9" ht="14.25" customHeight="1" x14ac:dyDescent="0.25">
      <c r="H442" s="37"/>
      <c r="I442" s="37"/>
    </row>
    <row r="443" spans="8:9" ht="14.25" customHeight="1" x14ac:dyDescent="0.25">
      <c r="H443" s="37"/>
      <c r="I443" s="37"/>
    </row>
    <row r="444" spans="8:9" ht="14.25" customHeight="1" x14ac:dyDescent="0.25">
      <c r="H444" s="37"/>
      <c r="I444" s="37"/>
    </row>
    <row r="445" spans="8:9" ht="14.25" customHeight="1" x14ac:dyDescent="0.25">
      <c r="H445" s="37"/>
      <c r="I445" s="37"/>
    </row>
    <row r="446" spans="8:9" ht="14.25" customHeight="1" x14ac:dyDescent="0.25">
      <c r="H446" s="37"/>
      <c r="I446" s="37"/>
    </row>
    <row r="447" spans="8:9" ht="14.25" customHeight="1" x14ac:dyDescent="0.25">
      <c r="H447" s="37"/>
      <c r="I447" s="37"/>
    </row>
    <row r="448" spans="8:9" ht="14.25" customHeight="1" x14ac:dyDescent="0.25">
      <c r="H448" s="37"/>
      <c r="I448" s="37"/>
    </row>
    <row r="449" spans="8:9" ht="14.25" customHeight="1" x14ac:dyDescent="0.25">
      <c r="H449" s="37"/>
      <c r="I449" s="37"/>
    </row>
    <row r="450" spans="8:9" ht="14.25" customHeight="1" x14ac:dyDescent="0.25">
      <c r="H450" s="37"/>
      <c r="I450" s="37"/>
    </row>
    <row r="451" spans="8:9" ht="14.25" customHeight="1" x14ac:dyDescent="0.25">
      <c r="H451" s="37"/>
      <c r="I451" s="37"/>
    </row>
    <row r="452" spans="8:9" ht="14.25" customHeight="1" x14ac:dyDescent="0.25">
      <c r="H452" s="37"/>
      <c r="I452" s="37"/>
    </row>
    <row r="453" spans="8:9" ht="14.25" customHeight="1" x14ac:dyDescent="0.25">
      <c r="H453" s="37"/>
      <c r="I453" s="37"/>
    </row>
    <row r="454" spans="8:9" ht="14.25" customHeight="1" x14ac:dyDescent="0.25">
      <c r="H454" s="37"/>
      <c r="I454" s="37"/>
    </row>
    <row r="455" spans="8:9" ht="14.25" customHeight="1" x14ac:dyDescent="0.25">
      <c r="H455" s="37"/>
      <c r="I455" s="37"/>
    </row>
    <row r="456" spans="8:9" ht="14.25" customHeight="1" x14ac:dyDescent="0.25">
      <c r="H456" s="37"/>
      <c r="I456" s="37"/>
    </row>
    <row r="457" spans="8:9" ht="14.25" customHeight="1" x14ac:dyDescent="0.25">
      <c r="H457" s="37"/>
      <c r="I457" s="37"/>
    </row>
    <row r="458" spans="8:9" ht="14.25" customHeight="1" x14ac:dyDescent="0.25">
      <c r="H458" s="37"/>
      <c r="I458" s="37"/>
    </row>
    <row r="459" spans="8:9" ht="14.25" customHeight="1" x14ac:dyDescent="0.25">
      <c r="H459" s="37"/>
      <c r="I459" s="37"/>
    </row>
    <row r="460" spans="8:9" ht="14.25" customHeight="1" x14ac:dyDescent="0.25">
      <c r="H460" s="37"/>
      <c r="I460" s="37"/>
    </row>
    <row r="461" spans="8:9" ht="14.25" customHeight="1" x14ac:dyDescent="0.25">
      <c r="H461" s="37"/>
      <c r="I461" s="37"/>
    </row>
    <row r="462" spans="8:9" ht="14.25" customHeight="1" x14ac:dyDescent="0.25">
      <c r="H462" s="37"/>
      <c r="I462" s="37"/>
    </row>
    <row r="463" spans="8:9" ht="14.25" customHeight="1" x14ac:dyDescent="0.25">
      <c r="H463" s="37"/>
      <c r="I463" s="37"/>
    </row>
    <row r="464" spans="8:9" ht="14.25" customHeight="1" x14ac:dyDescent="0.25">
      <c r="H464" s="37"/>
      <c r="I464" s="37"/>
    </row>
    <row r="465" spans="8:9" ht="14.25" customHeight="1" x14ac:dyDescent="0.25">
      <c r="H465" s="37"/>
      <c r="I465" s="37"/>
    </row>
    <row r="466" spans="8:9" ht="14.25" customHeight="1" x14ac:dyDescent="0.25">
      <c r="H466" s="37"/>
      <c r="I466" s="37"/>
    </row>
    <row r="467" spans="8:9" ht="14.25" customHeight="1" x14ac:dyDescent="0.25">
      <c r="H467" s="37"/>
      <c r="I467" s="37"/>
    </row>
    <row r="468" spans="8:9" ht="14.25" customHeight="1" x14ac:dyDescent="0.25">
      <c r="H468" s="37"/>
      <c r="I468" s="37"/>
    </row>
    <row r="469" spans="8:9" ht="14.25" customHeight="1" x14ac:dyDescent="0.25">
      <c r="H469" s="37"/>
      <c r="I469" s="37"/>
    </row>
    <row r="470" spans="8:9" ht="14.25" customHeight="1" x14ac:dyDescent="0.25">
      <c r="H470" s="37"/>
      <c r="I470" s="37"/>
    </row>
    <row r="471" spans="8:9" ht="14.25" customHeight="1" x14ac:dyDescent="0.25">
      <c r="H471" s="37"/>
      <c r="I471" s="37"/>
    </row>
    <row r="472" spans="8:9" ht="14.25" customHeight="1" x14ac:dyDescent="0.25">
      <c r="H472" s="37"/>
      <c r="I472" s="37"/>
    </row>
    <row r="473" spans="8:9" ht="14.25" customHeight="1" x14ac:dyDescent="0.25">
      <c r="H473" s="37"/>
      <c r="I473" s="37"/>
    </row>
    <row r="474" spans="8:9" ht="14.25" customHeight="1" x14ac:dyDescent="0.25">
      <c r="H474" s="37"/>
      <c r="I474" s="37"/>
    </row>
    <row r="475" spans="8:9" ht="14.25" customHeight="1" x14ac:dyDescent="0.25">
      <c r="H475" s="37"/>
      <c r="I475" s="37"/>
    </row>
    <row r="476" spans="8:9" ht="14.25" customHeight="1" x14ac:dyDescent="0.25">
      <c r="H476" s="37"/>
      <c r="I476" s="37"/>
    </row>
    <row r="477" spans="8:9" ht="14.25" customHeight="1" x14ac:dyDescent="0.25">
      <c r="H477" s="37"/>
      <c r="I477" s="37"/>
    </row>
    <row r="478" spans="8:9" ht="14.25" customHeight="1" x14ac:dyDescent="0.25">
      <c r="H478" s="37"/>
      <c r="I478" s="37"/>
    </row>
    <row r="479" spans="8:9" ht="14.25" customHeight="1" x14ac:dyDescent="0.25">
      <c r="H479" s="37"/>
      <c r="I479" s="37"/>
    </row>
    <row r="480" spans="8:9" ht="14.25" customHeight="1" x14ac:dyDescent="0.25">
      <c r="H480" s="37"/>
      <c r="I480" s="37"/>
    </row>
    <row r="481" spans="8:9" ht="14.25" customHeight="1" x14ac:dyDescent="0.25">
      <c r="H481" s="37"/>
      <c r="I481" s="37"/>
    </row>
    <row r="482" spans="8:9" ht="14.25" customHeight="1" x14ac:dyDescent="0.25">
      <c r="H482" s="37"/>
      <c r="I482" s="37"/>
    </row>
    <row r="483" spans="8:9" ht="14.25" customHeight="1" x14ac:dyDescent="0.25">
      <c r="H483" s="37"/>
      <c r="I483" s="37"/>
    </row>
    <row r="484" spans="8:9" ht="14.25" customHeight="1" x14ac:dyDescent="0.25">
      <c r="H484" s="37"/>
      <c r="I484" s="37"/>
    </row>
    <row r="485" spans="8:9" ht="14.25" customHeight="1" x14ac:dyDescent="0.25">
      <c r="H485" s="37"/>
      <c r="I485" s="37"/>
    </row>
    <row r="486" spans="8:9" ht="14.25" customHeight="1" x14ac:dyDescent="0.25">
      <c r="H486" s="37"/>
      <c r="I486" s="37"/>
    </row>
    <row r="487" spans="8:9" ht="14.25" customHeight="1" x14ac:dyDescent="0.25">
      <c r="H487" s="37"/>
      <c r="I487" s="37"/>
    </row>
    <row r="488" spans="8:9" ht="14.25" customHeight="1" x14ac:dyDescent="0.25">
      <c r="H488" s="37"/>
      <c r="I488" s="37"/>
    </row>
    <row r="489" spans="8:9" ht="14.25" customHeight="1" x14ac:dyDescent="0.25">
      <c r="H489" s="37"/>
      <c r="I489" s="37"/>
    </row>
    <row r="490" spans="8:9" ht="14.25" customHeight="1" x14ac:dyDescent="0.25">
      <c r="H490" s="37"/>
      <c r="I490" s="37"/>
    </row>
    <row r="491" spans="8:9" ht="14.25" customHeight="1" x14ac:dyDescent="0.25">
      <c r="H491" s="37"/>
      <c r="I491" s="37"/>
    </row>
    <row r="492" spans="8:9" ht="14.25" customHeight="1" x14ac:dyDescent="0.25">
      <c r="H492" s="37"/>
      <c r="I492" s="37"/>
    </row>
    <row r="493" spans="8:9" ht="14.25" customHeight="1" x14ac:dyDescent="0.25">
      <c r="H493" s="37"/>
      <c r="I493" s="37"/>
    </row>
    <row r="494" spans="8:9" ht="14.25" customHeight="1" x14ac:dyDescent="0.25">
      <c r="H494" s="37"/>
      <c r="I494" s="37"/>
    </row>
    <row r="495" spans="8:9" ht="14.25" customHeight="1" x14ac:dyDescent="0.25">
      <c r="H495" s="37"/>
      <c r="I495" s="37"/>
    </row>
    <row r="496" spans="8:9" ht="14.25" customHeight="1" x14ac:dyDescent="0.25">
      <c r="H496" s="37"/>
      <c r="I496" s="37"/>
    </row>
    <row r="497" spans="8:9" ht="14.25" customHeight="1" x14ac:dyDescent="0.25">
      <c r="H497" s="37"/>
      <c r="I497" s="37"/>
    </row>
    <row r="498" spans="8:9" ht="14.25" customHeight="1" x14ac:dyDescent="0.25">
      <c r="H498" s="37"/>
      <c r="I498" s="37"/>
    </row>
    <row r="499" spans="8:9" ht="14.25" customHeight="1" x14ac:dyDescent="0.25">
      <c r="H499" s="37"/>
      <c r="I499" s="37"/>
    </row>
    <row r="500" spans="8:9" ht="14.25" customHeight="1" x14ac:dyDescent="0.25">
      <c r="H500" s="37"/>
      <c r="I500" s="37"/>
    </row>
    <row r="501" spans="8:9" ht="14.25" customHeight="1" x14ac:dyDescent="0.25">
      <c r="H501" s="37"/>
      <c r="I501" s="37"/>
    </row>
    <row r="502" spans="8:9" ht="14.25" customHeight="1" x14ac:dyDescent="0.25">
      <c r="H502" s="37"/>
      <c r="I502" s="37"/>
    </row>
    <row r="503" spans="8:9" ht="14.25" customHeight="1" x14ac:dyDescent="0.25">
      <c r="H503" s="37"/>
      <c r="I503" s="37"/>
    </row>
    <row r="504" spans="8:9" ht="14.25" customHeight="1" x14ac:dyDescent="0.25">
      <c r="H504" s="37"/>
      <c r="I504" s="37"/>
    </row>
    <row r="505" spans="8:9" ht="14.25" customHeight="1" x14ac:dyDescent="0.25">
      <c r="H505" s="37"/>
      <c r="I505" s="37"/>
    </row>
    <row r="506" spans="8:9" ht="14.25" customHeight="1" x14ac:dyDescent="0.25">
      <c r="H506" s="37"/>
      <c r="I506" s="37"/>
    </row>
    <row r="507" spans="8:9" ht="14.25" customHeight="1" x14ac:dyDescent="0.25">
      <c r="H507" s="37"/>
      <c r="I507" s="37"/>
    </row>
    <row r="508" spans="8:9" ht="14.25" customHeight="1" x14ac:dyDescent="0.25">
      <c r="H508" s="37"/>
      <c r="I508" s="37"/>
    </row>
    <row r="509" spans="8:9" ht="14.25" customHeight="1" x14ac:dyDescent="0.25">
      <c r="H509" s="37"/>
      <c r="I509" s="37"/>
    </row>
    <row r="510" spans="8:9" ht="14.25" customHeight="1" x14ac:dyDescent="0.25">
      <c r="H510" s="37"/>
      <c r="I510" s="37"/>
    </row>
    <row r="511" spans="8:9" ht="14.25" customHeight="1" x14ac:dyDescent="0.25">
      <c r="H511" s="37"/>
      <c r="I511" s="37"/>
    </row>
    <row r="512" spans="8:9" ht="14.25" customHeight="1" x14ac:dyDescent="0.25">
      <c r="H512" s="37"/>
      <c r="I512" s="37"/>
    </row>
    <row r="513" spans="8:9" ht="14.25" customHeight="1" x14ac:dyDescent="0.25">
      <c r="H513" s="37"/>
      <c r="I513" s="37"/>
    </row>
    <row r="514" spans="8:9" ht="14.25" customHeight="1" x14ac:dyDescent="0.25">
      <c r="H514" s="37"/>
      <c r="I514" s="37"/>
    </row>
    <row r="515" spans="8:9" ht="14.25" customHeight="1" x14ac:dyDescent="0.25">
      <c r="H515" s="37"/>
      <c r="I515" s="37"/>
    </row>
    <row r="516" spans="8:9" ht="14.25" customHeight="1" x14ac:dyDescent="0.25">
      <c r="H516" s="37"/>
      <c r="I516" s="37"/>
    </row>
    <row r="517" spans="8:9" ht="14.25" customHeight="1" x14ac:dyDescent="0.25">
      <c r="H517" s="37"/>
      <c r="I517" s="37"/>
    </row>
    <row r="518" spans="8:9" ht="14.25" customHeight="1" x14ac:dyDescent="0.25">
      <c r="H518" s="37"/>
      <c r="I518" s="37"/>
    </row>
    <row r="519" spans="8:9" ht="14.25" customHeight="1" x14ac:dyDescent="0.25">
      <c r="H519" s="37"/>
      <c r="I519" s="37"/>
    </row>
    <row r="520" spans="8:9" ht="14.25" customHeight="1" x14ac:dyDescent="0.25">
      <c r="H520" s="37"/>
      <c r="I520" s="37"/>
    </row>
    <row r="521" spans="8:9" ht="14.25" customHeight="1" x14ac:dyDescent="0.25">
      <c r="H521" s="37"/>
      <c r="I521" s="37"/>
    </row>
    <row r="522" spans="8:9" ht="14.25" customHeight="1" x14ac:dyDescent="0.25">
      <c r="H522" s="37"/>
      <c r="I522" s="37"/>
    </row>
    <row r="523" spans="8:9" ht="14.25" customHeight="1" x14ac:dyDescent="0.25">
      <c r="H523" s="37"/>
      <c r="I523" s="37"/>
    </row>
    <row r="524" spans="8:9" ht="14.25" customHeight="1" x14ac:dyDescent="0.25">
      <c r="H524" s="37"/>
      <c r="I524" s="37"/>
    </row>
    <row r="525" spans="8:9" ht="14.25" customHeight="1" x14ac:dyDescent="0.25">
      <c r="H525" s="37"/>
      <c r="I525" s="37"/>
    </row>
    <row r="526" spans="8:9" ht="14.25" customHeight="1" x14ac:dyDescent="0.25">
      <c r="H526" s="37"/>
      <c r="I526" s="37"/>
    </row>
    <row r="527" spans="8:9" ht="14.25" customHeight="1" x14ac:dyDescent="0.25">
      <c r="H527" s="37"/>
      <c r="I527" s="37"/>
    </row>
    <row r="528" spans="8:9" ht="14.25" customHeight="1" x14ac:dyDescent="0.25">
      <c r="H528" s="37"/>
      <c r="I528" s="37"/>
    </row>
    <row r="529" spans="8:9" ht="14.25" customHeight="1" x14ac:dyDescent="0.25">
      <c r="H529" s="37"/>
      <c r="I529" s="37"/>
    </row>
    <row r="530" spans="8:9" ht="14.25" customHeight="1" x14ac:dyDescent="0.25">
      <c r="H530" s="37"/>
      <c r="I530" s="37"/>
    </row>
    <row r="531" spans="8:9" ht="14.25" customHeight="1" x14ac:dyDescent="0.25">
      <c r="H531" s="37"/>
      <c r="I531" s="37"/>
    </row>
    <row r="532" spans="8:9" ht="14.25" customHeight="1" x14ac:dyDescent="0.25">
      <c r="H532" s="37"/>
      <c r="I532" s="37"/>
    </row>
    <row r="533" spans="8:9" ht="14.25" customHeight="1" x14ac:dyDescent="0.25">
      <c r="H533" s="37"/>
      <c r="I533" s="37"/>
    </row>
    <row r="534" spans="8:9" ht="14.25" customHeight="1" x14ac:dyDescent="0.25">
      <c r="H534" s="37"/>
      <c r="I534" s="37"/>
    </row>
    <row r="535" spans="8:9" ht="14.25" customHeight="1" x14ac:dyDescent="0.25">
      <c r="H535" s="37"/>
      <c r="I535" s="37"/>
    </row>
    <row r="536" spans="8:9" ht="14.25" customHeight="1" x14ac:dyDescent="0.25">
      <c r="H536" s="37"/>
      <c r="I536" s="37"/>
    </row>
    <row r="537" spans="8:9" ht="14.25" customHeight="1" x14ac:dyDescent="0.25">
      <c r="H537" s="37"/>
      <c r="I537" s="37"/>
    </row>
    <row r="538" spans="8:9" ht="14.25" customHeight="1" x14ac:dyDescent="0.25">
      <c r="H538" s="37"/>
      <c r="I538" s="37"/>
    </row>
    <row r="539" spans="8:9" ht="14.25" customHeight="1" x14ac:dyDescent="0.25">
      <c r="H539" s="37"/>
      <c r="I539" s="37"/>
    </row>
    <row r="540" spans="8:9" ht="14.25" customHeight="1" x14ac:dyDescent="0.25">
      <c r="H540" s="37"/>
      <c r="I540" s="37"/>
    </row>
    <row r="541" spans="8:9" ht="14.25" customHeight="1" x14ac:dyDescent="0.25">
      <c r="H541" s="37"/>
      <c r="I541" s="37"/>
    </row>
    <row r="542" spans="8:9" ht="14.25" customHeight="1" x14ac:dyDescent="0.25">
      <c r="H542" s="37"/>
      <c r="I542" s="37"/>
    </row>
    <row r="543" spans="8:9" ht="14.25" customHeight="1" x14ac:dyDescent="0.25">
      <c r="H543" s="37"/>
      <c r="I543" s="37"/>
    </row>
    <row r="544" spans="8:9" ht="14.25" customHeight="1" x14ac:dyDescent="0.25">
      <c r="H544" s="37"/>
      <c r="I544" s="37"/>
    </row>
    <row r="545" spans="8:9" ht="14.25" customHeight="1" x14ac:dyDescent="0.25">
      <c r="H545" s="37"/>
      <c r="I545" s="37"/>
    </row>
    <row r="546" spans="8:9" ht="14.25" customHeight="1" x14ac:dyDescent="0.25">
      <c r="H546" s="37"/>
      <c r="I546" s="37"/>
    </row>
    <row r="547" spans="8:9" ht="14.25" customHeight="1" x14ac:dyDescent="0.25">
      <c r="H547" s="37"/>
      <c r="I547" s="37"/>
    </row>
    <row r="548" spans="8:9" ht="14.25" customHeight="1" x14ac:dyDescent="0.25">
      <c r="H548" s="37"/>
      <c r="I548" s="37"/>
    </row>
    <row r="549" spans="8:9" ht="14.25" customHeight="1" x14ac:dyDescent="0.25">
      <c r="H549" s="37"/>
      <c r="I549" s="37"/>
    </row>
    <row r="550" spans="8:9" ht="14.25" customHeight="1" x14ac:dyDescent="0.25">
      <c r="H550" s="37"/>
      <c r="I550" s="37"/>
    </row>
    <row r="551" spans="8:9" ht="14.25" customHeight="1" x14ac:dyDescent="0.25">
      <c r="H551" s="37"/>
      <c r="I551" s="37"/>
    </row>
    <row r="552" spans="8:9" ht="14.25" customHeight="1" x14ac:dyDescent="0.25">
      <c r="H552" s="37"/>
      <c r="I552" s="37"/>
    </row>
    <row r="553" spans="8:9" ht="14.25" customHeight="1" x14ac:dyDescent="0.25">
      <c r="H553" s="37"/>
      <c r="I553" s="37"/>
    </row>
    <row r="554" spans="8:9" ht="14.25" customHeight="1" x14ac:dyDescent="0.25">
      <c r="H554" s="37"/>
      <c r="I554" s="37"/>
    </row>
    <row r="555" spans="8:9" ht="14.25" customHeight="1" x14ac:dyDescent="0.25">
      <c r="H555" s="37"/>
      <c r="I555" s="37"/>
    </row>
    <row r="556" spans="8:9" ht="14.25" customHeight="1" x14ac:dyDescent="0.25">
      <c r="H556" s="37"/>
      <c r="I556" s="37"/>
    </row>
    <row r="557" spans="8:9" ht="14.25" customHeight="1" x14ac:dyDescent="0.25">
      <c r="H557" s="37"/>
      <c r="I557" s="37"/>
    </row>
    <row r="558" spans="8:9" ht="14.25" customHeight="1" x14ac:dyDescent="0.25">
      <c r="H558" s="37"/>
      <c r="I558" s="37"/>
    </row>
    <row r="559" spans="8:9" ht="14.25" customHeight="1" x14ac:dyDescent="0.25">
      <c r="H559" s="37"/>
      <c r="I559" s="37"/>
    </row>
    <row r="560" spans="8:9" ht="14.25" customHeight="1" x14ac:dyDescent="0.25">
      <c r="H560" s="37"/>
      <c r="I560" s="37"/>
    </row>
    <row r="561" spans="8:9" ht="14.25" customHeight="1" x14ac:dyDescent="0.25">
      <c r="H561" s="37"/>
      <c r="I561" s="37"/>
    </row>
    <row r="562" spans="8:9" ht="14.25" customHeight="1" x14ac:dyDescent="0.25">
      <c r="H562" s="37"/>
      <c r="I562" s="37"/>
    </row>
    <row r="563" spans="8:9" ht="14.25" customHeight="1" x14ac:dyDescent="0.25">
      <c r="H563" s="37"/>
      <c r="I563" s="37"/>
    </row>
    <row r="564" spans="8:9" ht="14.25" customHeight="1" x14ac:dyDescent="0.25">
      <c r="H564" s="37"/>
      <c r="I564" s="37"/>
    </row>
    <row r="565" spans="8:9" ht="14.25" customHeight="1" x14ac:dyDescent="0.25">
      <c r="H565" s="37"/>
      <c r="I565" s="37"/>
    </row>
    <row r="566" spans="8:9" ht="14.25" customHeight="1" x14ac:dyDescent="0.25">
      <c r="H566" s="37"/>
      <c r="I566" s="37"/>
    </row>
    <row r="567" spans="8:9" ht="14.25" customHeight="1" x14ac:dyDescent="0.25">
      <c r="H567" s="37"/>
      <c r="I567" s="37"/>
    </row>
    <row r="568" spans="8:9" ht="14.25" customHeight="1" x14ac:dyDescent="0.25">
      <c r="H568" s="37"/>
      <c r="I568" s="37"/>
    </row>
    <row r="569" spans="8:9" ht="14.25" customHeight="1" x14ac:dyDescent="0.25">
      <c r="H569" s="37"/>
      <c r="I569" s="37"/>
    </row>
    <row r="570" spans="8:9" ht="14.25" customHeight="1" x14ac:dyDescent="0.25">
      <c r="H570" s="37"/>
      <c r="I570" s="37"/>
    </row>
    <row r="571" spans="8:9" ht="14.25" customHeight="1" x14ac:dyDescent="0.25">
      <c r="H571" s="37"/>
      <c r="I571" s="37"/>
    </row>
    <row r="572" spans="8:9" ht="14.25" customHeight="1" x14ac:dyDescent="0.25">
      <c r="H572" s="37"/>
      <c r="I572" s="37"/>
    </row>
    <row r="573" spans="8:9" ht="14.25" customHeight="1" x14ac:dyDescent="0.25">
      <c r="H573" s="37"/>
      <c r="I573" s="37"/>
    </row>
    <row r="574" spans="8:9" ht="14.25" customHeight="1" x14ac:dyDescent="0.25">
      <c r="H574" s="37"/>
      <c r="I574" s="37"/>
    </row>
    <row r="575" spans="8:9" ht="14.25" customHeight="1" x14ac:dyDescent="0.25">
      <c r="H575" s="37"/>
      <c r="I575" s="37"/>
    </row>
    <row r="576" spans="8:9" ht="14.25" customHeight="1" x14ac:dyDescent="0.25">
      <c r="H576" s="37"/>
      <c r="I576" s="37"/>
    </row>
    <row r="577" spans="8:9" ht="14.25" customHeight="1" x14ac:dyDescent="0.25">
      <c r="H577" s="37"/>
      <c r="I577" s="37"/>
    </row>
    <row r="578" spans="8:9" ht="14.25" customHeight="1" x14ac:dyDescent="0.25">
      <c r="H578" s="37"/>
      <c r="I578" s="37"/>
    </row>
    <row r="579" spans="8:9" ht="14.25" customHeight="1" x14ac:dyDescent="0.25">
      <c r="H579" s="37"/>
      <c r="I579" s="37"/>
    </row>
    <row r="580" spans="8:9" ht="14.25" customHeight="1" x14ac:dyDescent="0.25">
      <c r="H580" s="37"/>
      <c r="I580" s="37"/>
    </row>
    <row r="581" spans="8:9" ht="14.25" customHeight="1" x14ac:dyDescent="0.25">
      <c r="H581" s="37"/>
      <c r="I581" s="37"/>
    </row>
    <row r="582" spans="8:9" ht="14.25" customHeight="1" x14ac:dyDescent="0.25">
      <c r="H582" s="37"/>
      <c r="I582" s="37"/>
    </row>
    <row r="583" spans="8:9" ht="14.25" customHeight="1" x14ac:dyDescent="0.25">
      <c r="H583" s="37"/>
      <c r="I583" s="37"/>
    </row>
    <row r="584" spans="8:9" ht="14.25" customHeight="1" x14ac:dyDescent="0.25">
      <c r="H584" s="37"/>
      <c r="I584" s="37"/>
    </row>
    <row r="585" spans="8:9" ht="14.25" customHeight="1" x14ac:dyDescent="0.25">
      <c r="H585" s="37"/>
      <c r="I585" s="37"/>
    </row>
    <row r="586" spans="8:9" ht="14.25" customHeight="1" x14ac:dyDescent="0.25">
      <c r="H586" s="37"/>
      <c r="I586" s="37"/>
    </row>
    <row r="587" spans="8:9" ht="14.25" customHeight="1" x14ac:dyDescent="0.25">
      <c r="H587" s="37"/>
      <c r="I587" s="37"/>
    </row>
    <row r="588" spans="8:9" ht="14.25" customHeight="1" x14ac:dyDescent="0.25">
      <c r="H588" s="37"/>
      <c r="I588" s="37"/>
    </row>
    <row r="589" spans="8:9" ht="14.25" customHeight="1" x14ac:dyDescent="0.25">
      <c r="H589" s="37"/>
      <c r="I589" s="37"/>
    </row>
    <row r="590" spans="8:9" ht="14.25" customHeight="1" x14ac:dyDescent="0.25">
      <c r="H590" s="37"/>
      <c r="I590" s="37"/>
    </row>
    <row r="591" spans="8:9" ht="14.25" customHeight="1" x14ac:dyDescent="0.25">
      <c r="H591" s="37"/>
      <c r="I591" s="37"/>
    </row>
    <row r="592" spans="8:9" ht="14.25" customHeight="1" x14ac:dyDescent="0.25">
      <c r="H592" s="37"/>
      <c r="I592" s="37"/>
    </row>
    <row r="593" spans="8:9" ht="14.25" customHeight="1" x14ac:dyDescent="0.25">
      <c r="H593" s="37"/>
      <c r="I593" s="37"/>
    </row>
    <row r="594" spans="8:9" ht="14.25" customHeight="1" x14ac:dyDescent="0.25">
      <c r="H594" s="37"/>
      <c r="I594" s="37"/>
    </row>
    <row r="595" spans="8:9" ht="14.25" customHeight="1" x14ac:dyDescent="0.25">
      <c r="H595" s="37"/>
      <c r="I595" s="37"/>
    </row>
    <row r="596" spans="8:9" ht="14.25" customHeight="1" x14ac:dyDescent="0.25">
      <c r="H596" s="37"/>
      <c r="I596" s="37"/>
    </row>
    <row r="597" spans="8:9" ht="14.25" customHeight="1" x14ac:dyDescent="0.25">
      <c r="H597" s="37"/>
      <c r="I597" s="37"/>
    </row>
    <row r="598" spans="8:9" ht="14.25" customHeight="1" x14ac:dyDescent="0.25">
      <c r="H598" s="37"/>
      <c r="I598" s="37"/>
    </row>
    <row r="599" spans="8:9" ht="14.25" customHeight="1" x14ac:dyDescent="0.25">
      <c r="H599" s="37"/>
      <c r="I599" s="37"/>
    </row>
    <row r="600" spans="8:9" ht="14.25" customHeight="1" x14ac:dyDescent="0.25">
      <c r="H600" s="37"/>
      <c r="I600" s="37"/>
    </row>
    <row r="601" spans="8:9" ht="14.25" customHeight="1" x14ac:dyDescent="0.25">
      <c r="H601" s="37"/>
      <c r="I601" s="37"/>
    </row>
    <row r="602" spans="8:9" ht="14.25" customHeight="1" x14ac:dyDescent="0.25">
      <c r="H602" s="37"/>
      <c r="I602" s="37"/>
    </row>
    <row r="603" spans="8:9" ht="14.25" customHeight="1" x14ac:dyDescent="0.25">
      <c r="H603" s="37"/>
      <c r="I603" s="37"/>
    </row>
    <row r="604" spans="8:9" ht="14.25" customHeight="1" x14ac:dyDescent="0.25">
      <c r="H604" s="37"/>
      <c r="I604" s="37"/>
    </row>
    <row r="605" spans="8:9" ht="14.25" customHeight="1" x14ac:dyDescent="0.25">
      <c r="H605" s="37"/>
      <c r="I605" s="37"/>
    </row>
    <row r="606" spans="8:9" ht="14.25" customHeight="1" x14ac:dyDescent="0.25">
      <c r="H606" s="37"/>
      <c r="I606" s="37"/>
    </row>
    <row r="607" spans="8:9" ht="14.25" customHeight="1" x14ac:dyDescent="0.25">
      <c r="H607" s="37"/>
      <c r="I607" s="37"/>
    </row>
    <row r="608" spans="8:9" ht="14.25" customHeight="1" x14ac:dyDescent="0.25">
      <c r="H608" s="37"/>
      <c r="I608" s="37"/>
    </row>
    <row r="609" spans="8:9" ht="14.25" customHeight="1" x14ac:dyDescent="0.25">
      <c r="H609" s="37"/>
      <c r="I609" s="37"/>
    </row>
    <row r="610" spans="8:9" ht="14.25" customHeight="1" x14ac:dyDescent="0.25">
      <c r="H610" s="37"/>
      <c r="I610" s="37"/>
    </row>
    <row r="611" spans="8:9" ht="14.25" customHeight="1" x14ac:dyDescent="0.25">
      <c r="H611" s="37"/>
      <c r="I611" s="37"/>
    </row>
    <row r="612" spans="8:9" ht="14.25" customHeight="1" x14ac:dyDescent="0.25">
      <c r="H612" s="37"/>
      <c r="I612" s="37"/>
    </row>
    <row r="613" spans="8:9" ht="14.25" customHeight="1" x14ac:dyDescent="0.25">
      <c r="H613" s="37"/>
      <c r="I613" s="37"/>
    </row>
    <row r="614" spans="8:9" ht="14.25" customHeight="1" x14ac:dyDescent="0.25">
      <c r="H614" s="37"/>
      <c r="I614" s="37"/>
    </row>
    <row r="615" spans="8:9" ht="14.25" customHeight="1" x14ac:dyDescent="0.25">
      <c r="H615" s="37"/>
      <c r="I615" s="37"/>
    </row>
    <row r="616" spans="8:9" ht="14.25" customHeight="1" x14ac:dyDescent="0.25">
      <c r="H616" s="37"/>
      <c r="I616" s="37"/>
    </row>
    <row r="617" spans="8:9" ht="14.25" customHeight="1" x14ac:dyDescent="0.25">
      <c r="H617" s="37"/>
      <c r="I617" s="37"/>
    </row>
    <row r="618" spans="8:9" ht="14.25" customHeight="1" x14ac:dyDescent="0.25">
      <c r="H618" s="37"/>
      <c r="I618" s="37"/>
    </row>
    <row r="619" spans="8:9" ht="14.25" customHeight="1" x14ac:dyDescent="0.25">
      <c r="H619" s="37"/>
      <c r="I619" s="37"/>
    </row>
    <row r="620" spans="8:9" ht="14.25" customHeight="1" x14ac:dyDescent="0.25">
      <c r="H620" s="37"/>
      <c r="I620" s="37"/>
    </row>
    <row r="621" spans="8:9" ht="14.25" customHeight="1" x14ac:dyDescent="0.25">
      <c r="H621" s="37"/>
      <c r="I621" s="37"/>
    </row>
    <row r="622" spans="8:9" ht="14.25" customHeight="1" x14ac:dyDescent="0.25">
      <c r="H622" s="37"/>
      <c r="I622" s="37"/>
    </row>
    <row r="623" spans="8:9" ht="14.25" customHeight="1" x14ac:dyDescent="0.25">
      <c r="H623" s="37"/>
      <c r="I623" s="37"/>
    </row>
    <row r="624" spans="8:9" ht="14.25" customHeight="1" x14ac:dyDescent="0.25">
      <c r="H624" s="37"/>
      <c r="I624" s="37"/>
    </row>
    <row r="625" spans="8:9" ht="14.25" customHeight="1" x14ac:dyDescent="0.25">
      <c r="H625" s="37"/>
      <c r="I625" s="37"/>
    </row>
    <row r="626" spans="8:9" ht="14.25" customHeight="1" x14ac:dyDescent="0.25">
      <c r="H626" s="37"/>
      <c r="I626" s="37"/>
    </row>
    <row r="627" spans="8:9" ht="14.25" customHeight="1" x14ac:dyDescent="0.25">
      <c r="H627" s="37"/>
      <c r="I627" s="37"/>
    </row>
    <row r="628" spans="8:9" ht="14.25" customHeight="1" x14ac:dyDescent="0.25">
      <c r="H628" s="37"/>
      <c r="I628" s="37"/>
    </row>
    <row r="629" spans="8:9" ht="14.25" customHeight="1" x14ac:dyDescent="0.25">
      <c r="H629" s="37"/>
      <c r="I629" s="37"/>
    </row>
    <row r="630" spans="8:9" ht="14.25" customHeight="1" x14ac:dyDescent="0.25">
      <c r="H630" s="37"/>
      <c r="I630" s="37"/>
    </row>
    <row r="631" spans="8:9" ht="14.25" customHeight="1" x14ac:dyDescent="0.25">
      <c r="H631" s="37"/>
      <c r="I631" s="37"/>
    </row>
    <row r="632" spans="8:9" ht="14.25" customHeight="1" x14ac:dyDescent="0.25">
      <c r="H632" s="37"/>
      <c r="I632" s="37"/>
    </row>
    <row r="633" spans="8:9" ht="14.25" customHeight="1" x14ac:dyDescent="0.25">
      <c r="H633" s="37"/>
      <c r="I633" s="37"/>
    </row>
    <row r="634" spans="8:9" ht="14.25" customHeight="1" x14ac:dyDescent="0.25">
      <c r="H634" s="37"/>
      <c r="I634" s="37"/>
    </row>
    <row r="635" spans="8:9" ht="14.25" customHeight="1" x14ac:dyDescent="0.25">
      <c r="H635" s="37"/>
      <c r="I635" s="37"/>
    </row>
    <row r="636" spans="8:9" ht="14.25" customHeight="1" x14ac:dyDescent="0.25">
      <c r="H636" s="37"/>
      <c r="I636" s="37"/>
    </row>
    <row r="637" spans="8:9" ht="14.25" customHeight="1" x14ac:dyDescent="0.25">
      <c r="H637" s="37"/>
      <c r="I637" s="37"/>
    </row>
    <row r="638" spans="8:9" ht="14.25" customHeight="1" x14ac:dyDescent="0.25">
      <c r="H638" s="37"/>
      <c r="I638" s="37"/>
    </row>
    <row r="639" spans="8:9" ht="14.25" customHeight="1" x14ac:dyDescent="0.25">
      <c r="H639" s="37"/>
      <c r="I639" s="37"/>
    </row>
    <row r="640" spans="8:9" ht="14.25" customHeight="1" x14ac:dyDescent="0.25">
      <c r="H640" s="37"/>
      <c r="I640" s="37"/>
    </row>
    <row r="641" spans="8:9" ht="14.25" customHeight="1" x14ac:dyDescent="0.25">
      <c r="H641" s="37"/>
      <c r="I641" s="37"/>
    </row>
    <row r="642" spans="8:9" ht="14.25" customHeight="1" x14ac:dyDescent="0.25">
      <c r="H642" s="37"/>
      <c r="I642" s="37"/>
    </row>
    <row r="643" spans="8:9" ht="14.25" customHeight="1" x14ac:dyDescent="0.25">
      <c r="H643" s="37"/>
      <c r="I643" s="37"/>
    </row>
    <row r="644" spans="8:9" ht="14.25" customHeight="1" x14ac:dyDescent="0.25">
      <c r="H644" s="37"/>
      <c r="I644" s="37"/>
    </row>
    <row r="645" spans="8:9" ht="14.25" customHeight="1" x14ac:dyDescent="0.25">
      <c r="H645" s="37"/>
      <c r="I645" s="37"/>
    </row>
    <row r="646" spans="8:9" ht="14.25" customHeight="1" x14ac:dyDescent="0.25">
      <c r="H646" s="37"/>
      <c r="I646" s="37"/>
    </row>
    <row r="647" spans="8:9" ht="14.25" customHeight="1" x14ac:dyDescent="0.25">
      <c r="H647" s="37"/>
      <c r="I647" s="37"/>
    </row>
    <row r="648" spans="8:9" ht="14.25" customHeight="1" x14ac:dyDescent="0.25">
      <c r="H648" s="37"/>
      <c r="I648" s="37"/>
    </row>
    <row r="649" spans="8:9" ht="14.25" customHeight="1" x14ac:dyDescent="0.25">
      <c r="H649" s="37"/>
      <c r="I649" s="37"/>
    </row>
    <row r="650" spans="8:9" ht="14.25" customHeight="1" x14ac:dyDescent="0.25">
      <c r="H650" s="37"/>
      <c r="I650" s="37"/>
    </row>
    <row r="651" spans="8:9" ht="14.25" customHeight="1" x14ac:dyDescent="0.25">
      <c r="H651" s="37"/>
      <c r="I651" s="37"/>
    </row>
    <row r="652" spans="8:9" ht="14.25" customHeight="1" x14ac:dyDescent="0.25">
      <c r="H652" s="37"/>
      <c r="I652" s="37"/>
    </row>
    <row r="653" spans="8:9" ht="14.25" customHeight="1" x14ac:dyDescent="0.25">
      <c r="H653" s="37"/>
      <c r="I653" s="37"/>
    </row>
    <row r="654" spans="8:9" ht="14.25" customHeight="1" x14ac:dyDescent="0.25">
      <c r="H654" s="37"/>
      <c r="I654" s="37"/>
    </row>
    <row r="655" spans="8:9" ht="14.25" customHeight="1" x14ac:dyDescent="0.25">
      <c r="H655" s="37"/>
      <c r="I655" s="37"/>
    </row>
    <row r="656" spans="8:9" ht="14.25" customHeight="1" x14ac:dyDescent="0.25">
      <c r="H656" s="37"/>
      <c r="I656" s="37"/>
    </row>
    <row r="657" spans="8:9" ht="14.25" customHeight="1" x14ac:dyDescent="0.25">
      <c r="H657" s="37"/>
      <c r="I657" s="37"/>
    </row>
    <row r="658" spans="8:9" ht="14.25" customHeight="1" x14ac:dyDescent="0.25">
      <c r="H658" s="37"/>
      <c r="I658" s="37"/>
    </row>
    <row r="659" spans="8:9" ht="14.25" customHeight="1" x14ac:dyDescent="0.25">
      <c r="H659" s="37"/>
      <c r="I659" s="37"/>
    </row>
    <row r="660" spans="8:9" ht="14.25" customHeight="1" x14ac:dyDescent="0.25">
      <c r="H660" s="37"/>
      <c r="I660" s="37"/>
    </row>
    <row r="661" spans="8:9" ht="14.25" customHeight="1" x14ac:dyDescent="0.25">
      <c r="H661" s="37"/>
      <c r="I661" s="37"/>
    </row>
    <row r="662" spans="8:9" ht="14.25" customHeight="1" x14ac:dyDescent="0.25">
      <c r="H662" s="37"/>
      <c r="I662" s="37"/>
    </row>
    <row r="663" spans="8:9" ht="14.25" customHeight="1" x14ac:dyDescent="0.25">
      <c r="H663" s="37"/>
      <c r="I663" s="37"/>
    </row>
    <row r="664" spans="8:9" ht="14.25" customHeight="1" x14ac:dyDescent="0.25">
      <c r="H664" s="37"/>
      <c r="I664" s="37"/>
    </row>
    <row r="665" spans="8:9" ht="14.25" customHeight="1" x14ac:dyDescent="0.25">
      <c r="H665" s="37"/>
      <c r="I665" s="37"/>
    </row>
    <row r="666" spans="8:9" ht="14.25" customHeight="1" x14ac:dyDescent="0.25">
      <c r="H666" s="37"/>
      <c r="I666" s="37"/>
    </row>
    <row r="667" spans="8:9" ht="14.25" customHeight="1" x14ac:dyDescent="0.25">
      <c r="H667" s="37"/>
      <c r="I667" s="37"/>
    </row>
    <row r="668" spans="8:9" ht="14.25" customHeight="1" x14ac:dyDescent="0.25">
      <c r="H668" s="37"/>
      <c r="I668" s="37"/>
    </row>
    <row r="669" spans="8:9" ht="14.25" customHeight="1" x14ac:dyDescent="0.25">
      <c r="H669" s="37"/>
      <c r="I669" s="37"/>
    </row>
    <row r="670" spans="8:9" ht="14.25" customHeight="1" x14ac:dyDescent="0.25">
      <c r="H670" s="37"/>
      <c r="I670" s="37"/>
    </row>
    <row r="671" spans="8:9" ht="14.25" customHeight="1" x14ac:dyDescent="0.25">
      <c r="H671" s="37"/>
      <c r="I671" s="37"/>
    </row>
    <row r="672" spans="8:9" ht="14.25" customHeight="1" x14ac:dyDescent="0.25">
      <c r="H672" s="37"/>
      <c r="I672" s="37"/>
    </row>
    <row r="673" spans="8:9" ht="14.25" customHeight="1" x14ac:dyDescent="0.25">
      <c r="H673" s="37"/>
      <c r="I673" s="37"/>
    </row>
    <row r="674" spans="8:9" ht="14.25" customHeight="1" x14ac:dyDescent="0.25">
      <c r="H674" s="37"/>
      <c r="I674" s="37"/>
    </row>
    <row r="675" spans="8:9" ht="14.25" customHeight="1" x14ac:dyDescent="0.25">
      <c r="H675" s="37"/>
      <c r="I675" s="37"/>
    </row>
    <row r="676" spans="8:9" ht="14.25" customHeight="1" x14ac:dyDescent="0.25">
      <c r="H676" s="37"/>
      <c r="I676" s="37"/>
    </row>
    <row r="677" spans="8:9" ht="14.25" customHeight="1" x14ac:dyDescent="0.25">
      <c r="H677" s="37"/>
      <c r="I677" s="37"/>
    </row>
    <row r="678" spans="8:9" ht="14.25" customHeight="1" x14ac:dyDescent="0.25">
      <c r="H678" s="37"/>
      <c r="I678" s="37"/>
    </row>
    <row r="679" spans="8:9" ht="14.25" customHeight="1" x14ac:dyDescent="0.25">
      <c r="H679" s="37"/>
      <c r="I679" s="37"/>
    </row>
    <row r="680" spans="8:9" ht="14.25" customHeight="1" x14ac:dyDescent="0.25">
      <c r="H680" s="37"/>
      <c r="I680" s="37"/>
    </row>
    <row r="681" spans="8:9" ht="14.25" customHeight="1" x14ac:dyDescent="0.25">
      <c r="H681" s="37"/>
      <c r="I681" s="37"/>
    </row>
    <row r="682" spans="8:9" ht="14.25" customHeight="1" x14ac:dyDescent="0.25">
      <c r="H682" s="37"/>
      <c r="I682" s="37"/>
    </row>
    <row r="683" spans="8:9" ht="14.25" customHeight="1" x14ac:dyDescent="0.25">
      <c r="H683" s="37"/>
      <c r="I683" s="37"/>
    </row>
    <row r="684" spans="8:9" ht="14.25" customHeight="1" x14ac:dyDescent="0.25">
      <c r="H684" s="37"/>
      <c r="I684" s="37"/>
    </row>
    <row r="685" spans="8:9" ht="14.25" customHeight="1" x14ac:dyDescent="0.25">
      <c r="H685" s="37"/>
      <c r="I685" s="37"/>
    </row>
    <row r="686" spans="8:9" ht="14.25" customHeight="1" x14ac:dyDescent="0.25">
      <c r="H686" s="37"/>
      <c r="I686" s="37"/>
    </row>
    <row r="687" spans="8:9" ht="14.25" customHeight="1" x14ac:dyDescent="0.25">
      <c r="H687" s="37"/>
      <c r="I687" s="37"/>
    </row>
    <row r="688" spans="8:9" ht="14.25" customHeight="1" x14ac:dyDescent="0.25">
      <c r="H688" s="37"/>
      <c r="I688" s="37"/>
    </row>
    <row r="689" spans="8:9" ht="14.25" customHeight="1" x14ac:dyDescent="0.25">
      <c r="H689" s="37"/>
      <c r="I689" s="37"/>
    </row>
    <row r="690" spans="8:9" ht="14.25" customHeight="1" x14ac:dyDescent="0.25">
      <c r="H690" s="37"/>
      <c r="I690" s="37"/>
    </row>
    <row r="691" spans="8:9" ht="14.25" customHeight="1" x14ac:dyDescent="0.25">
      <c r="H691" s="37"/>
      <c r="I691" s="37"/>
    </row>
    <row r="692" spans="8:9" ht="14.25" customHeight="1" x14ac:dyDescent="0.25">
      <c r="H692" s="37"/>
      <c r="I692" s="37"/>
    </row>
    <row r="693" spans="8:9" ht="14.25" customHeight="1" x14ac:dyDescent="0.25">
      <c r="H693" s="37"/>
      <c r="I693" s="37"/>
    </row>
    <row r="694" spans="8:9" ht="14.25" customHeight="1" x14ac:dyDescent="0.25">
      <c r="H694" s="37"/>
      <c r="I694" s="37"/>
    </row>
    <row r="695" spans="8:9" ht="14.25" customHeight="1" x14ac:dyDescent="0.25">
      <c r="H695" s="37"/>
      <c r="I695" s="37"/>
    </row>
    <row r="696" spans="8:9" ht="14.25" customHeight="1" x14ac:dyDescent="0.25">
      <c r="H696" s="37"/>
      <c r="I696" s="37"/>
    </row>
    <row r="697" spans="8:9" ht="14.25" customHeight="1" x14ac:dyDescent="0.25">
      <c r="H697" s="37"/>
      <c r="I697" s="37"/>
    </row>
    <row r="698" spans="8:9" ht="14.25" customHeight="1" x14ac:dyDescent="0.25">
      <c r="H698" s="37"/>
      <c r="I698" s="37"/>
    </row>
    <row r="699" spans="8:9" ht="14.25" customHeight="1" x14ac:dyDescent="0.25">
      <c r="H699" s="37"/>
      <c r="I699" s="37"/>
    </row>
    <row r="700" spans="8:9" ht="14.25" customHeight="1" x14ac:dyDescent="0.25">
      <c r="H700" s="37"/>
      <c r="I700" s="37"/>
    </row>
    <row r="701" spans="8:9" ht="14.25" customHeight="1" x14ac:dyDescent="0.25">
      <c r="H701" s="37"/>
      <c r="I701" s="37"/>
    </row>
    <row r="702" spans="8:9" ht="14.25" customHeight="1" x14ac:dyDescent="0.25">
      <c r="H702" s="37"/>
      <c r="I702" s="37"/>
    </row>
    <row r="703" spans="8:9" ht="14.25" customHeight="1" x14ac:dyDescent="0.25">
      <c r="H703" s="37"/>
      <c r="I703" s="37"/>
    </row>
    <row r="704" spans="8:9" ht="14.25" customHeight="1" x14ac:dyDescent="0.25">
      <c r="H704" s="37"/>
      <c r="I704" s="37"/>
    </row>
    <row r="705" spans="8:9" ht="14.25" customHeight="1" x14ac:dyDescent="0.25">
      <c r="H705" s="37"/>
      <c r="I705" s="37"/>
    </row>
    <row r="706" spans="8:9" ht="14.25" customHeight="1" x14ac:dyDescent="0.25">
      <c r="H706" s="37"/>
      <c r="I706" s="37"/>
    </row>
    <row r="707" spans="8:9" ht="14.25" customHeight="1" x14ac:dyDescent="0.25">
      <c r="H707" s="37"/>
      <c r="I707" s="37"/>
    </row>
    <row r="708" spans="8:9" ht="14.25" customHeight="1" x14ac:dyDescent="0.25">
      <c r="H708" s="37"/>
      <c r="I708" s="37"/>
    </row>
    <row r="709" spans="8:9" ht="14.25" customHeight="1" x14ac:dyDescent="0.25">
      <c r="H709" s="37"/>
      <c r="I709" s="37"/>
    </row>
    <row r="710" spans="8:9" ht="14.25" customHeight="1" x14ac:dyDescent="0.25">
      <c r="H710" s="37"/>
      <c r="I710" s="37"/>
    </row>
    <row r="711" spans="8:9" ht="14.25" customHeight="1" x14ac:dyDescent="0.25">
      <c r="H711" s="37"/>
      <c r="I711" s="37"/>
    </row>
    <row r="712" spans="8:9" ht="14.25" customHeight="1" x14ac:dyDescent="0.25">
      <c r="H712" s="37"/>
      <c r="I712" s="37"/>
    </row>
    <row r="713" spans="8:9" ht="14.25" customHeight="1" x14ac:dyDescent="0.25">
      <c r="H713" s="37"/>
      <c r="I713" s="37"/>
    </row>
    <row r="714" spans="8:9" ht="14.25" customHeight="1" x14ac:dyDescent="0.25">
      <c r="H714" s="37"/>
      <c r="I714" s="37"/>
    </row>
    <row r="715" spans="8:9" ht="14.25" customHeight="1" x14ac:dyDescent="0.25">
      <c r="H715" s="37"/>
      <c r="I715" s="37"/>
    </row>
    <row r="716" spans="8:9" ht="14.25" customHeight="1" x14ac:dyDescent="0.25">
      <c r="H716" s="37"/>
      <c r="I716" s="37"/>
    </row>
    <row r="717" spans="8:9" ht="14.25" customHeight="1" x14ac:dyDescent="0.25">
      <c r="H717" s="37"/>
      <c r="I717" s="37"/>
    </row>
    <row r="718" spans="8:9" ht="14.25" customHeight="1" x14ac:dyDescent="0.25">
      <c r="H718" s="37"/>
      <c r="I718" s="37"/>
    </row>
    <row r="719" spans="8:9" ht="14.25" customHeight="1" x14ac:dyDescent="0.25">
      <c r="H719" s="37"/>
      <c r="I719" s="37"/>
    </row>
    <row r="720" spans="8:9" ht="14.25" customHeight="1" x14ac:dyDescent="0.25">
      <c r="H720" s="37"/>
      <c r="I720" s="37"/>
    </row>
    <row r="721" spans="8:9" ht="14.25" customHeight="1" x14ac:dyDescent="0.25">
      <c r="H721" s="37"/>
      <c r="I721" s="37"/>
    </row>
    <row r="722" spans="8:9" ht="14.25" customHeight="1" x14ac:dyDescent="0.25">
      <c r="H722" s="37"/>
      <c r="I722" s="37"/>
    </row>
    <row r="723" spans="8:9" ht="14.25" customHeight="1" x14ac:dyDescent="0.25">
      <c r="H723" s="37"/>
      <c r="I723" s="37"/>
    </row>
    <row r="724" spans="8:9" ht="14.25" customHeight="1" x14ac:dyDescent="0.25">
      <c r="H724" s="37"/>
      <c r="I724" s="37"/>
    </row>
    <row r="725" spans="8:9" ht="14.25" customHeight="1" x14ac:dyDescent="0.25">
      <c r="H725" s="37"/>
      <c r="I725" s="37"/>
    </row>
    <row r="726" spans="8:9" ht="14.25" customHeight="1" x14ac:dyDescent="0.25">
      <c r="H726" s="37"/>
      <c r="I726" s="37"/>
    </row>
    <row r="727" spans="8:9" ht="14.25" customHeight="1" x14ac:dyDescent="0.25">
      <c r="H727" s="37"/>
      <c r="I727" s="37"/>
    </row>
    <row r="728" spans="8:9" ht="14.25" customHeight="1" x14ac:dyDescent="0.25">
      <c r="H728" s="37"/>
      <c r="I728" s="37"/>
    </row>
    <row r="729" spans="8:9" ht="14.25" customHeight="1" x14ac:dyDescent="0.25">
      <c r="H729" s="37"/>
      <c r="I729" s="37"/>
    </row>
    <row r="730" spans="8:9" ht="14.25" customHeight="1" x14ac:dyDescent="0.25">
      <c r="H730" s="37"/>
      <c r="I730" s="37"/>
    </row>
    <row r="731" spans="8:9" ht="14.25" customHeight="1" x14ac:dyDescent="0.25">
      <c r="H731" s="37"/>
      <c r="I731" s="37"/>
    </row>
    <row r="732" spans="8:9" ht="14.25" customHeight="1" x14ac:dyDescent="0.25">
      <c r="H732" s="37"/>
      <c r="I732" s="37"/>
    </row>
    <row r="733" spans="8:9" ht="14.25" customHeight="1" x14ac:dyDescent="0.25">
      <c r="H733" s="37"/>
      <c r="I733" s="37"/>
    </row>
    <row r="734" spans="8:9" ht="14.25" customHeight="1" x14ac:dyDescent="0.25">
      <c r="H734" s="37"/>
      <c r="I734" s="37"/>
    </row>
    <row r="735" spans="8:9" ht="14.25" customHeight="1" x14ac:dyDescent="0.25">
      <c r="H735" s="37"/>
      <c r="I735" s="37"/>
    </row>
    <row r="736" spans="8:9" ht="14.25" customHeight="1" x14ac:dyDescent="0.25">
      <c r="H736" s="37"/>
      <c r="I736" s="37"/>
    </row>
    <row r="737" spans="8:9" ht="14.25" customHeight="1" x14ac:dyDescent="0.25">
      <c r="H737" s="37"/>
      <c r="I737" s="37"/>
    </row>
    <row r="738" spans="8:9" ht="14.25" customHeight="1" x14ac:dyDescent="0.25">
      <c r="H738" s="37"/>
      <c r="I738" s="37"/>
    </row>
    <row r="739" spans="8:9" ht="14.25" customHeight="1" x14ac:dyDescent="0.25">
      <c r="H739" s="37"/>
      <c r="I739" s="37"/>
    </row>
    <row r="740" spans="8:9" ht="14.25" customHeight="1" x14ac:dyDescent="0.25">
      <c r="H740" s="37"/>
      <c r="I740" s="37"/>
    </row>
    <row r="741" spans="8:9" ht="14.25" customHeight="1" x14ac:dyDescent="0.25">
      <c r="H741" s="37"/>
      <c r="I741" s="37"/>
    </row>
    <row r="742" spans="8:9" ht="14.25" customHeight="1" x14ac:dyDescent="0.25">
      <c r="H742" s="37"/>
      <c r="I742" s="37"/>
    </row>
    <row r="743" spans="8:9" ht="14.25" customHeight="1" x14ac:dyDescent="0.25">
      <c r="H743" s="37"/>
      <c r="I743" s="37"/>
    </row>
    <row r="744" spans="8:9" ht="14.25" customHeight="1" x14ac:dyDescent="0.25">
      <c r="H744" s="37"/>
      <c r="I744" s="37"/>
    </row>
    <row r="745" spans="8:9" ht="14.25" customHeight="1" x14ac:dyDescent="0.25">
      <c r="H745" s="37"/>
      <c r="I745" s="37"/>
    </row>
    <row r="746" spans="8:9" ht="14.25" customHeight="1" x14ac:dyDescent="0.25">
      <c r="H746" s="37"/>
      <c r="I746" s="37"/>
    </row>
    <row r="747" spans="8:9" ht="14.25" customHeight="1" x14ac:dyDescent="0.25">
      <c r="H747" s="37"/>
      <c r="I747" s="37"/>
    </row>
    <row r="748" spans="8:9" ht="14.25" customHeight="1" x14ac:dyDescent="0.25">
      <c r="H748" s="37"/>
      <c r="I748" s="37"/>
    </row>
    <row r="749" spans="8:9" ht="14.25" customHeight="1" x14ac:dyDescent="0.25">
      <c r="H749" s="37"/>
      <c r="I749" s="37"/>
    </row>
    <row r="750" spans="8:9" ht="14.25" customHeight="1" x14ac:dyDescent="0.25">
      <c r="H750" s="37"/>
      <c r="I750" s="37"/>
    </row>
    <row r="751" spans="8:9" ht="14.25" customHeight="1" x14ac:dyDescent="0.25">
      <c r="H751" s="37"/>
      <c r="I751" s="37"/>
    </row>
    <row r="752" spans="8:9" ht="14.25" customHeight="1" x14ac:dyDescent="0.25">
      <c r="H752" s="37"/>
      <c r="I752" s="37"/>
    </row>
    <row r="753" spans="8:9" ht="14.25" customHeight="1" x14ac:dyDescent="0.25">
      <c r="H753" s="37"/>
      <c r="I753" s="37"/>
    </row>
    <row r="754" spans="8:9" ht="14.25" customHeight="1" x14ac:dyDescent="0.25">
      <c r="H754" s="37"/>
      <c r="I754" s="37"/>
    </row>
    <row r="755" spans="8:9" ht="14.25" customHeight="1" x14ac:dyDescent="0.25">
      <c r="H755" s="37"/>
      <c r="I755" s="37"/>
    </row>
    <row r="756" spans="8:9" ht="14.25" customHeight="1" x14ac:dyDescent="0.25">
      <c r="H756" s="37"/>
      <c r="I756" s="37"/>
    </row>
    <row r="757" spans="8:9" ht="14.25" customHeight="1" x14ac:dyDescent="0.25">
      <c r="H757" s="37"/>
      <c r="I757" s="37"/>
    </row>
    <row r="758" spans="8:9" ht="14.25" customHeight="1" x14ac:dyDescent="0.25">
      <c r="H758" s="37"/>
      <c r="I758" s="37"/>
    </row>
    <row r="759" spans="8:9" ht="14.25" customHeight="1" x14ac:dyDescent="0.25">
      <c r="H759" s="37"/>
      <c r="I759" s="37"/>
    </row>
    <row r="760" spans="8:9" ht="14.25" customHeight="1" x14ac:dyDescent="0.25">
      <c r="H760" s="37"/>
      <c r="I760" s="37"/>
    </row>
    <row r="761" spans="8:9" ht="14.25" customHeight="1" x14ac:dyDescent="0.25">
      <c r="H761" s="37"/>
      <c r="I761" s="37"/>
    </row>
    <row r="762" spans="8:9" ht="14.25" customHeight="1" x14ac:dyDescent="0.25">
      <c r="H762" s="37"/>
      <c r="I762" s="37"/>
    </row>
    <row r="763" spans="8:9" ht="14.25" customHeight="1" x14ac:dyDescent="0.25">
      <c r="H763" s="37"/>
      <c r="I763" s="37"/>
    </row>
    <row r="764" spans="8:9" ht="14.25" customHeight="1" x14ac:dyDescent="0.25">
      <c r="H764" s="37"/>
      <c r="I764" s="37"/>
    </row>
    <row r="765" spans="8:9" ht="14.25" customHeight="1" x14ac:dyDescent="0.25">
      <c r="H765" s="37"/>
      <c r="I765" s="37"/>
    </row>
    <row r="766" spans="8:9" ht="14.25" customHeight="1" x14ac:dyDescent="0.25">
      <c r="H766" s="37"/>
      <c r="I766" s="37"/>
    </row>
    <row r="767" spans="8:9" ht="14.25" customHeight="1" x14ac:dyDescent="0.25">
      <c r="H767" s="37"/>
      <c r="I767" s="37"/>
    </row>
    <row r="768" spans="8:9" ht="14.25" customHeight="1" x14ac:dyDescent="0.25">
      <c r="H768" s="37"/>
      <c r="I768" s="37"/>
    </row>
    <row r="769" spans="8:9" ht="14.25" customHeight="1" x14ac:dyDescent="0.25">
      <c r="H769" s="37"/>
      <c r="I769" s="37"/>
    </row>
    <row r="770" spans="8:9" ht="14.25" customHeight="1" x14ac:dyDescent="0.25">
      <c r="H770" s="37"/>
      <c r="I770" s="37"/>
    </row>
    <row r="771" spans="8:9" ht="14.25" customHeight="1" x14ac:dyDescent="0.25">
      <c r="H771" s="37"/>
      <c r="I771" s="37"/>
    </row>
    <row r="772" spans="8:9" ht="14.25" customHeight="1" x14ac:dyDescent="0.25">
      <c r="H772" s="37"/>
      <c r="I772" s="37"/>
    </row>
    <row r="773" spans="8:9" ht="14.25" customHeight="1" x14ac:dyDescent="0.25">
      <c r="H773" s="37"/>
      <c r="I773" s="37"/>
    </row>
    <row r="774" spans="8:9" ht="14.25" customHeight="1" x14ac:dyDescent="0.25">
      <c r="H774" s="37"/>
      <c r="I774" s="37"/>
    </row>
    <row r="775" spans="8:9" ht="14.25" customHeight="1" x14ac:dyDescent="0.25">
      <c r="H775" s="37"/>
      <c r="I775" s="37"/>
    </row>
    <row r="776" spans="8:9" ht="14.25" customHeight="1" x14ac:dyDescent="0.25">
      <c r="H776" s="37"/>
      <c r="I776" s="37"/>
    </row>
    <row r="777" spans="8:9" ht="14.25" customHeight="1" x14ac:dyDescent="0.25">
      <c r="H777" s="37"/>
      <c r="I777" s="37"/>
    </row>
    <row r="778" spans="8:9" ht="14.25" customHeight="1" x14ac:dyDescent="0.25">
      <c r="H778" s="37"/>
      <c r="I778" s="37"/>
    </row>
    <row r="779" spans="8:9" ht="14.25" customHeight="1" x14ac:dyDescent="0.25">
      <c r="H779" s="37"/>
      <c r="I779" s="37"/>
    </row>
    <row r="780" spans="8:9" ht="14.25" customHeight="1" x14ac:dyDescent="0.25">
      <c r="H780" s="37"/>
      <c r="I780" s="37"/>
    </row>
    <row r="781" spans="8:9" ht="14.25" customHeight="1" x14ac:dyDescent="0.25">
      <c r="H781" s="37"/>
      <c r="I781" s="37"/>
    </row>
    <row r="782" spans="8:9" ht="14.25" customHeight="1" x14ac:dyDescent="0.25">
      <c r="H782" s="37"/>
      <c r="I782" s="37"/>
    </row>
    <row r="783" spans="8:9" ht="14.25" customHeight="1" x14ac:dyDescent="0.25">
      <c r="H783" s="37"/>
      <c r="I783" s="37"/>
    </row>
    <row r="784" spans="8:9" ht="14.25" customHeight="1" x14ac:dyDescent="0.25">
      <c r="H784" s="37"/>
      <c r="I784" s="37"/>
    </row>
    <row r="785" spans="8:9" ht="14.25" customHeight="1" x14ac:dyDescent="0.25">
      <c r="H785" s="37"/>
      <c r="I785" s="37"/>
    </row>
    <row r="786" spans="8:9" ht="14.25" customHeight="1" x14ac:dyDescent="0.25">
      <c r="H786" s="37"/>
      <c r="I786" s="37"/>
    </row>
    <row r="787" spans="8:9" ht="14.25" customHeight="1" x14ac:dyDescent="0.25">
      <c r="H787" s="37"/>
      <c r="I787" s="37"/>
    </row>
    <row r="788" spans="8:9" ht="14.25" customHeight="1" x14ac:dyDescent="0.25">
      <c r="H788" s="37"/>
      <c r="I788" s="37"/>
    </row>
    <row r="789" spans="8:9" ht="14.25" customHeight="1" x14ac:dyDescent="0.25">
      <c r="H789" s="37"/>
      <c r="I789" s="37"/>
    </row>
    <row r="790" spans="8:9" ht="14.25" customHeight="1" x14ac:dyDescent="0.25">
      <c r="H790" s="37"/>
      <c r="I790" s="37"/>
    </row>
    <row r="791" spans="8:9" ht="14.25" customHeight="1" x14ac:dyDescent="0.25">
      <c r="H791" s="37"/>
      <c r="I791" s="37"/>
    </row>
    <row r="792" spans="8:9" ht="14.25" customHeight="1" x14ac:dyDescent="0.25">
      <c r="H792" s="37"/>
      <c r="I792" s="37"/>
    </row>
    <row r="793" spans="8:9" ht="14.25" customHeight="1" x14ac:dyDescent="0.25">
      <c r="H793" s="37"/>
      <c r="I793" s="37"/>
    </row>
    <row r="794" spans="8:9" ht="14.25" customHeight="1" x14ac:dyDescent="0.25">
      <c r="H794" s="37"/>
      <c r="I794" s="37"/>
    </row>
    <row r="795" spans="8:9" ht="14.25" customHeight="1" x14ac:dyDescent="0.25">
      <c r="H795" s="37"/>
      <c r="I795" s="37"/>
    </row>
    <row r="796" spans="8:9" ht="14.25" customHeight="1" x14ac:dyDescent="0.25">
      <c r="H796" s="37"/>
      <c r="I796" s="37"/>
    </row>
    <row r="797" spans="8:9" ht="14.25" customHeight="1" x14ac:dyDescent="0.25">
      <c r="H797" s="37"/>
      <c r="I797" s="37"/>
    </row>
    <row r="798" spans="8:9" ht="14.25" customHeight="1" x14ac:dyDescent="0.25">
      <c r="H798" s="37"/>
      <c r="I798" s="37"/>
    </row>
    <row r="799" spans="8:9" ht="14.25" customHeight="1" x14ac:dyDescent="0.25">
      <c r="H799" s="37"/>
      <c r="I799" s="37"/>
    </row>
    <row r="800" spans="8:9" ht="14.25" customHeight="1" x14ac:dyDescent="0.25">
      <c r="H800" s="37"/>
      <c r="I800" s="37"/>
    </row>
    <row r="801" spans="8:9" ht="14.25" customHeight="1" x14ac:dyDescent="0.25">
      <c r="H801" s="37"/>
      <c r="I801" s="37"/>
    </row>
    <row r="802" spans="8:9" ht="14.25" customHeight="1" x14ac:dyDescent="0.25">
      <c r="H802" s="37"/>
      <c r="I802" s="37"/>
    </row>
    <row r="803" spans="8:9" ht="14.25" customHeight="1" x14ac:dyDescent="0.25">
      <c r="H803" s="37"/>
      <c r="I803" s="37"/>
    </row>
    <row r="804" spans="8:9" ht="14.25" customHeight="1" x14ac:dyDescent="0.25">
      <c r="H804" s="37"/>
      <c r="I804" s="37"/>
    </row>
    <row r="805" spans="8:9" ht="14.25" customHeight="1" x14ac:dyDescent="0.25">
      <c r="H805" s="37"/>
      <c r="I805" s="37"/>
    </row>
    <row r="806" spans="8:9" ht="14.25" customHeight="1" x14ac:dyDescent="0.25">
      <c r="H806" s="37"/>
      <c r="I806" s="37"/>
    </row>
    <row r="807" spans="8:9" ht="14.25" customHeight="1" x14ac:dyDescent="0.25">
      <c r="H807" s="37"/>
      <c r="I807" s="37"/>
    </row>
    <row r="808" spans="8:9" ht="14.25" customHeight="1" x14ac:dyDescent="0.25">
      <c r="H808" s="37"/>
      <c r="I808" s="37"/>
    </row>
    <row r="809" spans="8:9" ht="14.25" customHeight="1" x14ac:dyDescent="0.25">
      <c r="H809" s="37"/>
      <c r="I809" s="37"/>
    </row>
    <row r="810" spans="8:9" ht="14.25" customHeight="1" x14ac:dyDescent="0.25">
      <c r="H810" s="37"/>
      <c r="I810" s="37"/>
    </row>
    <row r="811" spans="8:9" ht="14.25" customHeight="1" x14ac:dyDescent="0.25">
      <c r="H811" s="37"/>
      <c r="I811" s="37"/>
    </row>
    <row r="812" spans="8:9" ht="14.25" customHeight="1" x14ac:dyDescent="0.25">
      <c r="H812" s="37"/>
      <c r="I812" s="37"/>
    </row>
    <row r="813" spans="8:9" ht="14.25" customHeight="1" x14ac:dyDescent="0.25">
      <c r="H813" s="37"/>
      <c r="I813" s="37"/>
    </row>
    <row r="814" spans="8:9" ht="14.25" customHeight="1" x14ac:dyDescent="0.25">
      <c r="H814" s="37"/>
      <c r="I814" s="37"/>
    </row>
    <row r="815" spans="8:9" ht="14.25" customHeight="1" x14ac:dyDescent="0.25">
      <c r="H815" s="37"/>
      <c r="I815" s="37"/>
    </row>
    <row r="816" spans="8:9" ht="14.25" customHeight="1" x14ac:dyDescent="0.25">
      <c r="H816" s="37"/>
      <c r="I816" s="37"/>
    </row>
    <row r="817" spans="8:9" ht="14.25" customHeight="1" x14ac:dyDescent="0.25">
      <c r="H817" s="37"/>
      <c r="I817" s="37"/>
    </row>
    <row r="818" spans="8:9" ht="14.25" customHeight="1" x14ac:dyDescent="0.25">
      <c r="H818" s="37"/>
      <c r="I818" s="37"/>
    </row>
    <row r="819" spans="8:9" ht="14.25" customHeight="1" x14ac:dyDescent="0.25">
      <c r="H819" s="37"/>
      <c r="I819" s="37"/>
    </row>
    <row r="820" spans="8:9" ht="14.25" customHeight="1" x14ac:dyDescent="0.25">
      <c r="H820" s="37"/>
      <c r="I820" s="37"/>
    </row>
    <row r="821" spans="8:9" ht="14.25" customHeight="1" x14ac:dyDescent="0.25">
      <c r="H821" s="37"/>
      <c r="I821" s="37"/>
    </row>
    <row r="822" spans="8:9" ht="14.25" customHeight="1" x14ac:dyDescent="0.25">
      <c r="H822" s="37"/>
      <c r="I822" s="37"/>
    </row>
    <row r="823" spans="8:9" ht="14.25" customHeight="1" x14ac:dyDescent="0.25">
      <c r="H823" s="37"/>
      <c r="I823" s="37"/>
    </row>
    <row r="824" spans="8:9" ht="14.25" customHeight="1" x14ac:dyDescent="0.25">
      <c r="H824" s="37"/>
      <c r="I824" s="37"/>
    </row>
    <row r="825" spans="8:9" ht="14.25" customHeight="1" x14ac:dyDescent="0.25">
      <c r="H825" s="37"/>
      <c r="I825" s="37"/>
    </row>
    <row r="826" spans="8:9" ht="14.25" customHeight="1" x14ac:dyDescent="0.25">
      <c r="H826" s="37"/>
      <c r="I826" s="37"/>
    </row>
    <row r="827" spans="8:9" ht="14.25" customHeight="1" x14ac:dyDescent="0.25">
      <c r="H827" s="37"/>
      <c r="I827" s="37"/>
    </row>
    <row r="828" spans="8:9" ht="14.25" customHeight="1" x14ac:dyDescent="0.25">
      <c r="H828" s="37"/>
      <c r="I828" s="37"/>
    </row>
    <row r="829" spans="8:9" ht="14.25" customHeight="1" x14ac:dyDescent="0.25">
      <c r="H829" s="37"/>
      <c r="I829" s="37"/>
    </row>
    <row r="830" spans="8:9" ht="14.25" customHeight="1" x14ac:dyDescent="0.25">
      <c r="H830" s="37"/>
      <c r="I830" s="37"/>
    </row>
    <row r="831" spans="8:9" ht="14.25" customHeight="1" x14ac:dyDescent="0.25">
      <c r="H831" s="37"/>
      <c r="I831" s="37"/>
    </row>
    <row r="832" spans="8:9" ht="14.25" customHeight="1" x14ac:dyDescent="0.25">
      <c r="H832" s="37"/>
      <c r="I832" s="37"/>
    </row>
    <row r="833" spans="8:9" ht="14.25" customHeight="1" x14ac:dyDescent="0.25">
      <c r="H833" s="37"/>
      <c r="I833" s="37"/>
    </row>
    <row r="834" spans="8:9" ht="14.25" customHeight="1" x14ac:dyDescent="0.25">
      <c r="H834" s="37"/>
      <c r="I834" s="37"/>
    </row>
    <row r="835" spans="8:9" ht="14.25" customHeight="1" x14ac:dyDescent="0.25">
      <c r="H835" s="37"/>
      <c r="I835" s="37"/>
    </row>
    <row r="836" spans="8:9" ht="14.25" customHeight="1" x14ac:dyDescent="0.25">
      <c r="H836" s="37"/>
      <c r="I836" s="37"/>
    </row>
    <row r="837" spans="8:9" ht="14.25" customHeight="1" x14ac:dyDescent="0.25">
      <c r="H837" s="37"/>
      <c r="I837" s="37"/>
    </row>
    <row r="838" spans="8:9" ht="14.25" customHeight="1" x14ac:dyDescent="0.25">
      <c r="H838" s="37"/>
      <c r="I838" s="37"/>
    </row>
    <row r="839" spans="8:9" ht="14.25" customHeight="1" x14ac:dyDescent="0.25">
      <c r="H839" s="37"/>
      <c r="I839" s="37"/>
    </row>
    <row r="840" spans="8:9" ht="14.25" customHeight="1" x14ac:dyDescent="0.25">
      <c r="H840" s="37"/>
      <c r="I840" s="37"/>
    </row>
    <row r="841" spans="8:9" ht="14.25" customHeight="1" x14ac:dyDescent="0.25">
      <c r="H841" s="37"/>
      <c r="I841" s="37"/>
    </row>
    <row r="842" spans="8:9" ht="14.25" customHeight="1" x14ac:dyDescent="0.25">
      <c r="H842" s="37"/>
      <c r="I842" s="37"/>
    </row>
    <row r="843" spans="8:9" ht="14.25" customHeight="1" x14ac:dyDescent="0.25">
      <c r="H843" s="37"/>
      <c r="I843" s="37"/>
    </row>
    <row r="844" spans="8:9" ht="14.25" customHeight="1" x14ac:dyDescent="0.25">
      <c r="H844" s="37"/>
      <c r="I844" s="37"/>
    </row>
    <row r="845" spans="8:9" ht="14.25" customHeight="1" x14ac:dyDescent="0.25">
      <c r="H845" s="37"/>
      <c r="I845" s="37"/>
    </row>
    <row r="846" spans="8:9" ht="14.25" customHeight="1" x14ac:dyDescent="0.25">
      <c r="H846" s="37"/>
      <c r="I846" s="37"/>
    </row>
    <row r="847" spans="8:9" ht="14.25" customHeight="1" x14ac:dyDescent="0.25">
      <c r="H847" s="37"/>
      <c r="I847" s="37"/>
    </row>
    <row r="848" spans="8:9" ht="14.25" customHeight="1" x14ac:dyDescent="0.25">
      <c r="H848" s="37"/>
      <c r="I848" s="37"/>
    </row>
    <row r="849" spans="8:9" ht="14.25" customHeight="1" x14ac:dyDescent="0.25">
      <c r="H849" s="37"/>
      <c r="I849" s="37"/>
    </row>
    <row r="850" spans="8:9" ht="14.25" customHeight="1" x14ac:dyDescent="0.25">
      <c r="H850" s="37"/>
      <c r="I850" s="37"/>
    </row>
    <row r="851" spans="8:9" ht="14.25" customHeight="1" x14ac:dyDescent="0.25">
      <c r="H851" s="37"/>
      <c r="I851" s="37"/>
    </row>
    <row r="852" spans="8:9" ht="14.25" customHeight="1" x14ac:dyDescent="0.25">
      <c r="H852" s="37"/>
      <c r="I852" s="37"/>
    </row>
    <row r="853" spans="8:9" ht="14.25" customHeight="1" x14ac:dyDescent="0.25">
      <c r="H853" s="37"/>
      <c r="I853" s="37"/>
    </row>
    <row r="854" spans="8:9" ht="14.25" customHeight="1" x14ac:dyDescent="0.25">
      <c r="H854" s="37"/>
      <c r="I854" s="37"/>
    </row>
    <row r="855" spans="8:9" ht="14.25" customHeight="1" x14ac:dyDescent="0.25">
      <c r="H855" s="37"/>
      <c r="I855" s="37"/>
    </row>
    <row r="856" spans="8:9" ht="14.25" customHeight="1" x14ac:dyDescent="0.25">
      <c r="H856" s="37"/>
      <c r="I856" s="37"/>
    </row>
    <row r="857" spans="8:9" ht="14.25" customHeight="1" x14ac:dyDescent="0.25">
      <c r="H857" s="37"/>
      <c r="I857" s="37"/>
    </row>
    <row r="858" spans="8:9" ht="14.25" customHeight="1" x14ac:dyDescent="0.25">
      <c r="H858" s="37"/>
      <c r="I858" s="37"/>
    </row>
    <row r="859" spans="8:9" ht="14.25" customHeight="1" x14ac:dyDescent="0.25">
      <c r="H859" s="37"/>
      <c r="I859" s="37"/>
    </row>
    <row r="860" spans="8:9" ht="14.25" customHeight="1" x14ac:dyDescent="0.25">
      <c r="H860" s="37"/>
      <c r="I860" s="37"/>
    </row>
    <row r="861" spans="8:9" ht="14.25" customHeight="1" x14ac:dyDescent="0.25">
      <c r="H861" s="37"/>
      <c r="I861" s="37"/>
    </row>
    <row r="862" spans="8:9" ht="14.25" customHeight="1" x14ac:dyDescent="0.25">
      <c r="H862" s="37"/>
      <c r="I862" s="37"/>
    </row>
    <row r="863" spans="8:9" ht="14.25" customHeight="1" x14ac:dyDescent="0.25">
      <c r="H863" s="37"/>
      <c r="I863" s="37"/>
    </row>
    <row r="864" spans="8:9" ht="14.25" customHeight="1" x14ac:dyDescent="0.25">
      <c r="H864" s="37"/>
      <c r="I864" s="37"/>
    </row>
    <row r="865" spans="8:9" ht="14.25" customHeight="1" x14ac:dyDescent="0.25">
      <c r="H865" s="37"/>
      <c r="I865" s="37"/>
    </row>
    <row r="866" spans="8:9" ht="14.25" customHeight="1" x14ac:dyDescent="0.25">
      <c r="H866" s="37"/>
      <c r="I866" s="37"/>
    </row>
    <row r="867" spans="8:9" ht="14.25" customHeight="1" x14ac:dyDescent="0.25">
      <c r="H867" s="37"/>
      <c r="I867" s="37"/>
    </row>
    <row r="868" spans="8:9" ht="14.25" customHeight="1" x14ac:dyDescent="0.25">
      <c r="H868" s="37"/>
      <c r="I868" s="37"/>
    </row>
    <row r="869" spans="8:9" ht="14.25" customHeight="1" x14ac:dyDescent="0.25">
      <c r="H869" s="37"/>
      <c r="I869" s="37"/>
    </row>
    <row r="870" spans="8:9" ht="14.25" customHeight="1" x14ac:dyDescent="0.25">
      <c r="H870" s="37"/>
      <c r="I870" s="37"/>
    </row>
    <row r="871" spans="8:9" ht="14.25" customHeight="1" x14ac:dyDescent="0.25">
      <c r="H871" s="37"/>
      <c r="I871" s="37"/>
    </row>
    <row r="872" spans="8:9" ht="14.25" customHeight="1" x14ac:dyDescent="0.25">
      <c r="H872" s="37"/>
      <c r="I872" s="37"/>
    </row>
    <row r="873" spans="8:9" ht="14.25" customHeight="1" x14ac:dyDescent="0.25">
      <c r="H873" s="37"/>
      <c r="I873" s="37"/>
    </row>
    <row r="874" spans="8:9" ht="14.25" customHeight="1" x14ac:dyDescent="0.25">
      <c r="H874" s="37"/>
      <c r="I874" s="37"/>
    </row>
    <row r="875" spans="8:9" ht="14.25" customHeight="1" x14ac:dyDescent="0.25">
      <c r="H875" s="37"/>
      <c r="I875" s="37"/>
    </row>
    <row r="876" spans="8:9" ht="14.25" customHeight="1" x14ac:dyDescent="0.25">
      <c r="H876" s="37"/>
      <c r="I876" s="37"/>
    </row>
    <row r="877" spans="8:9" ht="14.25" customHeight="1" x14ac:dyDescent="0.25">
      <c r="H877" s="37"/>
      <c r="I877" s="37"/>
    </row>
    <row r="878" spans="8:9" ht="14.25" customHeight="1" x14ac:dyDescent="0.25">
      <c r="H878" s="37"/>
      <c r="I878" s="37"/>
    </row>
    <row r="879" spans="8:9" ht="14.25" customHeight="1" x14ac:dyDescent="0.25">
      <c r="H879" s="37"/>
      <c r="I879" s="37"/>
    </row>
    <row r="880" spans="8:9" ht="14.25" customHeight="1" x14ac:dyDescent="0.25">
      <c r="H880" s="37"/>
      <c r="I880" s="37"/>
    </row>
    <row r="881" spans="8:9" ht="14.25" customHeight="1" x14ac:dyDescent="0.25">
      <c r="H881" s="37"/>
      <c r="I881" s="37"/>
    </row>
    <row r="882" spans="8:9" ht="14.25" customHeight="1" x14ac:dyDescent="0.25">
      <c r="H882" s="37"/>
      <c r="I882" s="37"/>
    </row>
    <row r="883" spans="8:9" ht="14.25" customHeight="1" x14ac:dyDescent="0.25">
      <c r="H883" s="37"/>
      <c r="I883" s="37"/>
    </row>
    <row r="884" spans="8:9" ht="14.25" customHeight="1" x14ac:dyDescent="0.25">
      <c r="H884" s="37"/>
      <c r="I884" s="37"/>
    </row>
    <row r="885" spans="8:9" ht="14.25" customHeight="1" x14ac:dyDescent="0.25">
      <c r="H885" s="37"/>
      <c r="I885" s="37"/>
    </row>
    <row r="886" spans="8:9" ht="14.25" customHeight="1" x14ac:dyDescent="0.25">
      <c r="H886" s="37"/>
      <c r="I886" s="37"/>
    </row>
    <row r="887" spans="8:9" ht="14.25" customHeight="1" x14ac:dyDescent="0.25">
      <c r="H887" s="37"/>
      <c r="I887" s="37"/>
    </row>
    <row r="888" spans="8:9" ht="14.25" customHeight="1" x14ac:dyDescent="0.25">
      <c r="H888" s="37"/>
      <c r="I888" s="37"/>
    </row>
    <row r="889" spans="8:9" ht="14.25" customHeight="1" x14ac:dyDescent="0.25">
      <c r="H889" s="37"/>
      <c r="I889" s="37"/>
    </row>
    <row r="890" spans="8:9" ht="14.25" customHeight="1" x14ac:dyDescent="0.25">
      <c r="H890" s="37"/>
      <c r="I890" s="37"/>
    </row>
    <row r="891" spans="8:9" ht="14.25" customHeight="1" x14ac:dyDescent="0.25">
      <c r="H891" s="37"/>
      <c r="I891" s="37"/>
    </row>
    <row r="892" spans="8:9" ht="14.25" customHeight="1" x14ac:dyDescent="0.25">
      <c r="H892" s="37"/>
      <c r="I892" s="37"/>
    </row>
    <row r="893" spans="8:9" ht="14.25" customHeight="1" x14ac:dyDescent="0.25">
      <c r="H893" s="37"/>
      <c r="I893" s="37"/>
    </row>
    <row r="894" spans="8:9" ht="14.25" customHeight="1" x14ac:dyDescent="0.25">
      <c r="H894" s="37"/>
      <c r="I894" s="37"/>
    </row>
    <row r="895" spans="8:9" ht="14.25" customHeight="1" x14ac:dyDescent="0.25">
      <c r="H895" s="37"/>
      <c r="I895" s="37"/>
    </row>
    <row r="896" spans="8:9" ht="14.25" customHeight="1" x14ac:dyDescent="0.25">
      <c r="H896" s="37"/>
      <c r="I896" s="37"/>
    </row>
    <row r="897" spans="8:9" ht="14.25" customHeight="1" x14ac:dyDescent="0.25">
      <c r="H897" s="37"/>
      <c r="I897" s="37"/>
    </row>
    <row r="898" spans="8:9" ht="14.25" customHeight="1" x14ac:dyDescent="0.25">
      <c r="H898" s="37"/>
      <c r="I898" s="37"/>
    </row>
    <row r="899" spans="8:9" ht="14.25" customHeight="1" x14ac:dyDescent="0.25">
      <c r="H899" s="37"/>
      <c r="I899" s="37"/>
    </row>
    <row r="900" spans="8:9" ht="14.25" customHeight="1" x14ac:dyDescent="0.25">
      <c r="H900" s="37"/>
      <c r="I900" s="37"/>
    </row>
    <row r="901" spans="8:9" ht="14.25" customHeight="1" x14ac:dyDescent="0.25">
      <c r="H901" s="37"/>
      <c r="I901" s="37"/>
    </row>
    <row r="902" spans="8:9" ht="14.25" customHeight="1" x14ac:dyDescent="0.25">
      <c r="H902" s="37"/>
      <c r="I902" s="37"/>
    </row>
    <row r="903" spans="8:9" ht="14.25" customHeight="1" x14ac:dyDescent="0.25">
      <c r="H903" s="37"/>
      <c r="I903" s="37"/>
    </row>
    <row r="904" spans="8:9" ht="14.25" customHeight="1" x14ac:dyDescent="0.25">
      <c r="H904" s="37"/>
      <c r="I904" s="37"/>
    </row>
    <row r="905" spans="8:9" ht="14.25" customHeight="1" x14ac:dyDescent="0.25">
      <c r="H905" s="37"/>
      <c r="I905" s="37"/>
    </row>
    <row r="906" spans="8:9" ht="14.25" customHeight="1" x14ac:dyDescent="0.25">
      <c r="H906" s="37"/>
      <c r="I906" s="37"/>
    </row>
    <row r="907" spans="8:9" ht="14.25" customHeight="1" x14ac:dyDescent="0.25">
      <c r="H907" s="37"/>
      <c r="I907" s="37"/>
    </row>
    <row r="908" spans="8:9" ht="14.25" customHeight="1" x14ac:dyDescent="0.25">
      <c r="H908" s="37"/>
      <c r="I908" s="37"/>
    </row>
    <row r="909" spans="8:9" ht="14.25" customHeight="1" x14ac:dyDescent="0.25">
      <c r="H909" s="37"/>
      <c r="I909" s="37"/>
    </row>
    <row r="910" spans="8:9" ht="14.25" customHeight="1" x14ac:dyDescent="0.25">
      <c r="H910" s="37"/>
      <c r="I910" s="37"/>
    </row>
    <row r="911" spans="8:9" ht="14.25" customHeight="1" x14ac:dyDescent="0.25">
      <c r="H911" s="37"/>
      <c r="I911" s="37"/>
    </row>
    <row r="912" spans="8:9" ht="14.25" customHeight="1" x14ac:dyDescent="0.25">
      <c r="H912" s="37"/>
      <c r="I912" s="37"/>
    </row>
    <row r="913" spans="8:9" ht="14.25" customHeight="1" x14ac:dyDescent="0.25">
      <c r="H913" s="37"/>
      <c r="I913" s="37"/>
    </row>
    <row r="914" spans="8:9" ht="14.25" customHeight="1" x14ac:dyDescent="0.25">
      <c r="H914" s="37"/>
      <c r="I914" s="37"/>
    </row>
    <row r="915" spans="8:9" ht="14.25" customHeight="1" x14ac:dyDescent="0.25">
      <c r="H915" s="37"/>
      <c r="I915" s="37"/>
    </row>
    <row r="916" spans="8:9" ht="14.25" customHeight="1" x14ac:dyDescent="0.25">
      <c r="H916" s="37"/>
      <c r="I916" s="37"/>
    </row>
    <row r="917" spans="8:9" ht="14.25" customHeight="1" x14ac:dyDescent="0.25">
      <c r="H917" s="37"/>
      <c r="I917" s="37"/>
    </row>
    <row r="918" spans="8:9" ht="14.25" customHeight="1" x14ac:dyDescent="0.25">
      <c r="H918" s="37"/>
      <c r="I918" s="37"/>
    </row>
    <row r="919" spans="8:9" ht="14.25" customHeight="1" x14ac:dyDescent="0.25">
      <c r="H919" s="37"/>
      <c r="I919" s="37"/>
    </row>
    <row r="920" spans="8:9" ht="14.25" customHeight="1" x14ac:dyDescent="0.25">
      <c r="H920" s="37"/>
      <c r="I920" s="37"/>
    </row>
    <row r="921" spans="8:9" ht="14.25" customHeight="1" x14ac:dyDescent="0.25">
      <c r="H921" s="37"/>
      <c r="I921" s="37"/>
    </row>
    <row r="922" spans="8:9" ht="14.25" customHeight="1" x14ac:dyDescent="0.25">
      <c r="H922" s="37"/>
      <c r="I922" s="37"/>
    </row>
    <row r="923" spans="8:9" ht="14.25" customHeight="1" x14ac:dyDescent="0.25">
      <c r="H923" s="37"/>
      <c r="I923" s="37"/>
    </row>
    <row r="924" spans="8:9" ht="14.25" customHeight="1" x14ac:dyDescent="0.25">
      <c r="H924" s="37"/>
      <c r="I924" s="37"/>
    </row>
    <row r="925" spans="8:9" ht="14.25" customHeight="1" x14ac:dyDescent="0.25">
      <c r="H925" s="37"/>
      <c r="I925" s="37"/>
    </row>
    <row r="926" spans="8:9" ht="14.25" customHeight="1" x14ac:dyDescent="0.25">
      <c r="H926" s="37"/>
      <c r="I926" s="37"/>
    </row>
    <row r="927" spans="8:9" ht="14.25" customHeight="1" x14ac:dyDescent="0.25">
      <c r="H927" s="37"/>
      <c r="I927" s="37"/>
    </row>
    <row r="928" spans="8:9" ht="14.25" customHeight="1" x14ac:dyDescent="0.25">
      <c r="H928" s="37"/>
      <c r="I928" s="37"/>
    </row>
    <row r="929" spans="8:9" ht="14.25" customHeight="1" x14ac:dyDescent="0.25">
      <c r="H929" s="37"/>
      <c r="I929" s="37"/>
    </row>
    <row r="930" spans="8:9" ht="14.25" customHeight="1" x14ac:dyDescent="0.25">
      <c r="H930" s="37"/>
      <c r="I930" s="37"/>
    </row>
    <row r="931" spans="8:9" ht="14.25" customHeight="1" x14ac:dyDescent="0.25">
      <c r="H931" s="37"/>
      <c r="I931" s="37"/>
    </row>
    <row r="932" spans="8:9" ht="14.25" customHeight="1" x14ac:dyDescent="0.25">
      <c r="H932" s="37"/>
      <c r="I932" s="37"/>
    </row>
    <row r="933" spans="8:9" ht="14.25" customHeight="1" x14ac:dyDescent="0.25">
      <c r="H933" s="37"/>
      <c r="I933" s="37"/>
    </row>
    <row r="934" spans="8:9" ht="14.25" customHeight="1" x14ac:dyDescent="0.25">
      <c r="H934" s="37"/>
      <c r="I934" s="37"/>
    </row>
    <row r="935" spans="8:9" ht="14.25" customHeight="1" x14ac:dyDescent="0.25">
      <c r="H935" s="37"/>
      <c r="I935" s="37"/>
    </row>
    <row r="936" spans="8:9" ht="14.25" customHeight="1" x14ac:dyDescent="0.25">
      <c r="H936" s="37"/>
      <c r="I936" s="37"/>
    </row>
    <row r="937" spans="8:9" ht="14.25" customHeight="1" x14ac:dyDescent="0.25">
      <c r="H937" s="37"/>
      <c r="I937" s="37"/>
    </row>
    <row r="938" spans="8:9" ht="14.25" customHeight="1" x14ac:dyDescent="0.25">
      <c r="H938" s="37"/>
      <c r="I938" s="37"/>
    </row>
    <row r="939" spans="8:9" ht="14.25" customHeight="1" x14ac:dyDescent="0.25">
      <c r="H939" s="37"/>
      <c r="I939" s="37"/>
    </row>
    <row r="940" spans="8:9" ht="14.25" customHeight="1" x14ac:dyDescent="0.25">
      <c r="H940" s="37"/>
      <c r="I940" s="37"/>
    </row>
    <row r="941" spans="8:9" ht="14.25" customHeight="1" x14ac:dyDescent="0.25">
      <c r="H941" s="37"/>
      <c r="I941" s="37"/>
    </row>
    <row r="942" spans="8:9" ht="14.25" customHeight="1" x14ac:dyDescent="0.25">
      <c r="H942" s="37"/>
      <c r="I942" s="37"/>
    </row>
    <row r="943" spans="8:9" ht="14.25" customHeight="1" x14ac:dyDescent="0.25">
      <c r="H943" s="37"/>
      <c r="I943" s="37"/>
    </row>
    <row r="944" spans="8:9" ht="14.25" customHeight="1" x14ac:dyDescent="0.25">
      <c r="H944" s="37"/>
      <c r="I944" s="37"/>
    </row>
    <row r="945" spans="8:9" ht="14.25" customHeight="1" x14ac:dyDescent="0.25">
      <c r="H945" s="37"/>
      <c r="I945" s="37"/>
    </row>
    <row r="946" spans="8:9" ht="14.25" customHeight="1" x14ac:dyDescent="0.25">
      <c r="H946" s="37"/>
      <c r="I946" s="37"/>
    </row>
    <row r="947" spans="8:9" ht="14.25" customHeight="1" x14ac:dyDescent="0.25">
      <c r="H947" s="37"/>
      <c r="I947" s="37"/>
    </row>
    <row r="948" spans="8:9" ht="14.25" customHeight="1" x14ac:dyDescent="0.25">
      <c r="H948" s="37"/>
      <c r="I948" s="37"/>
    </row>
    <row r="949" spans="8:9" ht="14.25" customHeight="1" x14ac:dyDescent="0.25">
      <c r="H949" s="37"/>
      <c r="I949" s="37"/>
    </row>
    <row r="950" spans="8:9" ht="14.25" customHeight="1" x14ac:dyDescent="0.25">
      <c r="H950" s="37"/>
      <c r="I950" s="37"/>
    </row>
    <row r="951" spans="8:9" ht="14.25" customHeight="1" x14ac:dyDescent="0.25">
      <c r="H951" s="37"/>
      <c r="I951" s="37"/>
    </row>
    <row r="952" spans="8:9" ht="14.25" customHeight="1" x14ac:dyDescent="0.25">
      <c r="H952" s="37"/>
      <c r="I952" s="37"/>
    </row>
    <row r="953" spans="8:9" ht="14.25" customHeight="1" x14ac:dyDescent="0.25">
      <c r="H953" s="37"/>
      <c r="I953" s="37"/>
    </row>
    <row r="954" spans="8:9" ht="14.25" customHeight="1" x14ac:dyDescent="0.25">
      <c r="H954" s="37"/>
      <c r="I954" s="37"/>
    </row>
    <row r="955" spans="8:9" ht="14.25" customHeight="1" x14ac:dyDescent="0.25">
      <c r="H955" s="37"/>
      <c r="I955" s="37"/>
    </row>
    <row r="956" spans="8:9" ht="14.25" customHeight="1" x14ac:dyDescent="0.25">
      <c r="H956" s="37"/>
      <c r="I956" s="37"/>
    </row>
    <row r="957" spans="8:9" ht="14.25" customHeight="1" x14ac:dyDescent="0.25">
      <c r="H957" s="37"/>
      <c r="I957" s="37"/>
    </row>
    <row r="958" spans="8:9" ht="14.25" customHeight="1" x14ac:dyDescent="0.25">
      <c r="H958" s="37"/>
      <c r="I958" s="37"/>
    </row>
    <row r="959" spans="8:9" ht="14.25" customHeight="1" x14ac:dyDescent="0.25">
      <c r="H959" s="37"/>
      <c r="I959" s="37"/>
    </row>
    <row r="960" spans="8:9" ht="14.25" customHeight="1" x14ac:dyDescent="0.25">
      <c r="H960" s="37"/>
      <c r="I960" s="37"/>
    </row>
    <row r="961" spans="8:9" ht="14.25" customHeight="1" x14ac:dyDescent="0.25">
      <c r="H961" s="37"/>
      <c r="I961" s="37"/>
    </row>
    <row r="962" spans="8:9" ht="14.25" customHeight="1" x14ac:dyDescent="0.25">
      <c r="H962" s="37"/>
      <c r="I962" s="37"/>
    </row>
    <row r="963" spans="8:9" ht="14.25" customHeight="1" x14ac:dyDescent="0.25">
      <c r="H963" s="37"/>
      <c r="I963" s="37"/>
    </row>
    <row r="964" spans="8:9" ht="14.25" customHeight="1" x14ac:dyDescent="0.25">
      <c r="H964" s="37"/>
      <c r="I964" s="37"/>
    </row>
    <row r="965" spans="8:9" ht="14.25" customHeight="1" x14ac:dyDescent="0.25">
      <c r="H965" s="37"/>
      <c r="I965" s="37"/>
    </row>
    <row r="966" spans="8:9" ht="14.25" customHeight="1" x14ac:dyDescent="0.25">
      <c r="H966" s="37"/>
      <c r="I966" s="37"/>
    </row>
    <row r="967" spans="8:9" ht="14.25" customHeight="1" x14ac:dyDescent="0.25">
      <c r="H967" s="37"/>
      <c r="I967" s="37"/>
    </row>
    <row r="968" spans="8:9" ht="14.25" customHeight="1" x14ac:dyDescent="0.25">
      <c r="H968" s="37"/>
      <c r="I968" s="37"/>
    </row>
    <row r="969" spans="8:9" ht="14.25" customHeight="1" x14ac:dyDescent="0.25">
      <c r="H969" s="37"/>
      <c r="I969" s="37"/>
    </row>
    <row r="970" spans="8:9" ht="14.25" customHeight="1" x14ac:dyDescent="0.25">
      <c r="H970" s="37"/>
      <c r="I970" s="37"/>
    </row>
    <row r="971" spans="8:9" ht="14.25" customHeight="1" x14ac:dyDescent="0.25">
      <c r="H971" s="37"/>
      <c r="I971" s="37"/>
    </row>
    <row r="972" spans="8:9" ht="14.25" customHeight="1" x14ac:dyDescent="0.25">
      <c r="H972" s="37"/>
      <c r="I972" s="37"/>
    </row>
    <row r="973" spans="8:9" ht="14.25" customHeight="1" x14ac:dyDescent="0.25">
      <c r="H973" s="37"/>
      <c r="I973" s="37"/>
    </row>
    <row r="974" spans="8:9" ht="14.25" customHeight="1" x14ac:dyDescent="0.25">
      <c r="H974" s="37"/>
      <c r="I974" s="37"/>
    </row>
    <row r="975" spans="8:9" ht="14.25" customHeight="1" x14ac:dyDescent="0.25">
      <c r="H975" s="37"/>
      <c r="I975" s="37"/>
    </row>
    <row r="976" spans="8:9" ht="14.25" customHeight="1" x14ac:dyDescent="0.25">
      <c r="H976" s="37"/>
      <c r="I976" s="37"/>
    </row>
    <row r="977" spans="8:9" ht="14.25" customHeight="1" x14ac:dyDescent="0.25">
      <c r="H977" s="37"/>
      <c r="I977" s="37"/>
    </row>
    <row r="978" spans="8:9" ht="14.25" customHeight="1" x14ac:dyDescent="0.25">
      <c r="H978" s="37"/>
      <c r="I978" s="37"/>
    </row>
    <row r="979" spans="8:9" ht="14.25" customHeight="1" x14ac:dyDescent="0.25">
      <c r="H979" s="37"/>
      <c r="I979" s="37"/>
    </row>
    <row r="980" spans="8:9" ht="14.25" customHeight="1" x14ac:dyDescent="0.25">
      <c r="H980" s="37"/>
      <c r="I980" s="37"/>
    </row>
    <row r="981" spans="8:9" ht="14.25" customHeight="1" x14ac:dyDescent="0.25">
      <c r="H981" s="37"/>
      <c r="I981" s="37"/>
    </row>
    <row r="982" spans="8:9" ht="14.25" customHeight="1" x14ac:dyDescent="0.25">
      <c r="H982" s="37"/>
      <c r="I982" s="37"/>
    </row>
    <row r="983" spans="8:9" ht="14.25" customHeight="1" x14ac:dyDescent="0.25">
      <c r="H983" s="37"/>
      <c r="I983" s="37"/>
    </row>
    <row r="984" spans="8:9" ht="14.25" customHeight="1" x14ac:dyDescent="0.25">
      <c r="H984" s="37"/>
      <c r="I984" s="37"/>
    </row>
    <row r="985" spans="8:9" ht="14.25" customHeight="1" x14ac:dyDescent="0.25">
      <c r="H985" s="37"/>
      <c r="I985" s="37"/>
    </row>
    <row r="986" spans="8:9" ht="14.25" customHeight="1" x14ac:dyDescent="0.25">
      <c r="H986" s="37"/>
      <c r="I986" s="37"/>
    </row>
    <row r="987" spans="8:9" ht="14.25" customHeight="1" x14ac:dyDescent="0.25">
      <c r="H987" s="37"/>
      <c r="I987" s="37"/>
    </row>
    <row r="988" spans="8:9" ht="14.25" customHeight="1" x14ac:dyDescent="0.25">
      <c r="H988" s="37"/>
      <c r="I988" s="37"/>
    </row>
    <row r="989" spans="8:9" ht="14.25" customHeight="1" x14ac:dyDescent="0.25">
      <c r="H989" s="37"/>
      <c r="I989" s="37"/>
    </row>
    <row r="990" spans="8:9" ht="14.25" customHeight="1" x14ac:dyDescent="0.25">
      <c r="H990" s="37"/>
      <c r="I990" s="37"/>
    </row>
    <row r="991" spans="8:9" ht="14.25" customHeight="1" x14ac:dyDescent="0.25">
      <c r="H991" s="37"/>
      <c r="I991" s="37"/>
    </row>
    <row r="992" spans="8:9" ht="14.25" customHeight="1" x14ac:dyDescent="0.25">
      <c r="H992" s="37"/>
      <c r="I992" s="37"/>
    </row>
    <row r="993" spans="8:9" ht="14.25" customHeight="1" x14ac:dyDescent="0.25">
      <c r="H993" s="37"/>
      <c r="I993" s="37"/>
    </row>
    <row r="994" spans="8:9" ht="14.25" customHeight="1" x14ac:dyDescent="0.25">
      <c r="H994" s="37"/>
      <c r="I994" s="37"/>
    </row>
    <row r="995" spans="8:9" ht="14.25" customHeight="1" x14ac:dyDescent="0.25">
      <c r="H995" s="37"/>
      <c r="I995" s="37"/>
    </row>
    <row r="996" spans="8:9" ht="14.25" customHeight="1" x14ac:dyDescent="0.25">
      <c r="H996" s="37"/>
      <c r="I996" s="37"/>
    </row>
    <row r="997" spans="8:9" ht="14.25" customHeight="1" x14ac:dyDescent="0.25">
      <c r="H997" s="37"/>
      <c r="I997" s="37"/>
    </row>
    <row r="998" spans="8:9" ht="14.25" customHeight="1" x14ac:dyDescent="0.25">
      <c r="H998" s="37"/>
      <c r="I998" s="37"/>
    </row>
    <row r="999" spans="8:9" ht="14.25" customHeight="1" x14ac:dyDescent="0.25">
      <c r="H999" s="37"/>
      <c r="I999" s="37"/>
    </row>
    <row r="1000" spans="8:9" ht="14.25" customHeight="1" x14ac:dyDescent="0.25">
      <c r="H1000" s="37"/>
      <c r="I1000" s="37"/>
    </row>
  </sheetData>
  <mergeCells count="1">
    <mergeCell ref="B2:J2"/>
  </mergeCells>
  <pageMargins left="0.511811024" right="0.511811024" top="0.78740157499999996" bottom="0.78740157499999996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4.42578125" customWidth="1"/>
    <col min="3" max="3" width="48" customWidth="1"/>
    <col min="4" max="4" width="17.5703125" customWidth="1"/>
    <col min="5" max="5" width="9.85546875" customWidth="1"/>
    <col min="6" max="6" width="17" customWidth="1"/>
    <col min="7" max="7" width="14.42578125" customWidth="1"/>
    <col min="8" max="8" width="13.85546875" customWidth="1"/>
    <col min="9" max="26" width="8.5703125" customWidth="1"/>
  </cols>
  <sheetData>
    <row r="1" spans="2:8" ht="14.25" customHeight="1" x14ac:dyDescent="0.25">
      <c r="H1" s="34"/>
    </row>
    <row r="2" spans="2:8" ht="14.25" customHeight="1" x14ac:dyDescent="0.25">
      <c r="B2" s="1"/>
      <c r="C2" s="366" t="s">
        <v>275</v>
      </c>
      <c r="D2" s="367"/>
      <c r="E2" s="367"/>
      <c r="F2" s="367"/>
      <c r="G2" s="367"/>
      <c r="H2" s="368"/>
    </row>
    <row r="3" spans="2:8" ht="14.25" customHeight="1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232</v>
      </c>
      <c r="H3" s="5" t="s">
        <v>233</v>
      </c>
    </row>
    <row r="4" spans="2:8" ht="14.25" customHeight="1" x14ac:dyDescent="0.25">
      <c r="B4" s="6" t="s">
        <v>7</v>
      </c>
      <c r="C4" s="7" t="s">
        <v>8</v>
      </c>
      <c r="D4" s="6" t="s">
        <v>9</v>
      </c>
      <c r="E4" s="6">
        <v>22</v>
      </c>
      <c r="F4" s="8">
        <f>E4*16.5</f>
        <v>363</v>
      </c>
      <c r="G4" s="8" t="s">
        <v>10</v>
      </c>
      <c r="H4" s="8" t="s">
        <v>10</v>
      </c>
    </row>
    <row r="5" spans="2:8" ht="14.25" customHeight="1" x14ac:dyDescent="0.25">
      <c r="B5" s="6" t="s">
        <v>14</v>
      </c>
      <c r="C5" s="9" t="s">
        <v>15</v>
      </c>
      <c r="D5" s="6" t="s">
        <v>16</v>
      </c>
      <c r="E5" s="6" t="s">
        <v>10</v>
      </c>
      <c r="F5" s="8" t="s">
        <v>10</v>
      </c>
      <c r="G5" s="8" t="s">
        <v>10</v>
      </c>
      <c r="H5" s="8" t="s">
        <v>10</v>
      </c>
    </row>
    <row r="6" spans="2:8" ht="14.25" customHeight="1" x14ac:dyDescent="0.25">
      <c r="B6" s="6" t="s">
        <v>264</v>
      </c>
      <c r="C6" s="9" t="s">
        <v>265</v>
      </c>
      <c r="D6" s="6" t="s">
        <v>23</v>
      </c>
      <c r="E6" s="6">
        <v>20</v>
      </c>
      <c r="F6" s="8">
        <f t="shared" ref="F6:F14" si="0">E6*16.5</f>
        <v>330</v>
      </c>
      <c r="G6" s="8">
        <v>120</v>
      </c>
      <c r="H6" s="6" t="s">
        <v>10</v>
      </c>
    </row>
    <row r="7" spans="2:8" ht="14.25" customHeight="1" x14ac:dyDescent="0.25">
      <c r="B7" s="6" t="s">
        <v>17</v>
      </c>
      <c r="C7" s="9" t="s">
        <v>18</v>
      </c>
      <c r="D7" s="6" t="s">
        <v>16</v>
      </c>
      <c r="E7" s="6">
        <v>21</v>
      </c>
      <c r="F7" s="8">
        <f t="shared" si="0"/>
        <v>346.5</v>
      </c>
      <c r="G7" s="8">
        <v>120</v>
      </c>
      <c r="H7" s="8" t="s">
        <v>10</v>
      </c>
    </row>
    <row r="8" spans="2:8" ht="14.25" customHeight="1" x14ac:dyDescent="0.25">
      <c r="B8" s="6" t="s">
        <v>19</v>
      </c>
      <c r="C8" s="9" t="s">
        <v>20</v>
      </c>
      <c r="D8" s="6" t="s">
        <v>16</v>
      </c>
      <c r="E8" s="6">
        <v>21</v>
      </c>
      <c r="F8" s="8">
        <f t="shared" si="0"/>
        <v>346.5</v>
      </c>
      <c r="G8" s="8">
        <v>120</v>
      </c>
      <c r="H8" s="8" t="s">
        <v>10</v>
      </c>
    </row>
    <row r="9" spans="2:8" ht="14.25" customHeight="1" x14ac:dyDescent="0.25">
      <c r="B9" s="6" t="s">
        <v>21</v>
      </c>
      <c r="C9" s="9" t="s">
        <v>22</v>
      </c>
      <c r="D9" s="6" t="s">
        <v>23</v>
      </c>
      <c r="E9" s="6">
        <v>21</v>
      </c>
      <c r="F9" s="8">
        <f t="shared" si="0"/>
        <v>346.5</v>
      </c>
      <c r="G9" s="8">
        <v>120</v>
      </c>
      <c r="H9" s="8" t="s">
        <v>10</v>
      </c>
    </row>
    <row r="10" spans="2:8" ht="14.25" customHeight="1" x14ac:dyDescent="0.25">
      <c r="B10" s="6" t="s">
        <v>27</v>
      </c>
      <c r="C10" s="9" t="s">
        <v>28</v>
      </c>
      <c r="D10" s="6" t="s">
        <v>29</v>
      </c>
      <c r="E10" s="6">
        <v>7</v>
      </c>
      <c r="F10" s="8">
        <f t="shared" si="0"/>
        <v>115.5</v>
      </c>
      <c r="G10" s="8">
        <v>40</v>
      </c>
      <c r="H10" s="8" t="s">
        <v>10</v>
      </c>
    </row>
    <row r="11" spans="2:8" ht="14.25" customHeight="1" x14ac:dyDescent="0.25">
      <c r="B11" s="6" t="s">
        <v>30</v>
      </c>
      <c r="C11" s="9" t="s">
        <v>31</v>
      </c>
      <c r="D11" s="6" t="s">
        <v>32</v>
      </c>
      <c r="E11" s="6">
        <v>21</v>
      </c>
      <c r="F11" s="8">
        <f t="shared" si="0"/>
        <v>346.5</v>
      </c>
      <c r="G11" s="8">
        <v>120</v>
      </c>
      <c r="H11" s="8" t="s">
        <v>10</v>
      </c>
    </row>
    <row r="12" spans="2:8" ht="14.25" customHeight="1" x14ac:dyDescent="0.25">
      <c r="B12" s="6" t="s">
        <v>36</v>
      </c>
      <c r="C12" s="9" t="s">
        <v>37</v>
      </c>
      <c r="D12" s="6" t="s">
        <v>29</v>
      </c>
      <c r="E12" s="6">
        <v>7</v>
      </c>
      <c r="F12" s="8">
        <f t="shared" si="0"/>
        <v>115.5</v>
      </c>
      <c r="G12" s="8">
        <v>40</v>
      </c>
      <c r="H12" s="8" t="s">
        <v>10</v>
      </c>
    </row>
    <row r="13" spans="2:8" ht="14.25" customHeight="1" x14ac:dyDescent="0.25">
      <c r="B13" s="6" t="s">
        <v>38</v>
      </c>
      <c r="C13" s="9" t="s">
        <v>39</v>
      </c>
      <c r="D13" s="6" t="s">
        <v>40</v>
      </c>
      <c r="E13" s="6">
        <v>21</v>
      </c>
      <c r="F13" s="8">
        <f t="shared" si="0"/>
        <v>346.5</v>
      </c>
      <c r="G13" s="8" t="s">
        <v>10</v>
      </c>
      <c r="H13" s="8" t="s">
        <v>10</v>
      </c>
    </row>
    <row r="14" spans="2:8" ht="14.25" customHeight="1" x14ac:dyDescent="0.25">
      <c r="B14" s="6" t="s">
        <v>41</v>
      </c>
      <c r="C14" s="9" t="s">
        <v>42</v>
      </c>
      <c r="D14" s="6" t="s">
        <v>35</v>
      </c>
      <c r="E14" s="6">
        <v>21</v>
      </c>
      <c r="F14" s="8">
        <f t="shared" si="0"/>
        <v>346.5</v>
      </c>
      <c r="G14" s="8">
        <v>120</v>
      </c>
      <c r="H14" s="8" t="s">
        <v>10</v>
      </c>
    </row>
    <row r="15" spans="2:8" ht="14.25" customHeight="1" x14ac:dyDescent="0.25">
      <c r="B15" s="6" t="s">
        <v>234</v>
      </c>
      <c r="C15" s="9" t="s">
        <v>235</v>
      </c>
      <c r="D15" s="6" t="s">
        <v>103</v>
      </c>
      <c r="E15" s="6" t="s">
        <v>245</v>
      </c>
      <c r="F15" s="8">
        <v>600</v>
      </c>
      <c r="G15" s="8" t="s">
        <v>10</v>
      </c>
      <c r="H15" s="8" t="s">
        <v>10</v>
      </c>
    </row>
    <row r="16" spans="2:8" ht="14.25" customHeight="1" x14ac:dyDescent="0.25">
      <c r="B16" s="12">
        <v>10705364402</v>
      </c>
      <c r="C16" s="13" t="s">
        <v>51</v>
      </c>
      <c r="D16" s="6" t="s">
        <v>52</v>
      </c>
      <c r="E16" s="6">
        <v>21</v>
      </c>
      <c r="F16" s="8">
        <f t="shared" ref="F16:F56" si="1">E16*16.5</f>
        <v>346.5</v>
      </c>
      <c r="G16" s="8">
        <v>120</v>
      </c>
      <c r="H16" s="8" t="s">
        <v>10</v>
      </c>
    </row>
    <row r="17" spans="2:8" ht="14.25" customHeight="1" x14ac:dyDescent="0.25">
      <c r="B17" s="6" t="s">
        <v>53</v>
      </c>
      <c r="C17" s="9" t="s">
        <v>54</v>
      </c>
      <c r="D17" s="6" t="s">
        <v>52</v>
      </c>
      <c r="E17" s="6">
        <v>21</v>
      </c>
      <c r="F17" s="8">
        <f t="shared" si="1"/>
        <v>346.5</v>
      </c>
      <c r="G17" s="8">
        <v>120</v>
      </c>
      <c r="H17" s="8" t="s">
        <v>10</v>
      </c>
    </row>
    <row r="18" spans="2:8" ht="14.25" customHeight="1" x14ac:dyDescent="0.25">
      <c r="B18" s="6" t="s">
        <v>250</v>
      </c>
      <c r="C18" s="9" t="s">
        <v>251</v>
      </c>
      <c r="D18" s="6" t="s">
        <v>40</v>
      </c>
      <c r="E18" s="6">
        <v>20</v>
      </c>
      <c r="F18" s="8">
        <f t="shared" si="1"/>
        <v>330</v>
      </c>
      <c r="G18" s="8" t="s">
        <v>10</v>
      </c>
      <c r="H18" s="6" t="s">
        <v>10</v>
      </c>
    </row>
    <row r="19" spans="2:8" ht="14.25" customHeight="1" x14ac:dyDescent="0.25">
      <c r="B19" s="14" t="s">
        <v>55</v>
      </c>
      <c r="C19" s="9" t="s">
        <v>56</v>
      </c>
      <c r="D19" s="6" t="s">
        <v>32</v>
      </c>
      <c r="E19" s="6">
        <v>21</v>
      </c>
      <c r="F19" s="8">
        <f t="shared" si="1"/>
        <v>346.5</v>
      </c>
      <c r="G19" s="8">
        <v>120</v>
      </c>
      <c r="H19" s="8" t="s">
        <v>10</v>
      </c>
    </row>
    <row r="20" spans="2:8" ht="14.25" customHeight="1" x14ac:dyDescent="0.25">
      <c r="B20" s="14" t="s">
        <v>57</v>
      </c>
      <c r="C20" s="9" t="s">
        <v>58</v>
      </c>
      <c r="D20" s="6" t="s">
        <v>47</v>
      </c>
      <c r="E20" s="6">
        <v>21</v>
      </c>
      <c r="F20" s="8">
        <f t="shared" si="1"/>
        <v>346.5</v>
      </c>
      <c r="G20" s="8">
        <v>120</v>
      </c>
      <c r="H20" s="8" t="s">
        <v>10</v>
      </c>
    </row>
    <row r="21" spans="2:8" ht="14.25" customHeight="1" x14ac:dyDescent="0.25">
      <c r="B21" s="6" t="s">
        <v>266</v>
      </c>
      <c r="C21" s="9" t="s">
        <v>267</v>
      </c>
      <c r="D21" s="6" t="s">
        <v>23</v>
      </c>
      <c r="E21" s="6">
        <v>20</v>
      </c>
      <c r="F21" s="8">
        <f t="shared" si="1"/>
        <v>330</v>
      </c>
      <c r="G21" s="8">
        <v>120</v>
      </c>
      <c r="H21" s="6"/>
    </row>
    <row r="22" spans="2:8" ht="14.25" customHeight="1" x14ac:dyDescent="0.25">
      <c r="B22" s="6" t="s">
        <v>59</v>
      </c>
      <c r="C22" s="9" t="s">
        <v>60</v>
      </c>
      <c r="D22" s="6" t="s">
        <v>9</v>
      </c>
      <c r="E22" s="6">
        <v>24</v>
      </c>
      <c r="F22" s="8">
        <f t="shared" si="1"/>
        <v>396</v>
      </c>
      <c r="G22" s="8" t="s">
        <v>10</v>
      </c>
      <c r="H22" s="8" t="s">
        <v>10</v>
      </c>
    </row>
    <row r="23" spans="2:8" ht="14.25" customHeight="1" x14ac:dyDescent="0.25">
      <c r="B23" s="6" t="s">
        <v>271</v>
      </c>
      <c r="C23" s="9" t="s">
        <v>272</v>
      </c>
      <c r="D23" s="6" t="s">
        <v>103</v>
      </c>
      <c r="E23" s="6">
        <v>20</v>
      </c>
      <c r="F23" s="8">
        <f t="shared" si="1"/>
        <v>330</v>
      </c>
      <c r="G23" s="8">
        <v>120</v>
      </c>
      <c r="H23" s="6" t="s">
        <v>10</v>
      </c>
    </row>
    <row r="24" spans="2:8" ht="14.25" customHeight="1" x14ac:dyDescent="0.25">
      <c r="B24" s="14" t="s">
        <v>66</v>
      </c>
      <c r="C24" s="9" t="s">
        <v>67</v>
      </c>
      <c r="D24" s="6" t="s">
        <v>32</v>
      </c>
      <c r="E24" s="6">
        <v>21</v>
      </c>
      <c r="F24" s="8">
        <f t="shared" si="1"/>
        <v>346.5</v>
      </c>
      <c r="G24" s="8" t="s">
        <v>10</v>
      </c>
      <c r="H24" s="8" t="s">
        <v>10</v>
      </c>
    </row>
    <row r="25" spans="2:8" ht="14.25" customHeight="1" x14ac:dyDescent="0.25">
      <c r="B25" s="6" t="s">
        <v>224</v>
      </c>
      <c r="C25" s="35" t="s">
        <v>225</v>
      </c>
      <c r="D25" s="6" t="s">
        <v>143</v>
      </c>
      <c r="E25" s="6">
        <v>21</v>
      </c>
      <c r="F25" s="8">
        <f t="shared" si="1"/>
        <v>346.5</v>
      </c>
      <c r="G25" s="6" t="s">
        <v>10</v>
      </c>
      <c r="H25" s="8" t="s">
        <v>10</v>
      </c>
    </row>
    <row r="26" spans="2:8" ht="14.25" customHeight="1" x14ac:dyDescent="0.25">
      <c r="B26" s="6" t="s">
        <v>70</v>
      </c>
      <c r="C26" s="9" t="s">
        <v>71</v>
      </c>
      <c r="D26" s="6" t="s">
        <v>32</v>
      </c>
      <c r="E26" s="6">
        <v>21</v>
      </c>
      <c r="F26" s="8">
        <f t="shared" si="1"/>
        <v>346.5</v>
      </c>
      <c r="G26" s="8">
        <v>120</v>
      </c>
      <c r="H26" s="8" t="s">
        <v>10</v>
      </c>
    </row>
    <row r="27" spans="2:8" ht="14.25" customHeight="1" x14ac:dyDescent="0.25">
      <c r="B27" s="6" t="s">
        <v>72</v>
      </c>
      <c r="C27" s="9" t="s">
        <v>73</v>
      </c>
      <c r="D27" s="6" t="s">
        <v>9</v>
      </c>
      <c r="E27" s="6">
        <v>22</v>
      </c>
      <c r="F27" s="8">
        <f t="shared" si="1"/>
        <v>363</v>
      </c>
      <c r="G27" s="8">
        <v>120</v>
      </c>
      <c r="H27" s="8" t="s">
        <v>10</v>
      </c>
    </row>
    <row r="28" spans="2:8" ht="14.25" customHeight="1" x14ac:dyDescent="0.25">
      <c r="B28" s="14" t="s">
        <v>74</v>
      </c>
      <c r="C28" s="9" t="s">
        <v>75</v>
      </c>
      <c r="D28" s="6" t="s">
        <v>143</v>
      </c>
      <c r="E28" s="6">
        <v>21</v>
      </c>
      <c r="F28" s="8">
        <f t="shared" si="1"/>
        <v>346.5</v>
      </c>
      <c r="G28" s="8">
        <v>120</v>
      </c>
      <c r="H28" s="8" t="s">
        <v>10</v>
      </c>
    </row>
    <row r="29" spans="2:8" ht="14.25" customHeight="1" x14ac:dyDescent="0.25">
      <c r="B29" s="6" t="s">
        <v>237</v>
      </c>
      <c r="C29" s="35" t="s">
        <v>238</v>
      </c>
      <c r="D29" s="6" t="s">
        <v>103</v>
      </c>
      <c r="E29" s="6">
        <v>21</v>
      </c>
      <c r="F29" s="8">
        <f t="shared" si="1"/>
        <v>346.5</v>
      </c>
      <c r="G29" s="8">
        <v>120</v>
      </c>
      <c r="H29" s="6" t="s">
        <v>10</v>
      </c>
    </row>
    <row r="30" spans="2:8" ht="14.25" customHeight="1" x14ac:dyDescent="0.25">
      <c r="B30" s="6" t="s">
        <v>229</v>
      </c>
      <c r="C30" s="35" t="s">
        <v>230</v>
      </c>
      <c r="D30" s="6" t="s">
        <v>143</v>
      </c>
      <c r="E30" s="6">
        <v>21</v>
      </c>
      <c r="F30" s="8">
        <f t="shared" si="1"/>
        <v>346.5</v>
      </c>
      <c r="G30" s="8">
        <v>120</v>
      </c>
      <c r="H30" s="8" t="s">
        <v>10</v>
      </c>
    </row>
    <row r="31" spans="2:8" ht="14.25" customHeight="1" x14ac:dyDescent="0.25">
      <c r="B31" s="14" t="s">
        <v>80</v>
      </c>
      <c r="C31" s="9" t="s">
        <v>81</v>
      </c>
      <c r="D31" s="6" t="s">
        <v>16</v>
      </c>
      <c r="E31" s="6">
        <v>21</v>
      </c>
      <c r="F31" s="8">
        <f t="shared" si="1"/>
        <v>346.5</v>
      </c>
      <c r="G31" s="8">
        <v>120</v>
      </c>
      <c r="H31" s="8" t="s">
        <v>10</v>
      </c>
    </row>
    <row r="32" spans="2:8" ht="14.25" customHeight="1" x14ac:dyDescent="0.25">
      <c r="B32" s="14" t="s">
        <v>84</v>
      </c>
      <c r="C32" s="9" t="s">
        <v>85</v>
      </c>
      <c r="D32" s="6" t="s">
        <v>86</v>
      </c>
      <c r="E32" s="6">
        <v>21</v>
      </c>
      <c r="F32" s="8">
        <f t="shared" si="1"/>
        <v>346.5</v>
      </c>
      <c r="G32" s="8">
        <v>120</v>
      </c>
      <c r="H32" s="8" t="s">
        <v>10</v>
      </c>
    </row>
    <row r="33" spans="2:8" ht="14.25" customHeight="1" x14ac:dyDescent="0.25">
      <c r="B33" s="14" t="s">
        <v>87</v>
      </c>
      <c r="C33" s="9" t="s">
        <v>88</v>
      </c>
      <c r="D33" s="6" t="s">
        <v>23</v>
      </c>
      <c r="E33" s="6">
        <v>21</v>
      </c>
      <c r="F33" s="8">
        <f t="shared" si="1"/>
        <v>346.5</v>
      </c>
      <c r="G33" s="8" t="s">
        <v>10</v>
      </c>
      <c r="H33" s="8" t="s">
        <v>10</v>
      </c>
    </row>
    <row r="34" spans="2:8" ht="14.25" customHeight="1" x14ac:dyDescent="0.25">
      <c r="B34" s="14" t="s">
        <v>89</v>
      </c>
      <c r="C34" s="9" t="s">
        <v>90</v>
      </c>
      <c r="D34" s="6" t="s">
        <v>35</v>
      </c>
      <c r="E34" s="6">
        <v>21</v>
      </c>
      <c r="F34" s="8">
        <f t="shared" si="1"/>
        <v>346.5</v>
      </c>
      <c r="G34" s="8" t="s">
        <v>10</v>
      </c>
      <c r="H34" s="8" t="s">
        <v>10</v>
      </c>
    </row>
    <row r="35" spans="2:8" ht="14.25" customHeight="1" x14ac:dyDescent="0.25">
      <c r="B35" s="14" t="s">
        <v>91</v>
      </c>
      <c r="C35" s="9" t="s">
        <v>92</v>
      </c>
      <c r="D35" s="6" t="s">
        <v>35</v>
      </c>
      <c r="E35" s="6">
        <v>7</v>
      </c>
      <c r="F35" s="8">
        <f t="shared" si="1"/>
        <v>115.5</v>
      </c>
      <c r="G35" s="8">
        <v>40</v>
      </c>
      <c r="H35" s="8" t="s">
        <v>10</v>
      </c>
    </row>
    <row r="36" spans="2:8" ht="14.25" customHeight="1" x14ac:dyDescent="0.25">
      <c r="B36" s="15" t="s">
        <v>93</v>
      </c>
      <c r="C36" s="7" t="s">
        <v>94</v>
      </c>
      <c r="D36" s="6" t="s">
        <v>52</v>
      </c>
      <c r="E36" s="6">
        <v>21</v>
      </c>
      <c r="F36" s="8">
        <f t="shared" si="1"/>
        <v>346.5</v>
      </c>
      <c r="G36" s="8" t="s">
        <v>10</v>
      </c>
      <c r="H36" s="8" t="s">
        <v>10</v>
      </c>
    </row>
    <row r="37" spans="2:8" ht="14.25" customHeight="1" x14ac:dyDescent="0.25">
      <c r="B37" s="14" t="s">
        <v>95</v>
      </c>
      <c r="C37" s="9" t="s">
        <v>96</v>
      </c>
      <c r="D37" s="6" t="s">
        <v>47</v>
      </c>
      <c r="E37" s="6">
        <v>21</v>
      </c>
      <c r="F37" s="8">
        <f t="shared" si="1"/>
        <v>346.5</v>
      </c>
      <c r="G37" s="8">
        <v>120</v>
      </c>
      <c r="H37" s="8" t="s">
        <v>10</v>
      </c>
    </row>
    <row r="38" spans="2:8" ht="14.25" customHeight="1" x14ac:dyDescent="0.25">
      <c r="B38" s="14" t="s">
        <v>97</v>
      </c>
      <c r="C38" s="9" t="s">
        <v>98</v>
      </c>
      <c r="D38" s="6" t="s">
        <v>86</v>
      </c>
      <c r="E38" s="6">
        <v>21</v>
      </c>
      <c r="F38" s="8">
        <f t="shared" si="1"/>
        <v>346.5</v>
      </c>
      <c r="G38" s="8">
        <v>120</v>
      </c>
      <c r="H38" s="8" t="s">
        <v>10</v>
      </c>
    </row>
    <row r="39" spans="2:8" ht="14.25" customHeight="1" x14ac:dyDescent="0.25">
      <c r="B39" s="6" t="s">
        <v>99</v>
      </c>
      <c r="C39" s="9" t="s">
        <v>100</v>
      </c>
      <c r="D39" s="6" t="s">
        <v>13</v>
      </c>
      <c r="E39" s="6">
        <v>21</v>
      </c>
      <c r="F39" s="8">
        <f t="shared" si="1"/>
        <v>346.5</v>
      </c>
      <c r="G39" s="8">
        <v>120</v>
      </c>
      <c r="H39" s="8" t="s">
        <v>10</v>
      </c>
    </row>
    <row r="40" spans="2:8" ht="14.25" customHeight="1" x14ac:dyDescent="0.25">
      <c r="B40" s="6" t="s">
        <v>273</v>
      </c>
      <c r="C40" s="35" t="s">
        <v>274</v>
      </c>
      <c r="D40" s="6" t="s">
        <v>35</v>
      </c>
      <c r="E40" s="6">
        <v>20</v>
      </c>
      <c r="F40" s="8">
        <f t="shared" si="1"/>
        <v>330</v>
      </c>
      <c r="G40" s="8">
        <v>120</v>
      </c>
      <c r="H40" s="8"/>
    </row>
    <row r="41" spans="2:8" ht="14.25" customHeight="1" x14ac:dyDescent="0.25">
      <c r="B41" s="6" t="s">
        <v>227</v>
      </c>
      <c r="C41" s="35" t="s">
        <v>228</v>
      </c>
      <c r="D41" s="6" t="s">
        <v>65</v>
      </c>
      <c r="E41" s="6">
        <v>21</v>
      </c>
      <c r="F41" s="8">
        <f t="shared" si="1"/>
        <v>346.5</v>
      </c>
      <c r="G41" s="8">
        <v>120</v>
      </c>
      <c r="H41" s="8" t="s">
        <v>10</v>
      </c>
    </row>
    <row r="42" spans="2:8" ht="14.25" customHeight="1" x14ac:dyDescent="0.25">
      <c r="B42" s="14" t="s">
        <v>106</v>
      </c>
      <c r="C42" s="9" t="s">
        <v>107</v>
      </c>
      <c r="D42" s="6" t="s">
        <v>47</v>
      </c>
      <c r="E42" s="6">
        <v>21</v>
      </c>
      <c r="F42" s="8">
        <f t="shared" si="1"/>
        <v>346.5</v>
      </c>
      <c r="G42" s="8">
        <v>120</v>
      </c>
      <c r="H42" s="8" t="s">
        <v>10</v>
      </c>
    </row>
    <row r="43" spans="2:8" ht="14.25" customHeight="1" x14ac:dyDescent="0.25">
      <c r="B43" s="14" t="s">
        <v>108</v>
      </c>
      <c r="C43" s="9" t="s">
        <v>109</v>
      </c>
      <c r="D43" s="6" t="s">
        <v>23</v>
      </c>
      <c r="E43" s="6">
        <v>19</v>
      </c>
      <c r="F43" s="8">
        <f t="shared" si="1"/>
        <v>313.5</v>
      </c>
      <c r="G43" s="8">
        <v>108.57</v>
      </c>
      <c r="H43" s="8" t="s">
        <v>10</v>
      </c>
    </row>
    <row r="44" spans="2:8" ht="14.25" customHeight="1" x14ac:dyDescent="0.25">
      <c r="B44" s="14" t="s">
        <v>112</v>
      </c>
      <c r="C44" s="9" t="s">
        <v>113</v>
      </c>
      <c r="D44" s="6" t="s">
        <v>52</v>
      </c>
      <c r="E44" s="6">
        <v>21</v>
      </c>
      <c r="F44" s="8">
        <f t="shared" si="1"/>
        <v>346.5</v>
      </c>
      <c r="G44" s="8">
        <v>120</v>
      </c>
      <c r="H44" s="8" t="s">
        <v>10</v>
      </c>
    </row>
    <row r="45" spans="2:8" ht="14.25" customHeight="1" x14ac:dyDescent="0.25">
      <c r="B45" s="6" t="s">
        <v>239</v>
      </c>
      <c r="C45" s="35" t="s">
        <v>240</v>
      </c>
      <c r="D45" s="6" t="s">
        <v>143</v>
      </c>
      <c r="E45" s="6">
        <v>21</v>
      </c>
      <c r="F45" s="8">
        <f t="shared" si="1"/>
        <v>346.5</v>
      </c>
      <c r="G45" s="8" t="s">
        <v>10</v>
      </c>
      <c r="H45" s="8">
        <v>56</v>
      </c>
    </row>
    <row r="46" spans="2:8" ht="14.25" customHeight="1" x14ac:dyDescent="0.25">
      <c r="B46" s="14" t="s">
        <v>114</v>
      </c>
      <c r="C46" s="9" t="s">
        <v>115</v>
      </c>
      <c r="D46" s="6" t="s">
        <v>143</v>
      </c>
      <c r="E46" s="6">
        <v>21</v>
      </c>
      <c r="F46" s="8">
        <f t="shared" si="1"/>
        <v>346.5</v>
      </c>
      <c r="G46" s="8">
        <v>120</v>
      </c>
      <c r="H46" s="8" t="s">
        <v>10</v>
      </c>
    </row>
    <row r="47" spans="2:8" ht="14.25" customHeight="1" x14ac:dyDescent="0.25">
      <c r="B47" s="6" t="s">
        <v>116</v>
      </c>
      <c r="C47" s="9" t="s">
        <v>117</v>
      </c>
      <c r="D47" s="16" t="s">
        <v>23</v>
      </c>
      <c r="E47" s="6">
        <v>21</v>
      </c>
      <c r="F47" s="8">
        <f t="shared" si="1"/>
        <v>346.5</v>
      </c>
      <c r="G47" s="8">
        <v>120</v>
      </c>
      <c r="H47" s="8" t="s">
        <v>10</v>
      </c>
    </row>
    <row r="48" spans="2:8" ht="14.25" customHeight="1" x14ac:dyDescent="0.25">
      <c r="B48" s="14" t="s">
        <v>118</v>
      </c>
      <c r="C48" s="9" t="s">
        <v>119</v>
      </c>
      <c r="D48" s="6" t="s">
        <v>9</v>
      </c>
      <c r="E48" s="6">
        <v>10</v>
      </c>
      <c r="F48" s="8">
        <f t="shared" si="1"/>
        <v>165</v>
      </c>
      <c r="G48" s="8">
        <v>54.54</v>
      </c>
      <c r="H48" s="8" t="s">
        <v>10</v>
      </c>
    </row>
    <row r="49" spans="2:8" ht="14.25" customHeight="1" x14ac:dyDescent="0.25">
      <c r="B49" s="6" t="s">
        <v>120</v>
      </c>
      <c r="C49" s="9" t="s">
        <v>121</v>
      </c>
      <c r="D49" s="6" t="s">
        <v>52</v>
      </c>
      <c r="E49" s="6">
        <v>21</v>
      </c>
      <c r="F49" s="8">
        <f t="shared" si="1"/>
        <v>346.5</v>
      </c>
      <c r="G49" s="8">
        <v>120</v>
      </c>
      <c r="H49" s="8" t="s">
        <v>10</v>
      </c>
    </row>
    <row r="50" spans="2:8" ht="14.25" customHeight="1" x14ac:dyDescent="0.25">
      <c r="B50" s="6" t="s">
        <v>268</v>
      </c>
      <c r="C50" s="9" t="s">
        <v>269</v>
      </c>
      <c r="D50" s="6" t="s">
        <v>32</v>
      </c>
      <c r="E50" s="6">
        <v>20</v>
      </c>
      <c r="F50" s="8">
        <f t="shared" si="1"/>
        <v>330</v>
      </c>
      <c r="G50" s="8">
        <v>120</v>
      </c>
      <c r="H50" s="6"/>
    </row>
    <row r="51" spans="2:8" ht="14.25" customHeight="1" x14ac:dyDescent="0.25">
      <c r="B51" s="14" t="s">
        <v>122</v>
      </c>
      <c r="C51" s="9" t="s">
        <v>123</v>
      </c>
      <c r="D51" s="6" t="s">
        <v>143</v>
      </c>
      <c r="E51" s="6">
        <v>18</v>
      </c>
      <c r="F51" s="8">
        <f t="shared" si="1"/>
        <v>297</v>
      </c>
      <c r="G51" s="8">
        <v>102.85</v>
      </c>
      <c r="H51" s="8" t="s">
        <v>10</v>
      </c>
    </row>
    <row r="52" spans="2:8" ht="14.25" customHeight="1" x14ac:dyDescent="0.25">
      <c r="B52" s="14" t="s">
        <v>124</v>
      </c>
      <c r="C52" s="9" t="s">
        <v>125</v>
      </c>
      <c r="D52" s="6" t="s">
        <v>86</v>
      </c>
      <c r="E52" s="6">
        <v>21</v>
      </c>
      <c r="F52" s="8">
        <f t="shared" si="1"/>
        <v>346.5</v>
      </c>
      <c r="G52" s="8">
        <v>120</v>
      </c>
      <c r="H52" s="8" t="s">
        <v>10</v>
      </c>
    </row>
    <row r="53" spans="2:8" ht="14.25" customHeight="1" x14ac:dyDescent="0.25">
      <c r="B53" s="14" t="s">
        <v>126</v>
      </c>
      <c r="C53" s="9" t="s">
        <v>127</v>
      </c>
      <c r="D53" s="6" t="s">
        <v>29</v>
      </c>
      <c r="E53" s="6">
        <v>21</v>
      </c>
      <c r="F53" s="8">
        <f t="shared" si="1"/>
        <v>346.5</v>
      </c>
      <c r="G53" s="8">
        <v>120</v>
      </c>
      <c r="H53" s="8" t="s">
        <v>10</v>
      </c>
    </row>
    <row r="54" spans="2:8" ht="14.25" customHeight="1" x14ac:dyDescent="0.25">
      <c r="B54" s="12">
        <v>4912836443</v>
      </c>
      <c r="C54" s="9" t="s">
        <v>128</v>
      </c>
      <c r="D54" s="6" t="s">
        <v>86</v>
      </c>
      <c r="E54" s="6">
        <v>21</v>
      </c>
      <c r="F54" s="8">
        <f t="shared" si="1"/>
        <v>346.5</v>
      </c>
      <c r="G54" s="8">
        <v>120</v>
      </c>
      <c r="H54" s="8" t="s">
        <v>10</v>
      </c>
    </row>
    <row r="55" spans="2:8" ht="14.25" customHeight="1" x14ac:dyDescent="0.25">
      <c r="B55" s="6" t="s">
        <v>242</v>
      </c>
      <c r="C55" s="35" t="s">
        <v>243</v>
      </c>
      <c r="D55" s="6" t="s">
        <v>40</v>
      </c>
      <c r="E55" s="6">
        <v>21</v>
      </c>
      <c r="F55" s="8">
        <f t="shared" si="1"/>
        <v>346.5</v>
      </c>
      <c r="G55" s="8">
        <v>120</v>
      </c>
      <c r="H55" s="6" t="s">
        <v>10</v>
      </c>
    </row>
    <row r="56" spans="2:8" ht="14.25" customHeight="1" x14ac:dyDescent="0.25">
      <c r="B56" s="17" t="s">
        <v>129</v>
      </c>
      <c r="C56" s="13" t="s">
        <v>130</v>
      </c>
      <c r="D56" s="6" t="s">
        <v>16</v>
      </c>
      <c r="E56" s="6">
        <v>21</v>
      </c>
      <c r="F56" s="8">
        <f t="shared" si="1"/>
        <v>346.5</v>
      </c>
      <c r="G56" s="8">
        <v>120</v>
      </c>
      <c r="H56" s="8" t="s">
        <v>10</v>
      </c>
    </row>
    <row r="57" spans="2:8" ht="14.25" customHeight="1" x14ac:dyDescent="0.25">
      <c r="B57" s="14" t="s">
        <v>158</v>
      </c>
      <c r="C57" s="9" t="s">
        <v>159</v>
      </c>
      <c r="D57" s="6" t="s">
        <v>29</v>
      </c>
      <c r="E57" s="6" t="s">
        <v>10</v>
      </c>
      <c r="F57" s="8" t="s">
        <v>10</v>
      </c>
      <c r="G57" s="8" t="s">
        <v>10</v>
      </c>
      <c r="H57" s="8" t="s">
        <v>10</v>
      </c>
    </row>
    <row r="58" spans="2:8" ht="14.25" customHeight="1" x14ac:dyDescent="0.25">
      <c r="B58" s="14" t="s">
        <v>131</v>
      </c>
      <c r="C58" s="9" t="s">
        <v>132</v>
      </c>
      <c r="D58" s="6" t="s">
        <v>143</v>
      </c>
      <c r="E58" s="6">
        <v>21</v>
      </c>
      <c r="F58" s="8">
        <f t="shared" ref="F58:F99" si="2">E58*16.5</f>
        <v>346.5</v>
      </c>
      <c r="G58" s="8">
        <v>120</v>
      </c>
      <c r="H58" s="8" t="s">
        <v>10</v>
      </c>
    </row>
    <row r="59" spans="2:8" ht="14.25" customHeight="1" x14ac:dyDescent="0.25">
      <c r="B59" s="14" t="s">
        <v>135</v>
      </c>
      <c r="C59" s="9" t="s">
        <v>136</v>
      </c>
      <c r="D59" s="6" t="s">
        <v>9</v>
      </c>
      <c r="E59" s="6">
        <v>22</v>
      </c>
      <c r="F59" s="8">
        <f t="shared" si="2"/>
        <v>363</v>
      </c>
      <c r="G59" s="8">
        <v>60</v>
      </c>
      <c r="H59" s="8" t="s">
        <v>10</v>
      </c>
    </row>
    <row r="60" spans="2:8" ht="14.25" customHeight="1" x14ac:dyDescent="0.25">
      <c r="B60" s="14" t="s">
        <v>137</v>
      </c>
      <c r="C60" s="9" t="s">
        <v>138</v>
      </c>
      <c r="D60" s="6" t="s">
        <v>29</v>
      </c>
      <c r="E60" s="6">
        <v>21</v>
      </c>
      <c r="F60" s="8">
        <f t="shared" si="2"/>
        <v>346.5</v>
      </c>
      <c r="G60" s="8">
        <v>120</v>
      </c>
      <c r="H60" s="8" t="s">
        <v>10</v>
      </c>
    </row>
    <row r="61" spans="2:8" ht="14.25" customHeight="1" x14ac:dyDescent="0.25">
      <c r="B61" s="14" t="s">
        <v>139</v>
      </c>
      <c r="C61" s="9" t="s">
        <v>140</v>
      </c>
      <c r="D61" s="6" t="s">
        <v>29</v>
      </c>
      <c r="E61" s="6">
        <v>21</v>
      </c>
      <c r="F61" s="8">
        <f t="shared" si="2"/>
        <v>346.5</v>
      </c>
      <c r="G61" s="8">
        <v>120</v>
      </c>
      <c r="H61" s="8" t="s">
        <v>10</v>
      </c>
    </row>
    <row r="62" spans="2:8" ht="14.25" customHeight="1" x14ac:dyDescent="0.25">
      <c r="B62" s="6" t="s">
        <v>141</v>
      </c>
      <c r="C62" s="9" t="s">
        <v>142</v>
      </c>
      <c r="D62" s="6" t="s">
        <v>143</v>
      </c>
      <c r="E62" s="6">
        <v>21</v>
      </c>
      <c r="F62" s="8">
        <f t="shared" si="2"/>
        <v>346.5</v>
      </c>
      <c r="G62" s="8">
        <v>120</v>
      </c>
      <c r="H62" s="8" t="s">
        <v>10</v>
      </c>
    </row>
    <row r="63" spans="2:8" ht="14.25" customHeight="1" x14ac:dyDescent="0.25">
      <c r="B63" s="6" t="s">
        <v>144</v>
      </c>
      <c r="C63" s="9" t="s">
        <v>145</v>
      </c>
      <c r="D63" s="6" t="s">
        <v>143</v>
      </c>
      <c r="E63" s="6">
        <v>21</v>
      </c>
      <c r="F63" s="8">
        <f t="shared" si="2"/>
        <v>346.5</v>
      </c>
      <c r="G63" s="8">
        <v>120</v>
      </c>
      <c r="H63" s="8" t="s">
        <v>10</v>
      </c>
    </row>
    <row r="64" spans="2:8" ht="14.25" customHeight="1" x14ac:dyDescent="0.25">
      <c r="B64" s="14" t="s">
        <v>146</v>
      </c>
      <c r="C64" s="9" t="s">
        <v>147</v>
      </c>
      <c r="D64" s="6" t="s">
        <v>52</v>
      </c>
      <c r="E64" s="6">
        <v>21</v>
      </c>
      <c r="F64" s="8">
        <f t="shared" si="2"/>
        <v>346.5</v>
      </c>
      <c r="G64" s="8">
        <v>120</v>
      </c>
      <c r="H64" s="8" t="s">
        <v>10</v>
      </c>
    </row>
    <row r="65" spans="2:8" ht="14.25" customHeight="1" x14ac:dyDescent="0.25">
      <c r="B65" s="14" t="s">
        <v>148</v>
      </c>
      <c r="C65" s="9" t="s">
        <v>149</v>
      </c>
      <c r="D65" s="6" t="s">
        <v>103</v>
      </c>
      <c r="E65" s="6">
        <v>21</v>
      </c>
      <c r="F65" s="8">
        <f t="shared" si="2"/>
        <v>346.5</v>
      </c>
      <c r="G65" s="8">
        <v>120</v>
      </c>
      <c r="H65" s="8" t="s">
        <v>10</v>
      </c>
    </row>
    <row r="66" spans="2:8" ht="14.25" customHeight="1" x14ac:dyDescent="0.25">
      <c r="B66" s="6" t="s">
        <v>150</v>
      </c>
      <c r="C66" s="9" t="s">
        <v>151</v>
      </c>
      <c r="D66" s="6" t="s">
        <v>32</v>
      </c>
      <c r="E66" s="6">
        <v>21</v>
      </c>
      <c r="F66" s="8">
        <f t="shared" si="2"/>
        <v>346.5</v>
      </c>
      <c r="G66" s="8">
        <v>120</v>
      </c>
      <c r="H66" s="8" t="s">
        <v>10</v>
      </c>
    </row>
    <row r="67" spans="2:8" ht="14.25" customHeight="1" x14ac:dyDescent="0.25">
      <c r="B67" s="6" t="s">
        <v>152</v>
      </c>
      <c r="C67" s="9" t="s">
        <v>153</v>
      </c>
      <c r="D67" s="6" t="s">
        <v>13</v>
      </c>
      <c r="E67" s="6">
        <v>21</v>
      </c>
      <c r="F67" s="8">
        <f t="shared" si="2"/>
        <v>346.5</v>
      </c>
      <c r="G67" s="8">
        <v>120</v>
      </c>
      <c r="H67" s="8" t="s">
        <v>10</v>
      </c>
    </row>
    <row r="68" spans="2:8" ht="14.25" customHeight="1" x14ac:dyDescent="0.25">
      <c r="B68" s="36" t="s">
        <v>156</v>
      </c>
      <c r="C68" s="9" t="s">
        <v>157</v>
      </c>
      <c r="D68" s="6" t="s">
        <v>16</v>
      </c>
      <c r="E68" s="6">
        <v>21</v>
      </c>
      <c r="F68" s="8">
        <f t="shared" si="2"/>
        <v>346.5</v>
      </c>
      <c r="G68" s="8">
        <v>120</v>
      </c>
      <c r="H68" s="8" t="s">
        <v>10</v>
      </c>
    </row>
    <row r="69" spans="2:8" ht="14.25" customHeight="1" x14ac:dyDescent="0.25">
      <c r="B69" s="6" t="s">
        <v>160</v>
      </c>
      <c r="C69" s="9" t="s">
        <v>161</v>
      </c>
      <c r="D69" s="6" t="s">
        <v>9</v>
      </c>
      <c r="E69" s="6">
        <v>23</v>
      </c>
      <c r="F69" s="8">
        <f t="shared" si="2"/>
        <v>379.5</v>
      </c>
      <c r="G69" s="8">
        <v>120</v>
      </c>
      <c r="H69" s="8" t="s">
        <v>10</v>
      </c>
    </row>
    <row r="70" spans="2:8" ht="14.25" customHeight="1" x14ac:dyDescent="0.25">
      <c r="B70" s="14" t="s">
        <v>162</v>
      </c>
      <c r="C70" s="9" t="s">
        <v>163</v>
      </c>
      <c r="D70" s="6" t="s">
        <v>103</v>
      </c>
      <c r="E70" s="6">
        <v>21</v>
      </c>
      <c r="F70" s="8">
        <f t="shared" si="2"/>
        <v>346.5</v>
      </c>
      <c r="G70" s="8" t="s">
        <v>10</v>
      </c>
      <c r="H70" s="8" t="s">
        <v>10</v>
      </c>
    </row>
    <row r="71" spans="2:8" ht="14.25" customHeight="1" x14ac:dyDescent="0.25">
      <c r="B71" s="14" t="s">
        <v>164</v>
      </c>
      <c r="C71" s="9" t="s">
        <v>165</v>
      </c>
      <c r="D71" s="6" t="s">
        <v>29</v>
      </c>
      <c r="E71" s="6">
        <v>21</v>
      </c>
      <c r="F71" s="8">
        <f t="shared" si="2"/>
        <v>346.5</v>
      </c>
      <c r="G71" s="8">
        <v>120</v>
      </c>
      <c r="H71" s="8" t="s">
        <v>10</v>
      </c>
    </row>
    <row r="72" spans="2:8" ht="14.25" customHeight="1" x14ac:dyDescent="0.25">
      <c r="B72" s="6" t="s">
        <v>221</v>
      </c>
      <c r="C72" s="35" t="s">
        <v>222</v>
      </c>
      <c r="D72" s="6" t="s">
        <v>32</v>
      </c>
      <c r="E72" s="6">
        <v>21</v>
      </c>
      <c r="F72" s="8">
        <f t="shared" si="2"/>
        <v>346.5</v>
      </c>
      <c r="G72" s="6" t="s">
        <v>10</v>
      </c>
      <c r="H72" s="8">
        <v>196.45</v>
      </c>
    </row>
    <row r="73" spans="2:8" ht="14.25" customHeight="1" x14ac:dyDescent="0.25">
      <c r="B73" s="6" t="s">
        <v>260</v>
      </c>
      <c r="C73" s="9" t="s">
        <v>261</v>
      </c>
      <c r="D73" s="6" t="s">
        <v>23</v>
      </c>
      <c r="E73" s="6">
        <v>20</v>
      </c>
      <c r="F73" s="8">
        <f t="shared" si="2"/>
        <v>330</v>
      </c>
      <c r="G73" s="8">
        <v>120</v>
      </c>
      <c r="H73" s="6" t="s">
        <v>10</v>
      </c>
    </row>
    <row r="74" spans="2:8" ht="14.25" customHeight="1" x14ac:dyDescent="0.25">
      <c r="B74" s="6" t="s">
        <v>262</v>
      </c>
      <c r="C74" s="9" t="s">
        <v>263</v>
      </c>
      <c r="D74" s="6" t="s">
        <v>23</v>
      </c>
      <c r="E74" s="6">
        <v>20</v>
      </c>
      <c r="F74" s="8">
        <f t="shared" si="2"/>
        <v>330</v>
      </c>
      <c r="G74" s="8">
        <v>120</v>
      </c>
      <c r="H74" s="6" t="s">
        <v>10</v>
      </c>
    </row>
    <row r="75" spans="2:8" ht="14.25" customHeight="1" x14ac:dyDescent="0.25">
      <c r="B75" s="6" t="s">
        <v>170</v>
      </c>
      <c r="C75" s="9" t="s">
        <v>171</v>
      </c>
      <c r="D75" s="6" t="s">
        <v>52</v>
      </c>
      <c r="E75" s="6">
        <v>21</v>
      </c>
      <c r="F75" s="8">
        <f t="shared" si="2"/>
        <v>346.5</v>
      </c>
      <c r="G75" s="8">
        <v>120</v>
      </c>
      <c r="H75" s="8" t="s">
        <v>10</v>
      </c>
    </row>
    <row r="76" spans="2:8" ht="14.25" customHeight="1" x14ac:dyDescent="0.25">
      <c r="B76" s="14" t="s">
        <v>172</v>
      </c>
      <c r="C76" s="9" t="s">
        <v>173</v>
      </c>
      <c r="D76" s="6" t="s">
        <v>174</v>
      </c>
      <c r="E76" s="6">
        <v>21</v>
      </c>
      <c r="F76" s="8">
        <f t="shared" si="2"/>
        <v>346.5</v>
      </c>
      <c r="G76" s="8">
        <v>120</v>
      </c>
      <c r="H76" s="8" t="s">
        <v>10</v>
      </c>
    </row>
    <row r="77" spans="2:8" ht="14.25" customHeight="1" x14ac:dyDescent="0.25">
      <c r="B77" s="14" t="s">
        <v>175</v>
      </c>
      <c r="C77" s="9" t="s">
        <v>176</v>
      </c>
      <c r="D77" s="6" t="s">
        <v>9</v>
      </c>
      <c r="E77" s="6">
        <v>22</v>
      </c>
      <c r="F77" s="8">
        <f t="shared" si="2"/>
        <v>363</v>
      </c>
      <c r="G77" s="8">
        <v>120</v>
      </c>
      <c r="H77" s="8" t="s">
        <v>10</v>
      </c>
    </row>
    <row r="78" spans="2:8" ht="14.25" customHeight="1" x14ac:dyDescent="0.25">
      <c r="B78" s="14" t="s">
        <v>177</v>
      </c>
      <c r="C78" s="9" t="s">
        <v>178</v>
      </c>
      <c r="D78" s="6" t="s">
        <v>9</v>
      </c>
      <c r="E78" s="6">
        <v>22</v>
      </c>
      <c r="F78" s="8">
        <f t="shared" si="2"/>
        <v>363</v>
      </c>
      <c r="G78" s="8">
        <v>120</v>
      </c>
      <c r="H78" s="8" t="s">
        <v>10</v>
      </c>
    </row>
    <row r="79" spans="2:8" ht="14.25" customHeight="1" x14ac:dyDescent="0.25">
      <c r="B79" s="6" t="s">
        <v>181</v>
      </c>
      <c r="C79" s="9" t="s">
        <v>182</v>
      </c>
      <c r="D79" s="6" t="s">
        <v>23</v>
      </c>
      <c r="E79" s="6">
        <v>20</v>
      </c>
      <c r="F79" s="8">
        <f t="shared" si="2"/>
        <v>330</v>
      </c>
      <c r="G79" s="8" t="s">
        <v>10</v>
      </c>
      <c r="H79" s="8" t="s">
        <v>10</v>
      </c>
    </row>
    <row r="80" spans="2:8" ht="14.25" customHeight="1" x14ac:dyDescent="0.25">
      <c r="B80" s="6" t="s">
        <v>183</v>
      </c>
      <c r="C80" s="9" t="s">
        <v>184</v>
      </c>
      <c r="D80" s="6" t="s">
        <v>32</v>
      </c>
      <c r="E80" s="6">
        <v>21</v>
      </c>
      <c r="F80" s="8">
        <f t="shared" si="2"/>
        <v>346.5</v>
      </c>
      <c r="G80" s="8">
        <v>120</v>
      </c>
      <c r="H80" s="8" t="s">
        <v>10</v>
      </c>
    </row>
    <row r="81" spans="2:8" ht="14.25" customHeight="1" x14ac:dyDescent="0.25">
      <c r="B81" s="14" t="s">
        <v>187</v>
      </c>
      <c r="C81" s="9" t="s">
        <v>188</v>
      </c>
      <c r="D81" s="6" t="s">
        <v>29</v>
      </c>
      <c r="E81" s="6">
        <v>21</v>
      </c>
      <c r="F81" s="8">
        <f t="shared" si="2"/>
        <v>346.5</v>
      </c>
      <c r="G81" s="8" t="s">
        <v>10</v>
      </c>
      <c r="H81" s="8" t="s">
        <v>10</v>
      </c>
    </row>
    <row r="82" spans="2:8" ht="14.25" customHeight="1" x14ac:dyDescent="0.25">
      <c r="B82" s="14" t="s">
        <v>189</v>
      </c>
      <c r="C82" s="9" t="s">
        <v>190</v>
      </c>
      <c r="D82" s="6" t="s">
        <v>16</v>
      </c>
      <c r="E82" s="6">
        <v>21</v>
      </c>
      <c r="F82" s="8">
        <f t="shared" si="2"/>
        <v>346.5</v>
      </c>
      <c r="G82" s="8">
        <v>120</v>
      </c>
      <c r="H82" s="8" t="s">
        <v>10</v>
      </c>
    </row>
    <row r="83" spans="2:8" ht="14.25" customHeight="1" x14ac:dyDescent="0.25">
      <c r="B83" s="14" t="s">
        <v>191</v>
      </c>
      <c r="C83" s="9" t="s">
        <v>192</v>
      </c>
      <c r="D83" s="6" t="s">
        <v>47</v>
      </c>
      <c r="E83" s="6">
        <v>21</v>
      </c>
      <c r="F83" s="8">
        <f t="shared" si="2"/>
        <v>346.5</v>
      </c>
      <c r="G83" s="8">
        <v>120</v>
      </c>
      <c r="H83" s="8" t="s">
        <v>10</v>
      </c>
    </row>
    <row r="84" spans="2:8" ht="14.25" customHeight="1" x14ac:dyDescent="0.25">
      <c r="B84" s="14" t="s">
        <v>193</v>
      </c>
      <c r="C84" s="9" t="s">
        <v>194</v>
      </c>
      <c r="D84" s="6" t="s">
        <v>52</v>
      </c>
      <c r="E84" s="6">
        <v>21</v>
      </c>
      <c r="F84" s="8">
        <f t="shared" si="2"/>
        <v>346.5</v>
      </c>
      <c r="G84" s="8" t="s">
        <v>10</v>
      </c>
      <c r="H84" s="8" t="s">
        <v>10</v>
      </c>
    </row>
    <row r="85" spans="2:8" ht="14.25" customHeight="1" x14ac:dyDescent="0.25">
      <c r="B85" s="14" t="s">
        <v>195</v>
      </c>
      <c r="C85" s="9" t="s">
        <v>196</v>
      </c>
      <c r="D85" s="6" t="s">
        <v>9</v>
      </c>
      <c r="E85" s="6">
        <v>22</v>
      </c>
      <c r="F85" s="8">
        <f t="shared" si="2"/>
        <v>363</v>
      </c>
      <c r="G85" s="8">
        <v>120</v>
      </c>
      <c r="H85" s="8" t="s">
        <v>10</v>
      </c>
    </row>
    <row r="86" spans="2:8" ht="14.25" customHeight="1" x14ac:dyDescent="0.25">
      <c r="B86" s="6" t="s">
        <v>197</v>
      </c>
      <c r="C86" s="9" t="s">
        <v>198</v>
      </c>
      <c r="D86" s="6" t="s">
        <v>52</v>
      </c>
      <c r="E86" s="6">
        <v>21</v>
      </c>
      <c r="F86" s="8">
        <f t="shared" si="2"/>
        <v>346.5</v>
      </c>
      <c r="G86" s="8">
        <v>120</v>
      </c>
      <c r="H86" s="8" t="s">
        <v>10</v>
      </c>
    </row>
    <row r="87" spans="2:8" ht="14.25" customHeight="1" x14ac:dyDescent="0.25">
      <c r="B87" s="6" t="s">
        <v>252</v>
      </c>
      <c r="C87" s="9" t="s">
        <v>253</v>
      </c>
      <c r="D87" s="6" t="s">
        <v>103</v>
      </c>
      <c r="E87" s="6">
        <v>20</v>
      </c>
      <c r="F87" s="8">
        <f t="shared" si="2"/>
        <v>330</v>
      </c>
      <c r="G87" s="8">
        <v>120</v>
      </c>
      <c r="H87" s="6" t="s">
        <v>10</v>
      </c>
    </row>
    <row r="88" spans="2:8" ht="14.25" customHeight="1" x14ac:dyDescent="0.25">
      <c r="B88" s="6" t="s">
        <v>199</v>
      </c>
      <c r="C88" s="9" t="s">
        <v>200</v>
      </c>
      <c r="D88" s="6" t="s">
        <v>9</v>
      </c>
      <c r="E88" s="6">
        <v>23</v>
      </c>
      <c r="F88" s="8">
        <f t="shared" si="2"/>
        <v>379.5</v>
      </c>
      <c r="G88" s="8">
        <v>120</v>
      </c>
      <c r="H88" s="8" t="s">
        <v>10</v>
      </c>
    </row>
    <row r="89" spans="2:8" ht="14.25" customHeight="1" x14ac:dyDescent="0.25">
      <c r="B89" s="6" t="s">
        <v>201</v>
      </c>
      <c r="C89" s="9" t="s">
        <v>202</v>
      </c>
      <c r="D89" s="6" t="s">
        <v>9</v>
      </c>
      <c r="E89" s="6">
        <v>23</v>
      </c>
      <c r="F89" s="8">
        <f t="shared" si="2"/>
        <v>379.5</v>
      </c>
      <c r="G89" s="8" t="s">
        <v>10</v>
      </c>
      <c r="H89" s="8" t="s">
        <v>10</v>
      </c>
    </row>
    <row r="90" spans="2:8" ht="14.25" customHeight="1" x14ac:dyDescent="0.25">
      <c r="B90" s="14" t="s">
        <v>203</v>
      </c>
      <c r="C90" s="9" t="s">
        <v>204</v>
      </c>
      <c r="D90" s="6" t="s">
        <v>52</v>
      </c>
      <c r="E90" s="6">
        <v>10</v>
      </c>
      <c r="F90" s="8">
        <f t="shared" si="2"/>
        <v>165</v>
      </c>
      <c r="G90" s="8">
        <v>57.14</v>
      </c>
      <c r="H90" s="8" t="s">
        <v>10</v>
      </c>
    </row>
    <row r="91" spans="2:8" ht="14.25" customHeight="1" x14ac:dyDescent="0.25">
      <c r="B91" s="6" t="s">
        <v>205</v>
      </c>
      <c r="C91" s="9" t="s">
        <v>206</v>
      </c>
      <c r="D91" s="6" t="s">
        <v>32</v>
      </c>
      <c r="E91" s="6">
        <v>21</v>
      </c>
      <c r="F91" s="8">
        <f t="shared" si="2"/>
        <v>346.5</v>
      </c>
      <c r="G91" s="8" t="s">
        <v>10</v>
      </c>
      <c r="H91" s="8" t="s">
        <v>10</v>
      </c>
    </row>
    <row r="92" spans="2:8" ht="14.25" customHeight="1" x14ac:dyDescent="0.25">
      <c r="B92" s="12" t="s">
        <v>207</v>
      </c>
      <c r="C92" s="13" t="s">
        <v>208</v>
      </c>
      <c r="D92" s="6" t="s">
        <v>174</v>
      </c>
      <c r="E92" s="6">
        <v>21</v>
      </c>
      <c r="F92" s="8">
        <f t="shared" si="2"/>
        <v>346.5</v>
      </c>
      <c r="G92" s="8">
        <v>120</v>
      </c>
      <c r="H92" s="8" t="s">
        <v>10</v>
      </c>
    </row>
    <row r="93" spans="2:8" ht="14.25" customHeight="1" x14ac:dyDescent="0.25">
      <c r="B93" s="14" t="s">
        <v>209</v>
      </c>
      <c r="C93" s="9" t="s">
        <v>210</v>
      </c>
      <c r="D93" s="6" t="s">
        <v>23</v>
      </c>
      <c r="E93" s="6">
        <v>21</v>
      </c>
      <c r="F93" s="8">
        <f t="shared" si="2"/>
        <v>346.5</v>
      </c>
      <c r="G93" s="8">
        <v>120</v>
      </c>
      <c r="H93" s="8" t="s">
        <v>10</v>
      </c>
    </row>
    <row r="94" spans="2:8" ht="14.25" customHeight="1" x14ac:dyDescent="0.25">
      <c r="B94" s="6" t="s">
        <v>211</v>
      </c>
      <c r="C94" s="9" t="s">
        <v>212</v>
      </c>
      <c r="D94" s="6" t="s">
        <v>9</v>
      </c>
      <c r="E94" s="6">
        <v>22</v>
      </c>
      <c r="F94" s="8">
        <f t="shared" si="2"/>
        <v>363</v>
      </c>
      <c r="G94" s="8">
        <v>120</v>
      </c>
      <c r="H94" s="8" t="s">
        <v>10</v>
      </c>
    </row>
    <row r="95" spans="2:8" ht="14.25" customHeight="1" x14ac:dyDescent="0.25">
      <c r="B95" s="6" t="s">
        <v>258</v>
      </c>
      <c r="C95" s="9" t="s">
        <v>259</v>
      </c>
      <c r="D95" s="6" t="s">
        <v>23</v>
      </c>
      <c r="E95" s="6">
        <v>20</v>
      </c>
      <c r="F95" s="8">
        <f t="shared" si="2"/>
        <v>330</v>
      </c>
      <c r="G95" s="8" t="s">
        <v>10</v>
      </c>
      <c r="H95" s="6"/>
    </row>
    <row r="96" spans="2:8" ht="14.25" customHeight="1" x14ac:dyDescent="0.25">
      <c r="B96" s="14" t="s">
        <v>213</v>
      </c>
      <c r="C96" s="9" t="s">
        <v>214</v>
      </c>
      <c r="D96" s="6" t="s">
        <v>13</v>
      </c>
      <c r="E96" s="6">
        <v>21</v>
      </c>
      <c r="F96" s="8">
        <f t="shared" si="2"/>
        <v>346.5</v>
      </c>
      <c r="G96" s="8">
        <v>120</v>
      </c>
      <c r="H96" s="8" t="s">
        <v>10</v>
      </c>
    </row>
    <row r="97" spans="2:8" ht="14.25" customHeight="1" x14ac:dyDescent="0.25">
      <c r="B97" s="6" t="s">
        <v>256</v>
      </c>
      <c r="C97" s="9" t="s">
        <v>257</v>
      </c>
      <c r="D97" s="6" t="s">
        <v>143</v>
      </c>
      <c r="E97" s="6">
        <v>20</v>
      </c>
      <c r="F97" s="8">
        <f t="shared" si="2"/>
        <v>330</v>
      </c>
      <c r="G97" s="8">
        <v>120</v>
      </c>
      <c r="H97" s="6" t="s">
        <v>10</v>
      </c>
    </row>
    <row r="98" spans="2:8" ht="14.25" customHeight="1" x14ac:dyDescent="0.25">
      <c r="B98" s="6" t="s">
        <v>254</v>
      </c>
      <c r="C98" s="9" t="s">
        <v>255</v>
      </c>
      <c r="D98" s="6" t="s">
        <v>13</v>
      </c>
      <c r="E98" s="6">
        <v>20</v>
      </c>
      <c r="F98" s="8">
        <f t="shared" si="2"/>
        <v>330</v>
      </c>
      <c r="G98" s="8" t="s">
        <v>10</v>
      </c>
      <c r="H98" s="6" t="s">
        <v>10</v>
      </c>
    </row>
    <row r="99" spans="2:8" ht="14.25" customHeight="1" x14ac:dyDescent="0.25">
      <c r="B99" s="6" t="s">
        <v>215</v>
      </c>
      <c r="C99" s="9" t="s">
        <v>216</v>
      </c>
      <c r="D99" s="16" t="s">
        <v>40</v>
      </c>
      <c r="E99" s="6">
        <v>21</v>
      </c>
      <c r="F99" s="8">
        <f t="shared" si="2"/>
        <v>346.5</v>
      </c>
      <c r="G99" s="8">
        <v>120</v>
      </c>
      <c r="H99" s="8" t="s">
        <v>10</v>
      </c>
    </row>
    <row r="100" spans="2:8" ht="14.25" customHeight="1" x14ac:dyDescent="0.25">
      <c r="B100" s="24"/>
      <c r="C100" s="24"/>
      <c r="D100" s="24"/>
      <c r="E100" s="25" t="s">
        <v>217</v>
      </c>
      <c r="F100" s="26">
        <f t="shared" ref="F100:H100" si="3">SUM(F4:F99)</f>
        <v>31735.5</v>
      </c>
      <c r="G100" s="26">
        <f t="shared" si="3"/>
        <v>8423.1</v>
      </c>
      <c r="H100" s="26">
        <f t="shared" si="3"/>
        <v>252.45</v>
      </c>
    </row>
    <row r="101" spans="2:8" ht="14.25" customHeight="1" x14ac:dyDescent="0.25">
      <c r="H101" s="34"/>
    </row>
    <row r="102" spans="2:8" ht="14.25" customHeight="1" x14ac:dyDescent="0.25">
      <c r="H102" s="34"/>
    </row>
    <row r="103" spans="2:8" ht="14.25" customHeight="1" x14ac:dyDescent="0.25">
      <c r="H103" s="34"/>
    </row>
    <row r="104" spans="2:8" ht="14.25" customHeight="1" x14ac:dyDescent="0.25">
      <c r="H104" s="34"/>
    </row>
    <row r="105" spans="2:8" ht="14.25" customHeight="1" x14ac:dyDescent="0.25">
      <c r="H105" s="34"/>
    </row>
    <row r="106" spans="2:8" ht="14.25" customHeight="1" x14ac:dyDescent="0.25">
      <c r="H106" s="34"/>
    </row>
    <row r="107" spans="2:8" ht="14.25" customHeight="1" x14ac:dyDescent="0.25">
      <c r="H107" s="34"/>
    </row>
    <row r="108" spans="2:8" ht="14.25" customHeight="1" x14ac:dyDescent="0.25">
      <c r="H108" s="34"/>
    </row>
    <row r="109" spans="2:8" ht="14.25" customHeight="1" x14ac:dyDescent="0.25">
      <c r="H109" s="34"/>
    </row>
    <row r="110" spans="2:8" ht="14.25" customHeight="1" x14ac:dyDescent="0.25">
      <c r="H110" s="34"/>
    </row>
    <row r="111" spans="2:8" ht="14.25" customHeight="1" x14ac:dyDescent="0.25">
      <c r="H111" s="34"/>
    </row>
    <row r="112" spans="2:8" ht="14.25" customHeight="1" x14ac:dyDescent="0.25">
      <c r="H112" s="34"/>
    </row>
    <row r="113" spans="8:8" ht="14.25" customHeight="1" x14ac:dyDescent="0.25">
      <c r="H113" s="34"/>
    </row>
    <row r="114" spans="8:8" ht="14.25" customHeight="1" x14ac:dyDescent="0.25">
      <c r="H114" s="34"/>
    </row>
    <row r="115" spans="8:8" ht="14.25" customHeight="1" x14ac:dyDescent="0.25">
      <c r="H115" s="34"/>
    </row>
    <row r="116" spans="8:8" ht="14.25" customHeight="1" x14ac:dyDescent="0.25">
      <c r="H116" s="34"/>
    </row>
    <row r="117" spans="8:8" ht="14.25" customHeight="1" x14ac:dyDescent="0.25">
      <c r="H117" s="34"/>
    </row>
    <row r="118" spans="8:8" ht="14.25" customHeight="1" x14ac:dyDescent="0.25">
      <c r="H118" s="34"/>
    </row>
    <row r="119" spans="8:8" ht="14.25" customHeight="1" x14ac:dyDescent="0.25">
      <c r="H119" s="34"/>
    </row>
    <row r="120" spans="8:8" ht="14.25" customHeight="1" x14ac:dyDescent="0.25">
      <c r="H120" s="34"/>
    </row>
    <row r="121" spans="8:8" ht="14.25" customHeight="1" x14ac:dyDescent="0.25">
      <c r="H121" s="34"/>
    </row>
    <row r="122" spans="8:8" ht="14.25" customHeight="1" x14ac:dyDescent="0.25">
      <c r="H122" s="34"/>
    </row>
    <row r="123" spans="8:8" ht="14.25" customHeight="1" x14ac:dyDescent="0.25">
      <c r="H123" s="34"/>
    </row>
    <row r="124" spans="8:8" ht="14.25" customHeight="1" x14ac:dyDescent="0.25">
      <c r="H124" s="34"/>
    </row>
    <row r="125" spans="8:8" ht="14.25" customHeight="1" x14ac:dyDescent="0.25">
      <c r="H125" s="34"/>
    </row>
    <row r="126" spans="8:8" ht="14.25" customHeight="1" x14ac:dyDescent="0.25">
      <c r="H126" s="34"/>
    </row>
    <row r="127" spans="8:8" ht="14.25" customHeight="1" x14ac:dyDescent="0.25">
      <c r="H127" s="34"/>
    </row>
    <row r="128" spans="8:8" ht="14.25" customHeight="1" x14ac:dyDescent="0.25">
      <c r="H128" s="34"/>
    </row>
    <row r="129" spans="8:8" ht="14.25" customHeight="1" x14ac:dyDescent="0.25">
      <c r="H129" s="34"/>
    </row>
    <row r="130" spans="8:8" ht="14.25" customHeight="1" x14ac:dyDescent="0.25">
      <c r="H130" s="34"/>
    </row>
    <row r="131" spans="8:8" ht="14.25" customHeight="1" x14ac:dyDescent="0.25">
      <c r="H131" s="34"/>
    </row>
    <row r="132" spans="8:8" ht="14.25" customHeight="1" x14ac:dyDescent="0.25">
      <c r="H132" s="34"/>
    </row>
    <row r="133" spans="8:8" ht="14.25" customHeight="1" x14ac:dyDescent="0.25">
      <c r="H133" s="34"/>
    </row>
    <row r="134" spans="8:8" ht="14.25" customHeight="1" x14ac:dyDescent="0.25">
      <c r="H134" s="34"/>
    </row>
    <row r="135" spans="8:8" ht="14.25" customHeight="1" x14ac:dyDescent="0.25">
      <c r="H135" s="34"/>
    </row>
    <row r="136" spans="8:8" ht="14.25" customHeight="1" x14ac:dyDescent="0.25">
      <c r="H136" s="34"/>
    </row>
    <row r="137" spans="8:8" ht="14.25" customHeight="1" x14ac:dyDescent="0.25">
      <c r="H137" s="34"/>
    </row>
    <row r="138" spans="8:8" ht="14.25" customHeight="1" x14ac:dyDescent="0.25">
      <c r="H138" s="34"/>
    </row>
    <row r="139" spans="8:8" ht="14.25" customHeight="1" x14ac:dyDescent="0.25">
      <c r="H139" s="34"/>
    </row>
    <row r="140" spans="8:8" ht="14.25" customHeight="1" x14ac:dyDescent="0.25">
      <c r="H140" s="34"/>
    </row>
    <row r="141" spans="8:8" ht="14.25" customHeight="1" x14ac:dyDescent="0.25">
      <c r="H141" s="34"/>
    </row>
    <row r="142" spans="8:8" ht="14.25" customHeight="1" x14ac:dyDescent="0.25">
      <c r="H142" s="34"/>
    </row>
    <row r="143" spans="8:8" ht="14.25" customHeight="1" x14ac:dyDescent="0.25">
      <c r="H143" s="34"/>
    </row>
    <row r="144" spans="8:8" ht="14.25" customHeight="1" x14ac:dyDescent="0.25">
      <c r="H144" s="34"/>
    </row>
    <row r="145" spans="8:8" ht="14.25" customHeight="1" x14ac:dyDescent="0.25">
      <c r="H145" s="34"/>
    </row>
    <row r="146" spans="8:8" ht="14.25" customHeight="1" x14ac:dyDescent="0.25">
      <c r="H146" s="34"/>
    </row>
    <row r="147" spans="8:8" ht="14.25" customHeight="1" x14ac:dyDescent="0.25">
      <c r="H147" s="34"/>
    </row>
    <row r="148" spans="8:8" ht="14.25" customHeight="1" x14ac:dyDescent="0.25">
      <c r="H148" s="34"/>
    </row>
    <row r="149" spans="8:8" ht="14.25" customHeight="1" x14ac:dyDescent="0.25">
      <c r="H149" s="34"/>
    </row>
    <row r="150" spans="8:8" ht="14.25" customHeight="1" x14ac:dyDescent="0.25">
      <c r="H150" s="34"/>
    </row>
    <row r="151" spans="8:8" ht="14.25" customHeight="1" x14ac:dyDescent="0.25">
      <c r="H151" s="34"/>
    </row>
    <row r="152" spans="8:8" ht="14.25" customHeight="1" x14ac:dyDescent="0.25">
      <c r="H152" s="34"/>
    </row>
    <row r="153" spans="8:8" ht="14.25" customHeight="1" x14ac:dyDescent="0.25">
      <c r="H153" s="34"/>
    </row>
    <row r="154" spans="8:8" ht="14.25" customHeight="1" x14ac:dyDescent="0.25">
      <c r="H154" s="34"/>
    </row>
    <row r="155" spans="8:8" ht="14.25" customHeight="1" x14ac:dyDescent="0.25">
      <c r="H155" s="34"/>
    </row>
    <row r="156" spans="8:8" ht="14.25" customHeight="1" x14ac:dyDescent="0.25">
      <c r="H156" s="34"/>
    </row>
    <row r="157" spans="8:8" ht="14.25" customHeight="1" x14ac:dyDescent="0.25">
      <c r="H157" s="34"/>
    </row>
    <row r="158" spans="8:8" ht="14.25" customHeight="1" x14ac:dyDescent="0.25">
      <c r="H158" s="34"/>
    </row>
    <row r="159" spans="8:8" ht="14.25" customHeight="1" x14ac:dyDescent="0.25">
      <c r="H159" s="34"/>
    </row>
    <row r="160" spans="8:8" ht="14.25" customHeight="1" x14ac:dyDescent="0.25">
      <c r="H160" s="34"/>
    </row>
    <row r="161" spans="8:8" ht="14.25" customHeight="1" x14ac:dyDescent="0.25">
      <c r="H161" s="34"/>
    </row>
    <row r="162" spans="8:8" ht="14.25" customHeight="1" x14ac:dyDescent="0.25">
      <c r="H162" s="34"/>
    </row>
    <row r="163" spans="8:8" ht="14.25" customHeight="1" x14ac:dyDescent="0.25">
      <c r="H163" s="34"/>
    </row>
    <row r="164" spans="8:8" ht="14.25" customHeight="1" x14ac:dyDescent="0.25">
      <c r="H164" s="34"/>
    </row>
    <row r="165" spans="8:8" ht="14.25" customHeight="1" x14ac:dyDescent="0.25">
      <c r="H165" s="34"/>
    </row>
    <row r="166" spans="8:8" ht="14.25" customHeight="1" x14ac:dyDescent="0.25">
      <c r="H166" s="34"/>
    </row>
    <row r="167" spans="8:8" ht="14.25" customHeight="1" x14ac:dyDescent="0.25">
      <c r="H167" s="34"/>
    </row>
    <row r="168" spans="8:8" ht="14.25" customHeight="1" x14ac:dyDescent="0.25">
      <c r="H168" s="34"/>
    </row>
    <row r="169" spans="8:8" ht="14.25" customHeight="1" x14ac:dyDescent="0.25">
      <c r="H169" s="34"/>
    </row>
    <row r="170" spans="8:8" ht="14.25" customHeight="1" x14ac:dyDescent="0.25">
      <c r="H170" s="34"/>
    </row>
    <row r="171" spans="8:8" ht="14.25" customHeight="1" x14ac:dyDescent="0.25">
      <c r="H171" s="34"/>
    </row>
    <row r="172" spans="8:8" ht="14.25" customHeight="1" x14ac:dyDescent="0.25">
      <c r="H172" s="34"/>
    </row>
    <row r="173" spans="8:8" ht="14.25" customHeight="1" x14ac:dyDescent="0.25">
      <c r="H173" s="34"/>
    </row>
    <row r="174" spans="8:8" ht="14.25" customHeight="1" x14ac:dyDescent="0.25">
      <c r="H174" s="34"/>
    </row>
    <row r="175" spans="8:8" ht="14.25" customHeight="1" x14ac:dyDescent="0.25">
      <c r="H175" s="34"/>
    </row>
    <row r="176" spans="8:8" ht="14.25" customHeight="1" x14ac:dyDescent="0.25">
      <c r="H176" s="34"/>
    </row>
    <row r="177" spans="8:8" ht="14.25" customHeight="1" x14ac:dyDescent="0.25">
      <c r="H177" s="34"/>
    </row>
    <row r="178" spans="8:8" ht="14.25" customHeight="1" x14ac:dyDescent="0.25">
      <c r="H178" s="34"/>
    </row>
    <row r="179" spans="8:8" ht="14.25" customHeight="1" x14ac:dyDescent="0.25">
      <c r="H179" s="34"/>
    </row>
    <row r="180" spans="8:8" ht="14.25" customHeight="1" x14ac:dyDescent="0.25">
      <c r="H180" s="34"/>
    </row>
    <row r="181" spans="8:8" ht="14.25" customHeight="1" x14ac:dyDescent="0.25">
      <c r="H181" s="34"/>
    </row>
    <row r="182" spans="8:8" ht="14.25" customHeight="1" x14ac:dyDescent="0.25">
      <c r="H182" s="34"/>
    </row>
    <row r="183" spans="8:8" ht="14.25" customHeight="1" x14ac:dyDescent="0.25">
      <c r="H183" s="34"/>
    </row>
    <row r="184" spans="8:8" ht="14.25" customHeight="1" x14ac:dyDescent="0.25">
      <c r="H184" s="34"/>
    </row>
    <row r="185" spans="8:8" ht="14.25" customHeight="1" x14ac:dyDescent="0.25">
      <c r="H185" s="34"/>
    </row>
    <row r="186" spans="8:8" ht="14.25" customHeight="1" x14ac:dyDescent="0.25">
      <c r="H186" s="34"/>
    </row>
    <row r="187" spans="8:8" ht="14.25" customHeight="1" x14ac:dyDescent="0.25">
      <c r="H187" s="34"/>
    </row>
    <row r="188" spans="8:8" ht="14.25" customHeight="1" x14ac:dyDescent="0.25">
      <c r="H188" s="34"/>
    </row>
    <row r="189" spans="8:8" ht="14.25" customHeight="1" x14ac:dyDescent="0.25">
      <c r="H189" s="34"/>
    </row>
    <row r="190" spans="8:8" ht="14.25" customHeight="1" x14ac:dyDescent="0.25">
      <c r="H190" s="34"/>
    </row>
    <row r="191" spans="8:8" ht="14.25" customHeight="1" x14ac:dyDescent="0.25">
      <c r="H191" s="34"/>
    </row>
    <row r="192" spans="8:8" ht="14.25" customHeight="1" x14ac:dyDescent="0.25">
      <c r="H192" s="34"/>
    </row>
    <row r="193" spans="8:8" ht="14.25" customHeight="1" x14ac:dyDescent="0.25">
      <c r="H193" s="34"/>
    </row>
    <row r="194" spans="8:8" ht="14.25" customHeight="1" x14ac:dyDescent="0.25">
      <c r="H194" s="34"/>
    </row>
    <row r="195" spans="8:8" ht="14.25" customHeight="1" x14ac:dyDescent="0.25">
      <c r="H195" s="34"/>
    </row>
    <row r="196" spans="8:8" ht="14.25" customHeight="1" x14ac:dyDescent="0.25">
      <c r="H196" s="34"/>
    </row>
    <row r="197" spans="8:8" ht="14.25" customHeight="1" x14ac:dyDescent="0.25">
      <c r="H197" s="34"/>
    </row>
    <row r="198" spans="8:8" ht="14.25" customHeight="1" x14ac:dyDescent="0.25">
      <c r="H198" s="34"/>
    </row>
    <row r="199" spans="8:8" ht="14.25" customHeight="1" x14ac:dyDescent="0.25">
      <c r="H199" s="34"/>
    </row>
    <row r="200" spans="8:8" ht="14.25" customHeight="1" x14ac:dyDescent="0.25">
      <c r="H200" s="34"/>
    </row>
    <row r="201" spans="8:8" ht="14.25" customHeight="1" x14ac:dyDescent="0.25">
      <c r="H201" s="34"/>
    </row>
    <row r="202" spans="8:8" ht="14.25" customHeight="1" x14ac:dyDescent="0.25">
      <c r="H202" s="34"/>
    </row>
    <row r="203" spans="8:8" ht="14.25" customHeight="1" x14ac:dyDescent="0.25">
      <c r="H203" s="34"/>
    </row>
    <row r="204" spans="8:8" ht="14.25" customHeight="1" x14ac:dyDescent="0.25">
      <c r="H204" s="34"/>
    </row>
    <row r="205" spans="8:8" ht="14.25" customHeight="1" x14ac:dyDescent="0.25">
      <c r="H205" s="34"/>
    </row>
    <row r="206" spans="8:8" ht="14.25" customHeight="1" x14ac:dyDescent="0.25">
      <c r="H206" s="34"/>
    </row>
    <row r="207" spans="8:8" ht="14.25" customHeight="1" x14ac:dyDescent="0.25">
      <c r="H207" s="34"/>
    </row>
    <row r="208" spans="8:8" ht="14.25" customHeight="1" x14ac:dyDescent="0.25">
      <c r="H208" s="34"/>
    </row>
    <row r="209" spans="8:8" ht="14.25" customHeight="1" x14ac:dyDescent="0.25">
      <c r="H209" s="34"/>
    </row>
    <row r="210" spans="8:8" ht="14.25" customHeight="1" x14ac:dyDescent="0.25">
      <c r="H210" s="34"/>
    </row>
    <row r="211" spans="8:8" ht="14.25" customHeight="1" x14ac:dyDescent="0.25">
      <c r="H211" s="34"/>
    </row>
    <row r="212" spans="8:8" ht="14.25" customHeight="1" x14ac:dyDescent="0.25">
      <c r="H212" s="34"/>
    </row>
    <row r="213" spans="8:8" ht="14.25" customHeight="1" x14ac:dyDescent="0.25">
      <c r="H213" s="34"/>
    </row>
    <row r="214" spans="8:8" ht="14.25" customHeight="1" x14ac:dyDescent="0.25">
      <c r="H214" s="34"/>
    </row>
    <row r="215" spans="8:8" ht="14.25" customHeight="1" x14ac:dyDescent="0.25">
      <c r="H215" s="34"/>
    </row>
    <row r="216" spans="8:8" ht="14.25" customHeight="1" x14ac:dyDescent="0.25">
      <c r="H216" s="34"/>
    </row>
    <row r="217" spans="8:8" ht="14.25" customHeight="1" x14ac:dyDescent="0.25">
      <c r="H217" s="34"/>
    </row>
    <row r="218" spans="8:8" ht="14.25" customHeight="1" x14ac:dyDescent="0.25">
      <c r="H218" s="34"/>
    </row>
    <row r="219" spans="8:8" ht="14.25" customHeight="1" x14ac:dyDescent="0.25">
      <c r="H219" s="34"/>
    </row>
    <row r="220" spans="8:8" ht="14.25" customHeight="1" x14ac:dyDescent="0.25">
      <c r="H220" s="34"/>
    </row>
    <row r="221" spans="8:8" ht="14.25" customHeight="1" x14ac:dyDescent="0.25">
      <c r="H221" s="34"/>
    </row>
    <row r="222" spans="8:8" ht="14.25" customHeight="1" x14ac:dyDescent="0.25">
      <c r="H222" s="34"/>
    </row>
    <row r="223" spans="8:8" ht="14.25" customHeight="1" x14ac:dyDescent="0.25">
      <c r="H223" s="34"/>
    </row>
    <row r="224" spans="8:8" ht="14.25" customHeight="1" x14ac:dyDescent="0.25">
      <c r="H224" s="34"/>
    </row>
    <row r="225" spans="8:8" ht="14.25" customHeight="1" x14ac:dyDescent="0.25">
      <c r="H225" s="34"/>
    </row>
    <row r="226" spans="8:8" ht="14.25" customHeight="1" x14ac:dyDescent="0.25">
      <c r="H226" s="34"/>
    </row>
    <row r="227" spans="8:8" ht="14.25" customHeight="1" x14ac:dyDescent="0.25">
      <c r="H227" s="34"/>
    </row>
    <row r="228" spans="8:8" ht="14.25" customHeight="1" x14ac:dyDescent="0.25">
      <c r="H228" s="34"/>
    </row>
    <row r="229" spans="8:8" ht="14.25" customHeight="1" x14ac:dyDescent="0.25">
      <c r="H229" s="34"/>
    </row>
    <row r="230" spans="8:8" ht="14.25" customHeight="1" x14ac:dyDescent="0.25">
      <c r="H230" s="34"/>
    </row>
    <row r="231" spans="8:8" ht="14.25" customHeight="1" x14ac:dyDescent="0.25">
      <c r="H231" s="34"/>
    </row>
    <row r="232" spans="8:8" ht="14.25" customHeight="1" x14ac:dyDescent="0.25">
      <c r="H232" s="34"/>
    </row>
    <row r="233" spans="8:8" ht="14.25" customHeight="1" x14ac:dyDescent="0.25">
      <c r="H233" s="34"/>
    </row>
    <row r="234" spans="8:8" ht="14.25" customHeight="1" x14ac:dyDescent="0.25">
      <c r="H234" s="34"/>
    </row>
    <row r="235" spans="8:8" ht="14.25" customHeight="1" x14ac:dyDescent="0.25">
      <c r="H235" s="34"/>
    </row>
    <row r="236" spans="8:8" ht="14.25" customHeight="1" x14ac:dyDescent="0.25">
      <c r="H236" s="34"/>
    </row>
    <row r="237" spans="8:8" ht="14.25" customHeight="1" x14ac:dyDescent="0.25">
      <c r="H237" s="34"/>
    </row>
    <row r="238" spans="8:8" ht="14.25" customHeight="1" x14ac:dyDescent="0.25">
      <c r="H238" s="34"/>
    </row>
    <row r="239" spans="8:8" ht="14.25" customHeight="1" x14ac:dyDescent="0.25">
      <c r="H239" s="34"/>
    </row>
    <row r="240" spans="8:8" ht="14.25" customHeight="1" x14ac:dyDescent="0.25">
      <c r="H240" s="34"/>
    </row>
    <row r="241" spans="8:8" ht="14.25" customHeight="1" x14ac:dyDescent="0.25">
      <c r="H241" s="34"/>
    </row>
    <row r="242" spans="8:8" ht="14.25" customHeight="1" x14ac:dyDescent="0.25">
      <c r="H242" s="34"/>
    </row>
    <row r="243" spans="8:8" ht="14.25" customHeight="1" x14ac:dyDescent="0.25">
      <c r="H243" s="34"/>
    </row>
    <row r="244" spans="8:8" ht="14.25" customHeight="1" x14ac:dyDescent="0.25">
      <c r="H244" s="34"/>
    </row>
    <row r="245" spans="8:8" ht="14.25" customHeight="1" x14ac:dyDescent="0.25">
      <c r="H245" s="34"/>
    </row>
    <row r="246" spans="8:8" ht="14.25" customHeight="1" x14ac:dyDescent="0.25">
      <c r="H246" s="34"/>
    </row>
    <row r="247" spans="8:8" ht="14.25" customHeight="1" x14ac:dyDescent="0.25">
      <c r="H247" s="34"/>
    </row>
    <row r="248" spans="8:8" ht="14.25" customHeight="1" x14ac:dyDescent="0.25">
      <c r="H248" s="34"/>
    </row>
    <row r="249" spans="8:8" ht="14.25" customHeight="1" x14ac:dyDescent="0.25">
      <c r="H249" s="34"/>
    </row>
    <row r="250" spans="8:8" ht="14.25" customHeight="1" x14ac:dyDescent="0.25">
      <c r="H250" s="34"/>
    </row>
    <row r="251" spans="8:8" ht="14.25" customHeight="1" x14ac:dyDescent="0.25">
      <c r="H251" s="34"/>
    </row>
    <row r="252" spans="8:8" ht="14.25" customHeight="1" x14ac:dyDescent="0.25">
      <c r="H252" s="34"/>
    </row>
    <row r="253" spans="8:8" ht="14.25" customHeight="1" x14ac:dyDescent="0.25">
      <c r="H253" s="34"/>
    </row>
    <row r="254" spans="8:8" ht="14.25" customHeight="1" x14ac:dyDescent="0.25">
      <c r="H254" s="34"/>
    </row>
    <row r="255" spans="8:8" ht="14.25" customHeight="1" x14ac:dyDescent="0.25">
      <c r="H255" s="34"/>
    </row>
    <row r="256" spans="8:8" ht="14.25" customHeight="1" x14ac:dyDescent="0.25">
      <c r="H256" s="34"/>
    </row>
    <row r="257" spans="8:8" ht="14.25" customHeight="1" x14ac:dyDescent="0.25">
      <c r="H257" s="34"/>
    </row>
    <row r="258" spans="8:8" ht="14.25" customHeight="1" x14ac:dyDescent="0.25">
      <c r="H258" s="34"/>
    </row>
    <row r="259" spans="8:8" ht="14.25" customHeight="1" x14ac:dyDescent="0.25">
      <c r="H259" s="34"/>
    </row>
    <row r="260" spans="8:8" ht="14.25" customHeight="1" x14ac:dyDescent="0.25">
      <c r="H260" s="34"/>
    </row>
    <row r="261" spans="8:8" ht="14.25" customHeight="1" x14ac:dyDescent="0.25">
      <c r="H261" s="34"/>
    </row>
    <row r="262" spans="8:8" ht="14.25" customHeight="1" x14ac:dyDescent="0.25">
      <c r="H262" s="34"/>
    </row>
    <row r="263" spans="8:8" ht="14.25" customHeight="1" x14ac:dyDescent="0.25">
      <c r="H263" s="34"/>
    </row>
    <row r="264" spans="8:8" ht="14.25" customHeight="1" x14ac:dyDescent="0.25">
      <c r="H264" s="34"/>
    </row>
    <row r="265" spans="8:8" ht="14.25" customHeight="1" x14ac:dyDescent="0.25">
      <c r="H265" s="34"/>
    </row>
    <row r="266" spans="8:8" ht="14.25" customHeight="1" x14ac:dyDescent="0.25">
      <c r="H266" s="34"/>
    </row>
    <row r="267" spans="8:8" ht="14.25" customHeight="1" x14ac:dyDescent="0.25">
      <c r="H267" s="34"/>
    </row>
    <row r="268" spans="8:8" ht="14.25" customHeight="1" x14ac:dyDescent="0.25">
      <c r="H268" s="34"/>
    </row>
    <row r="269" spans="8:8" ht="14.25" customHeight="1" x14ac:dyDescent="0.25">
      <c r="H269" s="34"/>
    </row>
    <row r="270" spans="8:8" ht="14.25" customHeight="1" x14ac:dyDescent="0.25">
      <c r="H270" s="34"/>
    </row>
    <row r="271" spans="8:8" ht="14.25" customHeight="1" x14ac:dyDescent="0.25">
      <c r="H271" s="34"/>
    </row>
    <row r="272" spans="8:8" ht="14.25" customHeight="1" x14ac:dyDescent="0.25">
      <c r="H272" s="34"/>
    </row>
    <row r="273" spans="8:8" ht="14.25" customHeight="1" x14ac:dyDescent="0.25">
      <c r="H273" s="34"/>
    </row>
    <row r="274" spans="8:8" ht="14.25" customHeight="1" x14ac:dyDescent="0.25">
      <c r="H274" s="34"/>
    </row>
    <row r="275" spans="8:8" ht="14.25" customHeight="1" x14ac:dyDescent="0.25">
      <c r="H275" s="34"/>
    </row>
    <row r="276" spans="8:8" ht="14.25" customHeight="1" x14ac:dyDescent="0.25">
      <c r="H276" s="34"/>
    </row>
    <row r="277" spans="8:8" ht="14.25" customHeight="1" x14ac:dyDescent="0.25">
      <c r="H277" s="34"/>
    </row>
    <row r="278" spans="8:8" ht="14.25" customHeight="1" x14ac:dyDescent="0.25">
      <c r="H278" s="34"/>
    </row>
    <row r="279" spans="8:8" ht="14.25" customHeight="1" x14ac:dyDescent="0.25">
      <c r="H279" s="34"/>
    </row>
    <row r="280" spans="8:8" ht="14.25" customHeight="1" x14ac:dyDescent="0.25">
      <c r="H280" s="34"/>
    </row>
    <row r="281" spans="8:8" ht="14.25" customHeight="1" x14ac:dyDescent="0.25">
      <c r="H281" s="34"/>
    </row>
    <row r="282" spans="8:8" ht="14.25" customHeight="1" x14ac:dyDescent="0.25">
      <c r="H282" s="34"/>
    </row>
    <row r="283" spans="8:8" ht="14.25" customHeight="1" x14ac:dyDescent="0.25">
      <c r="H283" s="34"/>
    </row>
    <row r="284" spans="8:8" ht="14.25" customHeight="1" x14ac:dyDescent="0.25">
      <c r="H284" s="34"/>
    </row>
    <row r="285" spans="8:8" ht="14.25" customHeight="1" x14ac:dyDescent="0.25">
      <c r="H285" s="34"/>
    </row>
    <row r="286" spans="8:8" ht="14.25" customHeight="1" x14ac:dyDescent="0.25">
      <c r="H286" s="34"/>
    </row>
    <row r="287" spans="8:8" ht="14.25" customHeight="1" x14ac:dyDescent="0.25">
      <c r="H287" s="34"/>
    </row>
    <row r="288" spans="8:8" ht="14.25" customHeight="1" x14ac:dyDescent="0.25">
      <c r="H288" s="34"/>
    </row>
    <row r="289" spans="8:8" ht="14.25" customHeight="1" x14ac:dyDescent="0.25">
      <c r="H289" s="34"/>
    </row>
    <row r="290" spans="8:8" ht="14.25" customHeight="1" x14ac:dyDescent="0.25">
      <c r="H290" s="34"/>
    </row>
    <row r="291" spans="8:8" ht="14.25" customHeight="1" x14ac:dyDescent="0.25">
      <c r="H291" s="34"/>
    </row>
    <row r="292" spans="8:8" ht="14.25" customHeight="1" x14ac:dyDescent="0.25">
      <c r="H292" s="34"/>
    </row>
    <row r="293" spans="8:8" ht="14.25" customHeight="1" x14ac:dyDescent="0.25">
      <c r="H293" s="34"/>
    </row>
    <row r="294" spans="8:8" ht="14.25" customHeight="1" x14ac:dyDescent="0.25">
      <c r="H294" s="34"/>
    </row>
    <row r="295" spans="8:8" ht="14.25" customHeight="1" x14ac:dyDescent="0.25">
      <c r="H295" s="34"/>
    </row>
    <row r="296" spans="8:8" ht="14.25" customHeight="1" x14ac:dyDescent="0.25">
      <c r="H296" s="34"/>
    </row>
    <row r="297" spans="8:8" ht="14.25" customHeight="1" x14ac:dyDescent="0.25">
      <c r="H297" s="34"/>
    </row>
    <row r="298" spans="8:8" ht="14.25" customHeight="1" x14ac:dyDescent="0.25">
      <c r="H298" s="34"/>
    </row>
    <row r="299" spans="8:8" ht="14.25" customHeight="1" x14ac:dyDescent="0.25">
      <c r="H299" s="34"/>
    </row>
    <row r="300" spans="8:8" ht="14.25" customHeight="1" x14ac:dyDescent="0.25">
      <c r="H300" s="34"/>
    </row>
    <row r="301" spans="8:8" ht="14.25" customHeight="1" x14ac:dyDescent="0.25">
      <c r="H301" s="34"/>
    </row>
    <row r="302" spans="8:8" ht="14.25" customHeight="1" x14ac:dyDescent="0.25">
      <c r="H302" s="34"/>
    </row>
    <row r="303" spans="8:8" ht="14.25" customHeight="1" x14ac:dyDescent="0.25">
      <c r="H303" s="34"/>
    </row>
    <row r="304" spans="8:8" ht="14.25" customHeight="1" x14ac:dyDescent="0.25">
      <c r="H304" s="34"/>
    </row>
    <row r="305" spans="8:8" ht="14.25" customHeight="1" x14ac:dyDescent="0.25">
      <c r="H305" s="34"/>
    </row>
    <row r="306" spans="8:8" ht="14.25" customHeight="1" x14ac:dyDescent="0.25">
      <c r="H306" s="34"/>
    </row>
    <row r="307" spans="8:8" ht="14.25" customHeight="1" x14ac:dyDescent="0.25">
      <c r="H307" s="34"/>
    </row>
    <row r="308" spans="8:8" ht="14.25" customHeight="1" x14ac:dyDescent="0.25">
      <c r="H308" s="34"/>
    </row>
    <row r="309" spans="8:8" ht="14.25" customHeight="1" x14ac:dyDescent="0.25">
      <c r="H309" s="34"/>
    </row>
    <row r="310" spans="8:8" ht="14.25" customHeight="1" x14ac:dyDescent="0.25">
      <c r="H310" s="34"/>
    </row>
    <row r="311" spans="8:8" ht="14.25" customHeight="1" x14ac:dyDescent="0.25">
      <c r="H311" s="34"/>
    </row>
    <row r="312" spans="8:8" ht="14.25" customHeight="1" x14ac:dyDescent="0.25">
      <c r="H312" s="34"/>
    </row>
    <row r="313" spans="8:8" ht="14.25" customHeight="1" x14ac:dyDescent="0.25">
      <c r="H313" s="34"/>
    </row>
    <row r="314" spans="8:8" ht="14.25" customHeight="1" x14ac:dyDescent="0.25">
      <c r="H314" s="34"/>
    </row>
    <row r="315" spans="8:8" ht="14.25" customHeight="1" x14ac:dyDescent="0.25">
      <c r="H315" s="34"/>
    </row>
    <row r="316" spans="8:8" ht="14.25" customHeight="1" x14ac:dyDescent="0.25">
      <c r="H316" s="34"/>
    </row>
    <row r="317" spans="8:8" ht="14.25" customHeight="1" x14ac:dyDescent="0.25">
      <c r="H317" s="34"/>
    </row>
    <row r="318" spans="8:8" ht="14.25" customHeight="1" x14ac:dyDescent="0.25">
      <c r="H318" s="34"/>
    </row>
    <row r="319" spans="8:8" ht="14.25" customHeight="1" x14ac:dyDescent="0.25">
      <c r="H319" s="34"/>
    </row>
    <row r="320" spans="8:8" ht="14.25" customHeight="1" x14ac:dyDescent="0.25">
      <c r="H320" s="34"/>
    </row>
    <row r="321" spans="8:8" ht="14.25" customHeight="1" x14ac:dyDescent="0.25">
      <c r="H321" s="34"/>
    </row>
    <row r="322" spans="8:8" ht="14.25" customHeight="1" x14ac:dyDescent="0.25">
      <c r="H322" s="34"/>
    </row>
    <row r="323" spans="8:8" ht="14.25" customHeight="1" x14ac:dyDescent="0.25">
      <c r="H323" s="34"/>
    </row>
    <row r="324" spans="8:8" ht="14.25" customHeight="1" x14ac:dyDescent="0.25">
      <c r="H324" s="34"/>
    </row>
    <row r="325" spans="8:8" ht="14.25" customHeight="1" x14ac:dyDescent="0.25">
      <c r="H325" s="34"/>
    </row>
    <row r="326" spans="8:8" ht="14.25" customHeight="1" x14ac:dyDescent="0.25">
      <c r="H326" s="34"/>
    </row>
    <row r="327" spans="8:8" ht="14.25" customHeight="1" x14ac:dyDescent="0.25">
      <c r="H327" s="34"/>
    </row>
    <row r="328" spans="8:8" ht="14.25" customHeight="1" x14ac:dyDescent="0.25">
      <c r="H328" s="34"/>
    </row>
    <row r="329" spans="8:8" ht="14.25" customHeight="1" x14ac:dyDescent="0.25">
      <c r="H329" s="34"/>
    </row>
    <row r="330" spans="8:8" ht="14.25" customHeight="1" x14ac:dyDescent="0.25">
      <c r="H330" s="34"/>
    </row>
    <row r="331" spans="8:8" ht="14.25" customHeight="1" x14ac:dyDescent="0.25">
      <c r="H331" s="34"/>
    </row>
    <row r="332" spans="8:8" ht="14.25" customHeight="1" x14ac:dyDescent="0.25">
      <c r="H332" s="34"/>
    </row>
    <row r="333" spans="8:8" ht="14.25" customHeight="1" x14ac:dyDescent="0.25">
      <c r="H333" s="34"/>
    </row>
    <row r="334" spans="8:8" ht="14.25" customHeight="1" x14ac:dyDescent="0.25">
      <c r="H334" s="34"/>
    </row>
    <row r="335" spans="8:8" ht="14.25" customHeight="1" x14ac:dyDescent="0.25">
      <c r="H335" s="34"/>
    </row>
    <row r="336" spans="8:8" ht="14.25" customHeight="1" x14ac:dyDescent="0.25">
      <c r="H336" s="34"/>
    </row>
    <row r="337" spans="8:8" ht="14.25" customHeight="1" x14ac:dyDescent="0.25">
      <c r="H337" s="34"/>
    </row>
    <row r="338" spans="8:8" ht="14.25" customHeight="1" x14ac:dyDescent="0.25">
      <c r="H338" s="34"/>
    </row>
    <row r="339" spans="8:8" ht="14.25" customHeight="1" x14ac:dyDescent="0.25">
      <c r="H339" s="34"/>
    </row>
    <row r="340" spans="8:8" ht="14.25" customHeight="1" x14ac:dyDescent="0.25">
      <c r="H340" s="34"/>
    </row>
    <row r="341" spans="8:8" ht="14.25" customHeight="1" x14ac:dyDescent="0.25">
      <c r="H341" s="34"/>
    </row>
    <row r="342" spans="8:8" ht="14.25" customHeight="1" x14ac:dyDescent="0.25">
      <c r="H342" s="34"/>
    </row>
    <row r="343" spans="8:8" ht="14.25" customHeight="1" x14ac:dyDescent="0.25">
      <c r="H343" s="34"/>
    </row>
    <row r="344" spans="8:8" ht="14.25" customHeight="1" x14ac:dyDescent="0.25">
      <c r="H344" s="34"/>
    </row>
    <row r="345" spans="8:8" ht="14.25" customHeight="1" x14ac:dyDescent="0.25">
      <c r="H345" s="34"/>
    </row>
    <row r="346" spans="8:8" ht="14.25" customHeight="1" x14ac:dyDescent="0.25">
      <c r="H346" s="34"/>
    </row>
    <row r="347" spans="8:8" ht="14.25" customHeight="1" x14ac:dyDescent="0.25">
      <c r="H347" s="34"/>
    </row>
    <row r="348" spans="8:8" ht="14.25" customHeight="1" x14ac:dyDescent="0.25">
      <c r="H348" s="34"/>
    </row>
    <row r="349" spans="8:8" ht="14.25" customHeight="1" x14ac:dyDescent="0.25">
      <c r="H349" s="34"/>
    </row>
    <row r="350" spans="8:8" ht="14.25" customHeight="1" x14ac:dyDescent="0.25">
      <c r="H350" s="34"/>
    </row>
    <row r="351" spans="8:8" ht="14.25" customHeight="1" x14ac:dyDescent="0.25">
      <c r="H351" s="34"/>
    </row>
    <row r="352" spans="8:8" ht="14.25" customHeight="1" x14ac:dyDescent="0.25">
      <c r="H352" s="34"/>
    </row>
    <row r="353" spans="8:8" ht="14.25" customHeight="1" x14ac:dyDescent="0.25">
      <c r="H353" s="34"/>
    </row>
    <row r="354" spans="8:8" ht="14.25" customHeight="1" x14ac:dyDescent="0.25">
      <c r="H354" s="34"/>
    </row>
    <row r="355" spans="8:8" ht="14.25" customHeight="1" x14ac:dyDescent="0.25">
      <c r="H355" s="34"/>
    </row>
    <row r="356" spans="8:8" ht="14.25" customHeight="1" x14ac:dyDescent="0.25">
      <c r="H356" s="34"/>
    </row>
    <row r="357" spans="8:8" ht="14.25" customHeight="1" x14ac:dyDescent="0.25">
      <c r="H357" s="34"/>
    </row>
    <row r="358" spans="8:8" ht="14.25" customHeight="1" x14ac:dyDescent="0.25">
      <c r="H358" s="34"/>
    </row>
    <row r="359" spans="8:8" ht="14.25" customHeight="1" x14ac:dyDescent="0.25">
      <c r="H359" s="34"/>
    </row>
    <row r="360" spans="8:8" ht="14.25" customHeight="1" x14ac:dyDescent="0.25">
      <c r="H360" s="34"/>
    </row>
    <row r="361" spans="8:8" ht="14.25" customHeight="1" x14ac:dyDescent="0.25">
      <c r="H361" s="34"/>
    </row>
    <row r="362" spans="8:8" ht="14.25" customHeight="1" x14ac:dyDescent="0.25">
      <c r="H362" s="34"/>
    </row>
    <row r="363" spans="8:8" ht="14.25" customHeight="1" x14ac:dyDescent="0.25">
      <c r="H363" s="34"/>
    </row>
    <row r="364" spans="8:8" ht="14.25" customHeight="1" x14ac:dyDescent="0.25">
      <c r="H364" s="34"/>
    </row>
    <row r="365" spans="8:8" ht="14.25" customHeight="1" x14ac:dyDescent="0.25">
      <c r="H365" s="34"/>
    </row>
    <row r="366" spans="8:8" ht="14.25" customHeight="1" x14ac:dyDescent="0.25">
      <c r="H366" s="34"/>
    </row>
    <row r="367" spans="8:8" ht="14.25" customHeight="1" x14ac:dyDescent="0.25">
      <c r="H367" s="34"/>
    </row>
    <row r="368" spans="8:8" ht="14.25" customHeight="1" x14ac:dyDescent="0.25">
      <c r="H368" s="34"/>
    </row>
    <row r="369" spans="8:8" ht="14.25" customHeight="1" x14ac:dyDescent="0.25">
      <c r="H369" s="34"/>
    </row>
    <row r="370" spans="8:8" ht="14.25" customHeight="1" x14ac:dyDescent="0.25">
      <c r="H370" s="34"/>
    </row>
    <row r="371" spans="8:8" ht="14.25" customHeight="1" x14ac:dyDescent="0.25">
      <c r="H371" s="34"/>
    </row>
    <row r="372" spans="8:8" ht="14.25" customHeight="1" x14ac:dyDescent="0.25">
      <c r="H372" s="34"/>
    </row>
    <row r="373" spans="8:8" ht="14.25" customHeight="1" x14ac:dyDescent="0.25">
      <c r="H373" s="34"/>
    </row>
    <row r="374" spans="8:8" ht="14.25" customHeight="1" x14ac:dyDescent="0.25">
      <c r="H374" s="34"/>
    </row>
    <row r="375" spans="8:8" ht="14.25" customHeight="1" x14ac:dyDescent="0.25">
      <c r="H375" s="34"/>
    </row>
    <row r="376" spans="8:8" ht="14.25" customHeight="1" x14ac:dyDescent="0.25">
      <c r="H376" s="34"/>
    </row>
    <row r="377" spans="8:8" ht="14.25" customHeight="1" x14ac:dyDescent="0.25">
      <c r="H377" s="34"/>
    </row>
    <row r="378" spans="8:8" ht="14.25" customHeight="1" x14ac:dyDescent="0.25">
      <c r="H378" s="34"/>
    </row>
    <row r="379" spans="8:8" ht="14.25" customHeight="1" x14ac:dyDescent="0.25">
      <c r="H379" s="34"/>
    </row>
    <row r="380" spans="8:8" ht="14.25" customHeight="1" x14ac:dyDescent="0.25">
      <c r="H380" s="34"/>
    </row>
    <row r="381" spans="8:8" ht="14.25" customHeight="1" x14ac:dyDescent="0.25">
      <c r="H381" s="34"/>
    </row>
    <row r="382" spans="8:8" ht="14.25" customHeight="1" x14ac:dyDescent="0.25">
      <c r="H382" s="34"/>
    </row>
    <row r="383" spans="8:8" ht="14.25" customHeight="1" x14ac:dyDescent="0.25">
      <c r="H383" s="34"/>
    </row>
    <row r="384" spans="8:8" ht="14.25" customHeight="1" x14ac:dyDescent="0.25">
      <c r="H384" s="34"/>
    </row>
    <row r="385" spans="8:8" ht="14.25" customHeight="1" x14ac:dyDescent="0.25">
      <c r="H385" s="34"/>
    </row>
    <row r="386" spans="8:8" ht="14.25" customHeight="1" x14ac:dyDescent="0.25">
      <c r="H386" s="34"/>
    </row>
    <row r="387" spans="8:8" ht="14.25" customHeight="1" x14ac:dyDescent="0.25">
      <c r="H387" s="34"/>
    </row>
    <row r="388" spans="8:8" ht="14.25" customHeight="1" x14ac:dyDescent="0.25">
      <c r="H388" s="34"/>
    </row>
    <row r="389" spans="8:8" ht="14.25" customHeight="1" x14ac:dyDescent="0.25">
      <c r="H389" s="34"/>
    </row>
    <row r="390" spans="8:8" ht="14.25" customHeight="1" x14ac:dyDescent="0.25">
      <c r="H390" s="34"/>
    </row>
    <row r="391" spans="8:8" ht="14.25" customHeight="1" x14ac:dyDescent="0.25">
      <c r="H391" s="34"/>
    </row>
    <row r="392" spans="8:8" ht="14.25" customHeight="1" x14ac:dyDescent="0.25">
      <c r="H392" s="34"/>
    </row>
    <row r="393" spans="8:8" ht="14.25" customHeight="1" x14ac:dyDescent="0.25">
      <c r="H393" s="34"/>
    </row>
    <row r="394" spans="8:8" ht="14.25" customHeight="1" x14ac:dyDescent="0.25">
      <c r="H394" s="34"/>
    </row>
    <row r="395" spans="8:8" ht="14.25" customHeight="1" x14ac:dyDescent="0.25">
      <c r="H395" s="34"/>
    </row>
    <row r="396" spans="8:8" ht="14.25" customHeight="1" x14ac:dyDescent="0.25">
      <c r="H396" s="34"/>
    </row>
    <row r="397" spans="8:8" ht="14.25" customHeight="1" x14ac:dyDescent="0.25">
      <c r="H397" s="34"/>
    </row>
    <row r="398" spans="8:8" ht="14.25" customHeight="1" x14ac:dyDescent="0.25">
      <c r="H398" s="34"/>
    </row>
    <row r="399" spans="8:8" ht="14.25" customHeight="1" x14ac:dyDescent="0.25">
      <c r="H399" s="34"/>
    </row>
    <row r="400" spans="8:8" ht="14.25" customHeight="1" x14ac:dyDescent="0.25">
      <c r="H400" s="34"/>
    </row>
    <row r="401" spans="8:8" ht="14.25" customHeight="1" x14ac:dyDescent="0.25">
      <c r="H401" s="34"/>
    </row>
    <row r="402" spans="8:8" ht="14.25" customHeight="1" x14ac:dyDescent="0.25">
      <c r="H402" s="34"/>
    </row>
    <row r="403" spans="8:8" ht="14.25" customHeight="1" x14ac:dyDescent="0.25">
      <c r="H403" s="34"/>
    </row>
    <row r="404" spans="8:8" ht="14.25" customHeight="1" x14ac:dyDescent="0.25">
      <c r="H404" s="34"/>
    </row>
    <row r="405" spans="8:8" ht="14.25" customHeight="1" x14ac:dyDescent="0.25">
      <c r="H405" s="34"/>
    </row>
    <row r="406" spans="8:8" ht="14.25" customHeight="1" x14ac:dyDescent="0.25">
      <c r="H406" s="34"/>
    </row>
    <row r="407" spans="8:8" ht="14.25" customHeight="1" x14ac:dyDescent="0.25">
      <c r="H407" s="34"/>
    </row>
    <row r="408" spans="8:8" ht="14.25" customHeight="1" x14ac:dyDescent="0.25">
      <c r="H408" s="34"/>
    </row>
    <row r="409" spans="8:8" ht="14.25" customHeight="1" x14ac:dyDescent="0.25">
      <c r="H409" s="34"/>
    </row>
    <row r="410" spans="8:8" ht="14.25" customHeight="1" x14ac:dyDescent="0.25">
      <c r="H410" s="34"/>
    </row>
    <row r="411" spans="8:8" ht="14.25" customHeight="1" x14ac:dyDescent="0.25">
      <c r="H411" s="34"/>
    </row>
    <row r="412" spans="8:8" ht="14.25" customHeight="1" x14ac:dyDescent="0.25">
      <c r="H412" s="34"/>
    </row>
    <row r="413" spans="8:8" ht="14.25" customHeight="1" x14ac:dyDescent="0.25">
      <c r="H413" s="34"/>
    </row>
    <row r="414" spans="8:8" ht="14.25" customHeight="1" x14ac:dyDescent="0.25">
      <c r="H414" s="34"/>
    </row>
    <row r="415" spans="8:8" ht="14.25" customHeight="1" x14ac:dyDescent="0.25">
      <c r="H415" s="34"/>
    </row>
    <row r="416" spans="8:8" ht="14.25" customHeight="1" x14ac:dyDescent="0.25">
      <c r="H416" s="34"/>
    </row>
    <row r="417" spans="8:8" ht="14.25" customHeight="1" x14ac:dyDescent="0.25">
      <c r="H417" s="34"/>
    </row>
    <row r="418" spans="8:8" ht="14.25" customHeight="1" x14ac:dyDescent="0.25">
      <c r="H418" s="34"/>
    </row>
    <row r="419" spans="8:8" ht="14.25" customHeight="1" x14ac:dyDescent="0.25">
      <c r="H419" s="34"/>
    </row>
    <row r="420" spans="8:8" ht="14.25" customHeight="1" x14ac:dyDescent="0.25">
      <c r="H420" s="34"/>
    </row>
    <row r="421" spans="8:8" ht="14.25" customHeight="1" x14ac:dyDescent="0.25">
      <c r="H421" s="34"/>
    </row>
    <row r="422" spans="8:8" ht="14.25" customHeight="1" x14ac:dyDescent="0.25">
      <c r="H422" s="34"/>
    </row>
    <row r="423" spans="8:8" ht="14.25" customHeight="1" x14ac:dyDescent="0.25">
      <c r="H423" s="34"/>
    </row>
    <row r="424" spans="8:8" ht="14.25" customHeight="1" x14ac:dyDescent="0.25">
      <c r="H424" s="34"/>
    </row>
    <row r="425" spans="8:8" ht="14.25" customHeight="1" x14ac:dyDescent="0.25">
      <c r="H425" s="34"/>
    </row>
    <row r="426" spans="8:8" ht="14.25" customHeight="1" x14ac:dyDescent="0.25">
      <c r="H426" s="34"/>
    </row>
    <row r="427" spans="8:8" ht="14.25" customHeight="1" x14ac:dyDescent="0.25">
      <c r="H427" s="34"/>
    </row>
    <row r="428" spans="8:8" ht="14.25" customHeight="1" x14ac:dyDescent="0.25">
      <c r="H428" s="34"/>
    </row>
    <row r="429" spans="8:8" ht="14.25" customHeight="1" x14ac:dyDescent="0.25">
      <c r="H429" s="34"/>
    </row>
    <row r="430" spans="8:8" ht="14.25" customHeight="1" x14ac:dyDescent="0.25">
      <c r="H430" s="34"/>
    </row>
    <row r="431" spans="8:8" ht="14.25" customHeight="1" x14ac:dyDescent="0.25">
      <c r="H431" s="34"/>
    </row>
    <row r="432" spans="8:8" ht="14.25" customHeight="1" x14ac:dyDescent="0.25">
      <c r="H432" s="34"/>
    </row>
    <row r="433" spans="8:8" ht="14.25" customHeight="1" x14ac:dyDescent="0.25">
      <c r="H433" s="34"/>
    </row>
    <row r="434" spans="8:8" ht="14.25" customHeight="1" x14ac:dyDescent="0.25">
      <c r="H434" s="34"/>
    </row>
    <row r="435" spans="8:8" ht="14.25" customHeight="1" x14ac:dyDescent="0.25">
      <c r="H435" s="34"/>
    </row>
    <row r="436" spans="8:8" ht="14.25" customHeight="1" x14ac:dyDescent="0.25">
      <c r="H436" s="34"/>
    </row>
    <row r="437" spans="8:8" ht="14.25" customHeight="1" x14ac:dyDescent="0.25">
      <c r="H437" s="34"/>
    </row>
    <row r="438" spans="8:8" ht="14.25" customHeight="1" x14ac:dyDescent="0.25">
      <c r="H438" s="34"/>
    </row>
    <row r="439" spans="8:8" ht="14.25" customHeight="1" x14ac:dyDescent="0.25">
      <c r="H439" s="34"/>
    </row>
    <row r="440" spans="8:8" ht="14.25" customHeight="1" x14ac:dyDescent="0.25">
      <c r="H440" s="34"/>
    </row>
    <row r="441" spans="8:8" ht="14.25" customHeight="1" x14ac:dyDescent="0.25">
      <c r="H441" s="34"/>
    </row>
    <row r="442" spans="8:8" ht="14.25" customHeight="1" x14ac:dyDescent="0.25">
      <c r="H442" s="34"/>
    </row>
    <row r="443" spans="8:8" ht="14.25" customHeight="1" x14ac:dyDescent="0.25">
      <c r="H443" s="34"/>
    </row>
    <row r="444" spans="8:8" ht="14.25" customHeight="1" x14ac:dyDescent="0.25">
      <c r="H444" s="34"/>
    </row>
    <row r="445" spans="8:8" ht="14.25" customHeight="1" x14ac:dyDescent="0.25">
      <c r="H445" s="34"/>
    </row>
    <row r="446" spans="8:8" ht="14.25" customHeight="1" x14ac:dyDescent="0.25">
      <c r="H446" s="34"/>
    </row>
    <row r="447" spans="8:8" ht="14.25" customHeight="1" x14ac:dyDescent="0.25">
      <c r="H447" s="34"/>
    </row>
    <row r="448" spans="8:8" ht="14.25" customHeight="1" x14ac:dyDescent="0.25">
      <c r="H448" s="34"/>
    </row>
    <row r="449" spans="8:8" ht="14.25" customHeight="1" x14ac:dyDescent="0.25">
      <c r="H449" s="34"/>
    </row>
    <row r="450" spans="8:8" ht="14.25" customHeight="1" x14ac:dyDescent="0.25">
      <c r="H450" s="34"/>
    </row>
    <row r="451" spans="8:8" ht="14.25" customHeight="1" x14ac:dyDescent="0.25">
      <c r="H451" s="34"/>
    </row>
    <row r="452" spans="8:8" ht="14.25" customHeight="1" x14ac:dyDescent="0.25">
      <c r="H452" s="34"/>
    </row>
    <row r="453" spans="8:8" ht="14.25" customHeight="1" x14ac:dyDescent="0.25">
      <c r="H453" s="34"/>
    </row>
    <row r="454" spans="8:8" ht="14.25" customHeight="1" x14ac:dyDescent="0.25">
      <c r="H454" s="34"/>
    </row>
    <row r="455" spans="8:8" ht="14.25" customHeight="1" x14ac:dyDescent="0.25">
      <c r="H455" s="34"/>
    </row>
    <row r="456" spans="8:8" ht="14.25" customHeight="1" x14ac:dyDescent="0.25">
      <c r="H456" s="34"/>
    </row>
    <row r="457" spans="8:8" ht="14.25" customHeight="1" x14ac:dyDescent="0.25">
      <c r="H457" s="34"/>
    </row>
    <row r="458" spans="8:8" ht="14.25" customHeight="1" x14ac:dyDescent="0.25">
      <c r="H458" s="34"/>
    </row>
    <row r="459" spans="8:8" ht="14.25" customHeight="1" x14ac:dyDescent="0.25">
      <c r="H459" s="34"/>
    </row>
    <row r="460" spans="8:8" ht="14.25" customHeight="1" x14ac:dyDescent="0.25">
      <c r="H460" s="34"/>
    </row>
    <row r="461" spans="8:8" ht="14.25" customHeight="1" x14ac:dyDescent="0.25">
      <c r="H461" s="34"/>
    </row>
    <row r="462" spans="8:8" ht="14.25" customHeight="1" x14ac:dyDescent="0.25">
      <c r="H462" s="34"/>
    </row>
    <row r="463" spans="8:8" ht="14.25" customHeight="1" x14ac:dyDescent="0.25">
      <c r="H463" s="34"/>
    </row>
    <row r="464" spans="8:8" ht="14.25" customHeight="1" x14ac:dyDescent="0.25">
      <c r="H464" s="34"/>
    </row>
    <row r="465" spans="8:8" ht="14.25" customHeight="1" x14ac:dyDescent="0.25">
      <c r="H465" s="34"/>
    </row>
    <row r="466" spans="8:8" ht="14.25" customHeight="1" x14ac:dyDescent="0.25">
      <c r="H466" s="34"/>
    </row>
    <row r="467" spans="8:8" ht="14.25" customHeight="1" x14ac:dyDescent="0.25">
      <c r="H467" s="34"/>
    </row>
    <row r="468" spans="8:8" ht="14.25" customHeight="1" x14ac:dyDescent="0.25">
      <c r="H468" s="34"/>
    </row>
    <row r="469" spans="8:8" ht="14.25" customHeight="1" x14ac:dyDescent="0.25">
      <c r="H469" s="34"/>
    </row>
    <row r="470" spans="8:8" ht="14.25" customHeight="1" x14ac:dyDescent="0.25">
      <c r="H470" s="34"/>
    </row>
    <row r="471" spans="8:8" ht="14.25" customHeight="1" x14ac:dyDescent="0.25">
      <c r="H471" s="34"/>
    </row>
    <row r="472" spans="8:8" ht="14.25" customHeight="1" x14ac:dyDescent="0.25">
      <c r="H472" s="34"/>
    </row>
    <row r="473" spans="8:8" ht="14.25" customHeight="1" x14ac:dyDescent="0.25">
      <c r="H473" s="34"/>
    </row>
    <row r="474" spans="8:8" ht="14.25" customHeight="1" x14ac:dyDescent="0.25">
      <c r="H474" s="34"/>
    </row>
    <row r="475" spans="8:8" ht="14.25" customHeight="1" x14ac:dyDescent="0.25">
      <c r="H475" s="34"/>
    </row>
    <row r="476" spans="8:8" ht="14.25" customHeight="1" x14ac:dyDescent="0.25">
      <c r="H476" s="34"/>
    </row>
    <row r="477" spans="8:8" ht="14.25" customHeight="1" x14ac:dyDescent="0.25">
      <c r="H477" s="34"/>
    </row>
    <row r="478" spans="8:8" ht="14.25" customHeight="1" x14ac:dyDescent="0.25">
      <c r="H478" s="34"/>
    </row>
    <row r="479" spans="8:8" ht="14.25" customHeight="1" x14ac:dyDescent="0.25">
      <c r="H479" s="34"/>
    </row>
    <row r="480" spans="8:8" ht="14.25" customHeight="1" x14ac:dyDescent="0.25">
      <c r="H480" s="34"/>
    </row>
    <row r="481" spans="8:8" ht="14.25" customHeight="1" x14ac:dyDescent="0.25">
      <c r="H481" s="34"/>
    </row>
    <row r="482" spans="8:8" ht="14.25" customHeight="1" x14ac:dyDescent="0.25">
      <c r="H482" s="34"/>
    </row>
    <row r="483" spans="8:8" ht="14.25" customHeight="1" x14ac:dyDescent="0.25">
      <c r="H483" s="34"/>
    </row>
    <row r="484" spans="8:8" ht="14.25" customHeight="1" x14ac:dyDescent="0.25">
      <c r="H484" s="34"/>
    </row>
    <row r="485" spans="8:8" ht="14.25" customHeight="1" x14ac:dyDescent="0.25">
      <c r="H485" s="34"/>
    </row>
    <row r="486" spans="8:8" ht="14.25" customHeight="1" x14ac:dyDescent="0.25">
      <c r="H486" s="34"/>
    </row>
    <row r="487" spans="8:8" ht="14.25" customHeight="1" x14ac:dyDescent="0.25">
      <c r="H487" s="34"/>
    </row>
    <row r="488" spans="8:8" ht="14.25" customHeight="1" x14ac:dyDescent="0.25">
      <c r="H488" s="34"/>
    </row>
    <row r="489" spans="8:8" ht="14.25" customHeight="1" x14ac:dyDescent="0.25">
      <c r="H489" s="34"/>
    </row>
    <row r="490" spans="8:8" ht="14.25" customHeight="1" x14ac:dyDescent="0.25">
      <c r="H490" s="34"/>
    </row>
    <row r="491" spans="8:8" ht="14.25" customHeight="1" x14ac:dyDescent="0.25">
      <c r="H491" s="34"/>
    </row>
    <row r="492" spans="8:8" ht="14.25" customHeight="1" x14ac:dyDescent="0.25">
      <c r="H492" s="34"/>
    </row>
    <row r="493" spans="8:8" ht="14.25" customHeight="1" x14ac:dyDescent="0.25">
      <c r="H493" s="34"/>
    </row>
    <row r="494" spans="8:8" ht="14.25" customHeight="1" x14ac:dyDescent="0.25">
      <c r="H494" s="34"/>
    </row>
    <row r="495" spans="8:8" ht="14.25" customHeight="1" x14ac:dyDescent="0.25">
      <c r="H495" s="34"/>
    </row>
    <row r="496" spans="8:8" ht="14.25" customHeight="1" x14ac:dyDescent="0.25">
      <c r="H496" s="34"/>
    </row>
    <row r="497" spans="8:8" ht="14.25" customHeight="1" x14ac:dyDescent="0.25">
      <c r="H497" s="34"/>
    </row>
    <row r="498" spans="8:8" ht="14.25" customHeight="1" x14ac:dyDescent="0.25">
      <c r="H498" s="34"/>
    </row>
    <row r="499" spans="8:8" ht="14.25" customHeight="1" x14ac:dyDescent="0.25">
      <c r="H499" s="34"/>
    </row>
    <row r="500" spans="8:8" ht="14.25" customHeight="1" x14ac:dyDescent="0.25">
      <c r="H500" s="34"/>
    </row>
    <row r="501" spans="8:8" ht="14.25" customHeight="1" x14ac:dyDescent="0.25">
      <c r="H501" s="34"/>
    </row>
    <row r="502" spans="8:8" ht="14.25" customHeight="1" x14ac:dyDescent="0.25">
      <c r="H502" s="34"/>
    </row>
    <row r="503" spans="8:8" ht="14.25" customHeight="1" x14ac:dyDescent="0.25">
      <c r="H503" s="34"/>
    </row>
    <row r="504" spans="8:8" ht="14.25" customHeight="1" x14ac:dyDescent="0.25">
      <c r="H504" s="34"/>
    </row>
    <row r="505" spans="8:8" ht="14.25" customHeight="1" x14ac:dyDescent="0.25">
      <c r="H505" s="34"/>
    </row>
    <row r="506" spans="8:8" ht="14.25" customHeight="1" x14ac:dyDescent="0.25">
      <c r="H506" s="34"/>
    </row>
    <row r="507" spans="8:8" ht="14.25" customHeight="1" x14ac:dyDescent="0.25">
      <c r="H507" s="34"/>
    </row>
    <row r="508" spans="8:8" ht="14.25" customHeight="1" x14ac:dyDescent="0.25">
      <c r="H508" s="34"/>
    </row>
    <row r="509" spans="8:8" ht="14.25" customHeight="1" x14ac:dyDescent="0.25">
      <c r="H509" s="34"/>
    </row>
    <row r="510" spans="8:8" ht="14.25" customHeight="1" x14ac:dyDescent="0.25">
      <c r="H510" s="34"/>
    </row>
    <row r="511" spans="8:8" ht="14.25" customHeight="1" x14ac:dyDescent="0.25">
      <c r="H511" s="34"/>
    </row>
    <row r="512" spans="8:8" ht="14.25" customHeight="1" x14ac:dyDescent="0.25">
      <c r="H512" s="34"/>
    </row>
    <row r="513" spans="8:8" ht="14.25" customHeight="1" x14ac:dyDescent="0.25">
      <c r="H513" s="34"/>
    </row>
    <row r="514" spans="8:8" ht="14.25" customHeight="1" x14ac:dyDescent="0.25">
      <c r="H514" s="34"/>
    </row>
    <row r="515" spans="8:8" ht="14.25" customHeight="1" x14ac:dyDescent="0.25">
      <c r="H515" s="34"/>
    </row>
    <row r="516" spans="8:8" ht="14.25" customHeight="1" x14ac:dyDescent="0.25">
      <c r="H516" s="34"/>
    </row>
    <row r="517" spans="8:8" ht="14.25" customHeight="1" x14ac:dyDescent="0.25">
      <c r="H517" s="34"/>
    </row>
    <row r="518" spans="8:8" ht="14.25" customHeight="1" x14ac:dyDescent="0.25">
      <c r="H518" s="34"/>
    </row>
    <row r="519" spans="8:8" ht="14.25" customHeight="1" x14ac:dyDescent="0.25">
      <c r="H519" s="34"/>
    </row>
    <row r="520" spans="8:8" ht="14.25" customHeight="1" x14ac:dyDescent="0.25">
      <c r="H520" s="34"/>
    </row>
    <row r="521" spans="8:8" ht="14.25" customHeight="1" x14ac:dyDescent="0.25">
      <c r="H521" s="34"/>
    </row>
    <row r="522" spans="8:8" ht="14.25" customHeight="1" x14ac:dyDescent="0.25">
      <c r="H522" s="34"/>
    </row>
    <row r="523" spans="8:8" ht="14.25" customHeight="1" x14ac:dyDescent="0.25">
      <c r="H523" s="34"/>
    </row>
    <row r="524" spans="8:8" ht="14.25" customHeight="1" x14ac:dyDescent="0.25">
      <c r="H524" s="34"/>
    </row>
    <row r="525" spans="8:8" ht="14.25" customHeight="1" x14ac:dyDescent="0.25">
      <c r="H525" s="34"/>
    </row>
    <row r="526" spans="8:8" ht="14.25" customHeight="1" x14ac:dyDescent="0.25">
      <c r="H526" s="34"/>
    </row>
    <row r="527" spans="8:8" ht="14.25" customHeight="1" x14ac:dyDescent="0.25">
      <c r="H527" s="34"/>
    </row>
    <row r="528" spans="8:8" ht="14.25" customHeight="1" x14ac:dyDescent="0.25">
      <c r="H528" s="34"/>
    </row>
    <row r="529" spans="8:8" ht="14.25" customHeight="1" x14ac:dyDescent="0.25">
      <c r="H529" s="34"/>
    </row>
    <row r="530" spans="8:8" ht="14.25" customHeight="1" x14ac:dyDescent="0.25">
      <c r="H530" s="34"/>
    </row>
    <row r="531" spans="8:8" ht="14.25" customHeight="1" x14ac:dyDescent="0.25">
      <c r="H531" s="34"/>
    </row>
    <row r="532" spans="8:8" ht="14.25" customHeight="1" x14ac:dyDescent="0.25">
      <c r="H532" s="34"/>
    </row>
    <row r="533" spans="8:8" ht="14.25" customHeight="1" x14ac:dyDescent="0.25">
      <c r="H533" s="34"/>
    </row>
    <row r="534" spans="8:8" ht="14.25" customHeight="1" x14ac:dyDescent="0.25">
      <c r="H534" s="34"/>
    </row>
    <row r="535" spans="8:8" ht="14.25" customHeight="1" x14ac:dyDescent="0.25">
      <c r="H535" s="34"/>
    </row>
    <row r="536" spans="8:8" ht="14.25" customHeight="1" x14ac:dyDescent="0.25">
      <c r="H536" s="34"/>
    </row>
    <row r="537" spans="8:8" ht="14.25" customHeight="1" x14ac:dyDescent="0.25">
      <c r="H537" s="34"/>
    </row>
    <row r="538" spans="8:8" ht="14.25" customHeight="1" x14ac:dyDescent="0.25">
      <c r="H538" s="34"/>
    </row>
    <row r="539" spans="8:8" ht="14.25" customHeight="1" x14ac:dyDescent="0.25">
      <c r="H539" s="34"/>
    </row>
    <row r="540" spans="8:8" ht="14.25" customHeight="1" x14ac:dyDescent="0.25">
      <c r="H540" s="34"/>
    </row>
    <row r="541" spans="8:8" ht="14.25" customHeight="1" x14ac:dyDescent="0.25">
      <c r="H541" s="34"/>
    </row>
    <row r="542" spans="8:8" ht="14.25" customHeight="1" x14ac:dyDescent="0.25">
      <c r="H542" s="34"/>
    </row>
    <row r="543" spans="8:8" ht="14.25" customHeight="1" x14ac:dyDescent="0.25">
      <c r="H543" s="34"/>
    </row>
    <row r="544" spans="8:8" ht="14.25" customHeight="1" x14ac:dyDescent="0.25">
      <c r="H544" s="34"/>
    </row>
    <row r="545" spans="8:8" ht="14.25" customHeight="1" x14ac:dyDescent="0.25">
      <c r="H545" s="34"/>
    </row>
    <row r="546" spans="8:8" ht="14.25" customHeight="1" x14ac:dyDescent="0.25">
      <c r="H546" s="34"/>
    </row>
    <row r="547" spans="8:8" ht="14.25" customHeight="1" x14ac:dyDescent="0.25">
      <c r="H547" s="34"/>
    </row>
    <row r="548" spans="8:8" ht="14.25" customHeight="1" x14ac:dyDescent="0.25">
      <c r="H548" s="34"/>
    </row>
    <row r="549" spans="8:8" ht="14.25" customHeight="1" x14ac:dyDescent="0.25">
      <c r="H549" s="34"/>
    </row>
    <row r="550" spans="8:8" ht="14.25" customHeight="1" x14ac:dyDescent="0.25">
      <c r="H550" s="34"/>
    </row>
    <row r="551" spans="8:8" ht="14.25" customHeight="1" x14ac:dyDescent="0.25">
      <c r="H551" s="34"/>
    </row>
    <row r="552" spans="8:8" ht="14.25" customHeight="1" x14ac:dyDescent="0.25">
      <c r="H552" s="34"/>
    </row>
    <row r="553" spans="8:8" ht="14.25" customHeight="1" x14ac:dyDescent="0.25">
      <c r="H553" s="34"/>
    </row>
    <row r="554" spans="8:8" ht="14.25" customHeight="1" x14ac:dyDescent="0.25">
      <c r="H554" s="34"/>
    </row>
    <row r="555" spans="8:8" ht="14.25" customHeight="1" x14ac:dyDescent="0.25">
      <c r="H555" s="34"/>
    </row>
    <row r="556" spans="8:8" ht="14.25" customHeight="1" x14ac:dyDescent="0.25">
      <c r="H556" s="34"/>
    </row>
    <row r="557" spans="8:8" ht="14.25" customHeight="1" x14ac:dyDescent="0.25">
      <c r="H557" s="34"/>
    </row>
    <row r="558" spans="8:8" ht="14.25" customHeight="1" x14ac:dyDescent="0.25">
      <c r="H558" s="34"/>
    </row>
    <row r="559" spans="8:8" ht="14.25" customHeight="1" x14ac:dyDescent="0.25">
      <c r="H559" s="34"/>
    </row>
    <row r="560" spans="8:8" ht="14.25" customHeight="1" x14ac:dyDescent="0.25">
      <c r="H560" s="34"/>
    </row>
    <row r="561" spans="8:8" ht="14.25" customHeight="1" x14ac:dyDescent="0.25">
      <c r="H561" s="34"/>
    </row>
    <row r="562" spans="8:8" ht="14.25" customHeight="1" x14ac:dyDescent="0.25">
      <c r="H562" s="34"/>
    </row>
    <row r="563" spans="8:8" ht="14.25" customHeight="1" x14ac:dyDescent="0.25">
      <c r="H563" s="34"/>
    </row>
    <row r="564" spans="8:8" ht="14.25" customHeight="1" x14ac:dyDescent="0.25">
      <c r="H564" s="34"/>
    </row>
    <row r="565" spans="8:8" ht="14.25" customHeight="1" x14ac:dyDescent="0.25">
      <c r="H565" s="34"/>
    </row>
    <row r="566" spans="8:8" ht="14.25" customHeight="1" x14ac:dyDescent="0.25">
      <c r="H566" s="34"/>
    </row>
    <row r="567" spans="8:8" ht="14.25" customHeight="1" x14ac:dyDescent="0.25">
      <c r="H567" s="34"/>
    </row>
    <row r="568" spans="8:8" ht="14.25" customHeight="1" x14ac:dyDescent="0.25">
      <c r="H568" s="34"/>
    </row>
    <row r="569" spans="8:8" ht="14.25" customHeight="1" x14ac:dyDescent="0.25">
      <c r="H569" s="34"/>
    </row>
    <row r="570" spans="8:8" ht="14.25" customHeight="1" x14ac:dyDescent="0.25">
      <c r="H570" s="34"/>
    </row>
    <row r="571" spans="8:8" ht="14.25" customHeight="1" x14ac:dyDescent="0.25">
      <c r="H571" s="34"/>
    </row>
    <row r="572" spans="8:8" ht="14.25" customHeight="1" x14ac:dyDescent="0.25">
      <c r="H572" s="34"/>
    </row>
    <row r="573" spans="8:8" ht="14.25" customHeight="1" x14ac:dyDescent="0.25">
      <c r="H573" s="34"/>
    </row>
    <row r="574" spans="8:8" ht="14.25" customHeight="1" x14ac:dyDescent="0.25">
      <c r="H574" s="34"/>
    </row>
    <row r="575" spans="8:8" ht="14.25" customHeight="1" x14ac:dyDescent="0.25">
      <c r="H575" s="34"/>
    </row>
    <row r="576" spans="8:8" ht="14.25" customHeight="1" x14ac:dyDescent="0.25">
      <c r="H576" s="34"/>
    </row>
    <row r="577" spans="8:8" ht="14.25" customHeight="1" x14ac:dyDescent="0.25">
      <c r="H577" s="34"/>
    </row>
    <row r="578" spans="8:8" ht="14.25" customHeight="1" x14ac:dyDescent="0.25">
      <c r="H578" s="34"/>
    </row>
    <row r="579" spans="8:8" ht="14.25" customHeight="1" x14ac:dyDescent="0.25">
      <c r="H579" s="34"/>
    </row>
    <row r="580" spans="8:8" ht="14.25" customHeight="1" x14ac:dyDescent="0.25">
      <c r="H580" s="34"/>
    </row>
    <row r="581" spans="8:8" ht="14.25" customHeight="1" x14ac:dyDescent="0.25">
      <c r="H581" s="34"/>
    </row>
    <row r="582" spans="8:8" ht="14.25" customHeight="1" x14ac:dyDescent="0.25">
      <c r="H582" s="34"/>
    </row>
    <row r="583" spans="8:8" ht="14.25" customHeight="1" x14ac:dyDescent="0.25">
      <c r="H583" s="34"/>
    </row>
    <row r="584" spans="8:8" ht="14.25" customHeight="1" x14ac:dyDescent="0.25">
      <c r="H584" s="34"/>
    </row>
    <row r="585" spans="8:8" ht="14.25" customHeight="1" x14ac:dyDescent="0.25">
      <c r="H585" s="34"/>
    </row>
    <row r="586" spans="8:8" ht="14.25" customHeight="1" x14ac:dyDescent="0.25">
      <c r="H586" s="34"/>
    </row>
    <row r="587" spans="8:8" ht="14.25" customHeight="1" x14ac:dyDescent="0.25">
      <c r="H587" s="34"/>
    </row>
    <row r="588" spans="8:8" ht="14.25" customHeight="1" x14ac:dyDescent="0.25">
      <c r="H588" s="34"/>
    </row>
    <row r="589" spans="8:8" ht="14.25" customHeight="1" x14ac:dyDescent="0.25">
      <c r="H589" s="34"/>
    </row>
    <row r="590" spans="8:8" ht="14.25" customHeight="1" x14ac:dyDescent="0.25">
      <c r="H590" s="34"/>
    </row>
    <row r="591" spans="8:8" ht="14.25" customHeight="1" x14ac:dyDescent="0.25">
      <c r="H591" s="34"/>
    </row>
    <row r="592" spans="8:8" ht="14.25" customHeight="1" x14ac:dyDescent="0.25">
      <c r="H592" s="34"/>
    </row>
    <row r="593" spans="8:8" ht="14.25" customHeight="1" x14ac:dyDescent="0.25">
      <c r="H593" s="34"/>
    </row>
    <row r="594" spans="8:8" ht="14.25" customHeight="1" x14ac:dyDescent="0.25">
      <c r="H594" s="34"/>
    </row>
    <row r="595" spans="8:8" ht="14.25" customHeight="1" x14ac:dyDescent="0.25">
      <c r="H595" s="34"/>
    </row>
    <row r="596" spans="8:8" ht="14.25" customHeight="1" x14ac:dyDescent="0.25">
      <c r="H596" s="34"/>
    </row>
    <row r="597" spans="8:8" ht="14.25" customHeight="1" x14ac:dyDescent="0.25">
      <c r="H597" s="34"/>
    </row>
    <row r="598" spans="8:8" ht="14.25" customHeight="1" x14ac:dyDescent="0.25">
      <c r="H598" s="34"/>
    </row>
    <row r="599" spans="8:8" ht="14.25" customHeight="1" x14ac:dyDescent="0.25">
      <c r="H599" s="34"/>
    </row>
    <row r="600" spans="8:8" ht="14.25" customHeight="1" x14ac:dyDescent="0.25">
      <c r="H600" s="34"/>
    </row>
    <row r="601" spans="8:8" ht="14.25" customHeight="1" x14ac:dyDescent="0.25">
      <c r="H601" s="34"/>
    </row>
    <row r="602" spans="8:8" ht="14.25" customHeight="1" x14ac:dyDescent="0.25">
      <c r="H602" s="34"/>
    </row>
    <row r="603" spans="8:8" ht="14.25" customHeight="1" x14ac:dyDescent="0.25">
      <c r="H603" s="34"/>
    </row>
    <row r="604" spans="8:8" ht="14.25" customHeight="1" x14ac:dyDescent="0.25">
      <c r="H604" s="34"/>
    </row>
    <row r="605" spans="8:8" ht="14.25" customHeight="1" x14ac:dyDescent="0.25">
      <c r="H605" s="34"/>
    </row>
    <row r="606" spans="8:8" ht="14.25" customHeight="1" x14ac:dyDescent="0.25">
      <c r="H606" s="34"/>
    </row>
    <row r="607" spans="8:8" ht="14.25" customHeight="1" x14ac:dyDescent="0.25">
      <c r="H607" s="34"/>
    </row>
    <row r="608" spans="8:8" ht="14.25" customHeight="1" x14ac:dyDescent="0.25">
      <c r="H608" s="34"/>
    </row>
    <row r="609" spans="8:8" ht="14.25" customHeight="1" x14ac:dyDescent="0.25">
      <c r="H609" s="34"/>
    </row>
    <row r="610" spans="8:8" ht="14.25" customHeight="1" x14ac:dyDescent="0.25">
      <c r="H610" s="34"/>
    </row>
    <row r="611" spans="8:8" ht="14.25" customHeight="1" x14ac:dyDescent="0.25">
      <c r="H611" s="34"/>
    </row>
    <row r="612" spans="8:8" ht="14.25" customHeight="1" x14ac:dyDescent="0.25">
      <c r="H612" s="34"/>
    </row>
    <row r="613" spans="8:8" ht="14.25" customHeight="1" x14ac:dyDescent="0.25">
      <c r="H613" s="34"/>
    </row>
    <row r="614" spans="8:8" ht="14.25" customHeight="1" x14ac:dyDescent="0.25">
      <c r="H614" s="34"/>
    </row>
    <row r="615" spans="8:8" ht="14.25" customHeight="1" x14ac:dyDescent="0.25">
      <c r="H615" s="34"/>
    </row>
    <row r="616" spans="8:8" ht="14.25" customHeight="1" x14ac:dyDescent="0.25">
      <c r="H616" s="34"/>
    </row>
    <row r="617" spans="8:8" ht="14.25" customHeight="1" x14ac:dyDescent="0.25">
      <c r="H617" s="34"/>
    </row>
    <row r="618" spans="8:8" ht="14.25" customHeight="1" x14ac:dyDescent="0.25">
      <c r="H618" s="34"/>
    </row>
    <row r="619" spans="8:8" ht="14.25" customHeight="1" x14ac:dyDescent="0.25">
      <c r="H619" s="34"/>
    </row>
    <row r="620" spans="8:8" ht="14.25" customHeight="1" x14ac:dyDescent="0.25">
      <c r="H620" s="34"/>
    </row>
    <row r="621" spans="8:8" ht="14.25" customHeight="1" x14ac:dyDescent="0.25">
      <c r="H621" s="34"/>
    </row>
    <row r="622" spans="8:8" ht="14.25" customHeight="1" x14ac:dyDescent="0.25">
      <c r="H622" s="34"/>
    </row>
    <row r="623" spans="8:8" ht="14.25" customHeight="1" x14ac:dyDescent="0.25">
      <c r="H623" s="34"/>
    </row>
    <row r="624" spans="8:8" ht="14.25" customHeight="1" x14ac:dyDescent="0.25">
      <c r="H624" s="34"/>
    </row>
    <row r="625" spans="8:8" ht="14.25" customHeight="1" x14ac:dyDescent="0.25">
      <c r="H625" s="34"/>
    </row>
    <row r="626" spans="8:8" ht="14.25" customHeight="1" x14ac:dyDescent="0.25">
      <c r="H626" s="34"/>
    </row>
    <row r="627" spans="8:8" ht="14.25" customHeight="1" x14ac:dyDescent="0.25">
      <c r="H627" s="34"/>
    </row>
    <row r="628" spans="8:8" ht="14.25" customHeight="1" x14ac:dyDescent="0.25">
      <c r="H628" s="34"/>
    </row>
    <row r="629" spans="8:8" ht="14.25" customHeight="1" x14ac:dyDescent="0.25">
      <c r="H629" s="34"/>
    </row>
    <row r="630" spans="8:8" ht="14.25" customHeight="1" x14ac:dyDescent="0.25">
      <c r="H630" s="34"/>
    </row>
    <row r="631" spans="8:8" ht="14.25" customHeight="1" x14ac:dyDescent="0.25">
      <c r="H631" s="34"/>
    </row>
    <row r="632" spans="8:8" ht="14.25" customHeight="1" x14ac:dyDescent="0.25">
      <c r="H632" s="34"/>
    </row>
    <row r="633" spans="8:8" ht="14.25" customHeight="1" x14ac:dyDescent="0.25">
      <c r="H633" s="34"/>
    </row>
    <row r="634" spans="8:8" ht="14.25" customHeight="1" x14ac:dyDescent="0.25">
      <c r="H634" s="34"/>
    </row>
    <row r="635" spans="8:8" ht="14.25" customHeight="1" x14ac:dyDescent="0.25">
      <c r="H635" s="34"/>
    </row>
    <row r="636" spans="8:8" ht="14.25" customHeight="1" x14ac:dyDescent="0.25">
      <c r="H636" s="34"/>
    </row>
    <row r="637" spans="8:8" ht="14.25" customHeight="1" x14ac:dyDescent="0.25">
      <c r="H637" s="34"/>
    </row>
    <row r="638" spans="8:8" ht="14.25" customHeight="1" x14ac:dyDescent="0.25">
      <c r="H638" s="34"/>
    </row>
    <row r="639" spans="8:8" ht="14.25" customHeight="1" x14ac:dyDescent="0.25">
      <c r="H639" s="34"/>
    </row>
    <row r="640" spans="8:8" ht="14.25" customHeight="1" x14ac:dyDescent="0.25">
      <c r="H640" s="34"/>
    </row>
    <row r="641" spans="8:8" ht="14.25" customHeight="1" x14ac:dyDescent="0.25">
      <c r="H641" s="34"/>
    </row>
    <row r="642" spans="8:8" ht="14.25" customHeight="1" x14ac:dyDescent="0.25">
      <c r="H642" s="34"/>
    </row>
    <row r="643" spans="8:8" ht="14.25" customHeight="1" x14ac:dyDescent="0.25">
      <c r="H643" s="34"/>
    </row>
    <row r="644" spans="8:8" ht="14.25" customHeight="1" x14ac:dyDescent="0.25">
      <c r="H644" s="34"/>
    </row>
    <row r="645" spans="8:8" ht="14.25" customHeight="1" x14ac:dyDescent="0.25">
      <c r="H645" s="34"/>
    </row>
    <row r="646" spans="8:8" ht="14.25" customHeight="1" x14ac:dyDescent="0.25">
      <c r="H646" s="34"/>
    </row>
    <row r="647" spans="8:8" ht="14.25" customHeight="1" x14ac:dyDescent="0.25">
      <c r="H647" s="34"/>
    </row>
    <row r="648" spans="8:8" ht="14.25" customHeight="1" x14ac:dyDescent="0.25">
      <c r="H648" s="34"/>
    </row>
    <row r="649" spans="8:8" ht="14.25" customHeight="1" x14ac:dyDescent="0.25">
      <c r="H649" s="34"/>
    </row>
    <row r="650" spans="8:8" ht="14.25" customHeight="1" x14ac:dyDescent="0.25">
      <c r="H650" s="34"/>
    </row>
    <row r="651" spans="8:8" ht="14.25" customHeight="1" x14ac:dyDescent="0.25">
      <c r="H651" s="34"/>
    </row>
    <row r="652" spans="8:8" ht="14.25" customHeight="1" x14ac:dyDescent="0.25">
      <c r="H652" s="34"/>
    </row>
    <row r="653" spans="8:8" ht="14.25" customHeight="1" x14ac:dyDescent="0.25">
      <c r="H653" s="34"/>
    </row>
    <row r="654" spans="8:8" ht="14.25" customHeight="1" x14ac:dyDescent="0.25">
      <c r="H654" s="34"/>
    </row>
    <row r="655" spans="8:8" ht="14.25" customHeight="1" x14ac:dyDescent="0.25">
      <c r="H655" s="34"/>
    </row>
    <row r="656" spans="8:8" ht="14.25" customHeight="1" x14ac:dyDescent="0.25">
      <c r="H656" s="34"/>
    </row>
    <row r="657" spans="8:8" ht="14.25" customHeight="1" x14ac:dyDescent="0.25">
      <c r="H657" s="34"/>
    </row>
    <row r="658" spans="8:8" ht="14.25" customHeight="1" x14ac:dyDescent="0.25">
      <c r="H658" s="34"/>
    </row>
    <row r="659" spans="8:8" ht="14.25" customHeight="1" x14ac:dyDescent="0.25">
      <c r="H659" s="34"/>
    </row>
    <row r="660" spans="8:8" ht="14.25" customHeight="1" x14ac:dyDescent="0.25">
      <c r="H660" s="34"/>
    </row>
    <row r="661" spans="8:8" ht="14.25" customHeight="1" x14ac:dyDescent="0.25">
      <c r="H661" s="34"/>
    </row>
    <row r="662" spans="8:8" ht="14.25" customHeight="1" x14ac:dyDescent="0.25">
      <c r="H662" s="34"/>
    </row>
    <row r="663" spans="8:8" ht="14.25" customHeight="1" x14ac:dyDescent="0.25">
      <c r="H663" s="34"/>
    </row>
    <row r="664" spans="8:8" ht="14.25" customHeight="1" x14ac:dyDescent="0.25">
      <c r="H664" s="34"/>
    </row>
    <row r="665" spans="8:8" ht="14.25" customHeight="1" x14ac:dyDescent="0.25">
      <c r="H665" s="34"/>
    </row>
    <row r="666" spans="8:8" ht="14.25" customHeight="1" x14ac:dyDescent="0.25">
      <c r="H666" s="34"/>
    </row>
    <row r="667" spans="8:8" ht="14.25" customHeight="1" x14ac:dyDescent="0.25">
      <c r="H667" s="34"/>
    </row>
    <row r="668" spans="8:8" ht="14.25" customHeight="1" x14ac:dyDescent="0.25">
      <c r="H668" s="34"/>
    </row>
    <row r="669" spans="8:8" ht="14.25" customHeight="1" x14ac:dyDescent="0.25">
      <c r="H669" s="34"/>
    </row>
    <row r="670" spans="8:8" ht="14.25" customHeight="1" x14ac:dyDescent="0.25">
      <c r="H670" s="34"/>
    </row>
    <row r="671" spans="8:8" ht="14.25" customHeight="1" x14ac:dyDescent="0.25">
      <c r="H671" s="34"/>
    </row>
    <row r="672" spans="8:8" ht="14.25" customHeight="1" x14ac:dyDescent="0.25">
      <c r="H672" s="34"/>
    </row>
    <row r="673" spans="8:8" ht="14.25" customHeight="1" x14ac:dyDescent="0.25">
      <c r="H673" s="34"/>
    </row>
    <row r="674" spans="8:8" ht="14.25" customHeight="1" x14ac:dyDescent="0.25">
      <c r="H674" s="34"/>
    </row>
    <row r="675" spans="8:8" ht="14.25" customHeight="1" x14ac:dyDescent="0.25">
      <c r="H675" s="34"/>
    </row>
    <row r="676" spans="8:8" ht="14.25" customHeight="1" x14ac:dyDescent="0.25">
      <c r="H676" s="34"/>
    </row>
    <row r="677" spans="8:8" ht="14.25" customHeight="1" x14ac:dyDescent="0.25">
      <c r="H677" s="34"/>
    </row>
    <row r="678" spans="8:8" ht="14.25" customHeight="1" x14ac:dyDescent="0.25">
      <c r="H678" s="34"/>
    </row>
    <row r="679" spans="8:8" ht="14.25" customHeight="1" x14ac:dyDescent="0.25">
      <c r="H679" s="34"/>
    </row>
    <row r="680" spans="8:8" ht="14.25" customHeight="1" x14ac:dyDescent="0.25">
      <c r="H680" s="34"/>
    </row>
    <row r="681" spans="8:8" ht="14.25" customHeight="1" x14ac:dyDescent="0.25">
      <c r="H681" s="34"/>
    </row>
    <row r="682" spans="8:8" ht="14.25" customHeight="1" x14ac:dyDescent="0.25">
      <c r="H682" s="34"/>
    </row>
    <row r="683" spans="8:8" ht="14.25" customHeight="1" x14ac:dyDescent="0.25">
      <c r="H683" s="34"/>
    </row>
    <row r="684" spans="8:8" ht="14.25" customHeight="1" x14ac:dyDescent="0.25">
      <c r="H684" s="34"/>
    </row>
    <row r="685" spans="8:8" ht="14.25" customHeight="1" x14ac:dyDescent="0.25">
      <c r="H685" s="34"/>
    </row>
    <row r="686" spans="8:8" ht="14.25" customHeight="1" x14ac:dyDescent="0.25">
      <c r="H686" s="34"/>
    </row>
    <row r="687" spans="8:8" ht="14.25" customHeight="1" x14ac:dyDescent="0.25">
      <c r="H687" s="34"/>
    </row>
    <row r="688" spans="8:8" ht="14.25" customHeight="1" x14ac:dyDescent="0.25">
      <c r="H688" s="34"/>
    </row>
    <row r="689" spans="8:8" ht="14.25" customHeight="1" x14ac:dyDescent="0.25">
      <c r="H689" s="34"/>
    </row>
    <row r="690" spans="8:8" ht="14.25" customHeight="1" x14ac:dyDescent="0.25">
      <c r="H690" s="34"/>
    </row>
    <row r="691" spans="8:8" ht="14.25" customHeight="1" x14ac:dyDescent="0.25">
      <c r="H691" s="34"/>
    </row>
    <row r="692" spans="8:8" ht="14.25" customHeight="1" x14ac:dyDescent="0.25">
      <c r="H692" s="34"/>
    </row>
    <row r="693" spans="8:8" ht="14.25" customHeight="1" x14ac:dyDescent="0.25">
      <c r="H693" s="34"/>
    </row>
    <row r="694" spans="8:8" ht="14.25" customHeight="1" x14ac:dyDescent="0.25">
      <c r="H694" s="34"/>
    </row>
    <row r="695" spans="8:8" ht="14.25" customHeight="1" x14ac:dyDescent="0.25">
      <c r="H695" s="34"/>
    </row>
    <row r="696" spans="8:8" ht="14.25" customHeight="1" x14ac:dyDescent="0.25">
      <c r="H696" s="34"/>
    </row>
    <row r="697" spans="8:8" ht="14.25" customHeight="1" x14ac:dyDescent="0.25">
      <c r="H697" s="34"/>
    </row>
    <row r="698" spans="8:8" ht="14.25" customHeight="1" x14ac:dyDescent="0.25">
      <c r="H698" s="34"/>
    </row>
    <row r="699" spans="8:8" ht="14.25" customHeight="1" x14ac:dyDescent="0.25">
      <c r="H699" s="34"/>
    </row>
    <row r="700" spans="8:8" ht="14.25" customHeight="1" x14ac:dyDescent="0.25">
      <c r="H700" s="34"/>
    </row>
    <row r="701" spans="8:8" ht="14.25" customHeight="1" x14ac:dyDescent="0.25">
      <c r="H701" s="34"/>
    </row>
    <row r="702" spans="8:8" ht="14.25" customHeight="1" x14ac:dyDescent="0.25">
      <c r="H702" s="34"/>
    </row>
    <row r="703" spans="8:8" ht="14.25" customHeight="1" x14ac:dyDescent="0.25">
      <c r="H703" s="34"/>
    </row>
    <row r="704" spans="8:8" ht="14.25" customHeight="1" x14ac:dyDescent="0.25">
      <c r="H704" s="34"/>
    </row>
    <row r="705" spans="8:8" ht="14.25" customHeight="1" x14ac:dyDescent="0.25">
      <c r="H705" s="34"/>
    </row>
    <row r="706" spans="8:8" ht="14.25" customHeight="1" x14ac:dyDescent="0.25">
      <c r="H706" s="34"/>
    </row>
    <row r="707" spans="8:8" ht="14.25" customHeight="1" x14ac:dyDescent="0.25">
      <c r="H707" s="34"/>
    </row>
    <row r="708" spans="8:8" ht="14.25" customHeight="1" x14ac:dyDescent="0.25">
      <c r="H708" s="34"/>
    </row>
    <row r="709" spans="8:8" ht="14.25" customHeight="1" x14ac:dyDescent="0.25">
      <c r="H709" s="34"/>
    </row>
    <row r="710" spans="8:8" ht="14.25" customHeight="1" x14ac:dyDescent="0.25">
      <c r="H710" s="34"/>
    </row>
    <row r="711" spans="8:8" ht="14.25" customHeight="1" x14ac:dyDescent="0.25">
      <c r="H711" s="34"/>
    </row>
    <row r="712" spans="8:8" ht="14.25" customHeight="1" x14ac:dyDescent="0.25">
      <c r="H712" s="34"/>
    </row>
    <row r="713" spans="8:8" ht="14.25" customHeight="1" x14ac:dyDescent="0.25">
      <c r="H713" s="34"/>
    </row>
    <row r="714" spans="8:8" ht="14.25" customHeight="1" x14ac:dyDescent="0.25">
      <c r="H714" s="34"/>
    </row>
    <row r="715" spans="8:8" ht="14.25" customHeight="1" x14ac:dyDescent="0.25">
      <c r="H715" s="34"/>
    </row>
    <row r="716" spans="8:8" ht="14.25" customHeight="1" x14ac:dyDescent="0.25">
      <c r="H716" s="34"/>
    </row>
    <row r="717" spans="8:8" ht="14.25" customHeight="1" x14ac:dyDescent="0.25">
      <c r="H717" s="34"/>
    </row>
    <row r="718" spans="8:8" ht="14.25" customHeight="1" x14ac:dyDescent="0.25">
      <c r="H718" s="34"/>
    </row>
    <row r="719" spans="8:8" ht="14.25" customHeight="1" x14ac:dyDescent="0.25">
      <c r="H719" s="34"/>
    </row>
    <row r="720" spans="8:8" ht="14.25" customHeight="1" x14ac:dyDescent="0.25">
      <c r="H720" s="34"/>
    </row>
    <row r="721" spans="8:8" ht="14.25" customHeight="1" x14ac:dyDescent="0.25">
      <c r="H721" s="34"/>
    </row>
    <row r="722" spans="8:8" ht="14.25" customHeight="1" x14ac:dyDescent="0.25">
      <c r="H722" s="34"/>
    </row>
    <row r="723" spans="8:8" ht="14.25" customHeight="1" x14ac:dyDescent="0.25">
      <c r="H723" s="34"/>
    </row>
    <row r="724" spans="8:8" ht="14.25" customHeight="1" x14ac:dyDescent="0.25">
      <c r="H724" s="34"/>
    </row>
    <row r="725" spans="8:8" ht="14.25" customHeight="1" x14ac:dyDescent="0.25">
      <c r="H725" s="34"/>
    </row>
    <row r="726" spans="8:8" ht="14.25" customHeight="1" x14ac:dyDescent="0.25">
      <c r="H726" s="34"/>
    </row>
    <row r="727" spans="8:8" ht="14.25" customHeight="1" x14ac:dyDescent="0.25">
      <c r="H727" s="34"/>
    </row>
    <row r="728" spans="8:8" ht="14.25" customHeight="1" x14ac:dyDescent="0.25">
      <c r="H728" s="34"/>
    </row>
    <row r="729" spans="8:8" ht="14.25" customHeight="1" x14ac:dyDescent="0.25">
      <c r="H729" s="34"/>
    </row>
    <row r="730" spans="8:8" ht="14.25" customHeight="1" x14ac:dyDescent="0.25">
      <c r="H730" s="34"/>
    </row>
    <row r="731" spans="8:8" ht="14.25" customHeight="1" x14ac:dyDescent="0.25">
      <c r="H731" s="34"/>
    </row>
    <row r="732" spans="8:8" ht="14.25" customHeight="1" x14ac:dyDescent="0.25">
      <c r="H732" s="34"/>
    </row>
    <row r="733" spans="8:8" ht="14.25" customHeight="1" x14ac:dyDescent="0.25">
      <c r="H733" s="34"/>
    </row>
    <row r="734" spans="8:8" ht="14.25" customHeight="1" x14ac:dyDescent="0.25">
      <c r="H734" s="34"/>
    </row>
    <row r="735" spans="8:8" ht="14.25" customHeight="1" x14ac:dyDescent="0.25">
      <c r="H735" s="34"/>
    </row>
    <row r="736" spans="8:8" ht="14.25" customHeight="1" x14ac:dyDescent="0.25">
      <c r="H736" s="34"/>
    </row>
    <row r="737" spans="8:8" ht="14.25" customHeight="1" x14ac:dyDescent="0.25">
      <c r="H737" s="34"/>
    </row>
    <row r="738" spans="8:8" ht="14.25" customHeight="1" x14ac:dyDescent="0.25">
      <c r="H738" s="34"/>
    </row>
    <row r="739" spans="8:8" ht="14.25" customHeight="1" x14ac:dyDescent="0.25">
      <c r="H739" s="34"/>
    </row>
    <row r="740" spans="8:8" ht="14.25" customHeight="1" x14ac:dyDescent="0.25">
      <c r="H740" s="34"/>
    </row>
    <row r="741" spans="8:8" ht="14.25" customHeight="1" x14ac:dyDescent="0.25">
      <c r="H741" s="34"/>
    </row>
    <row r="742" spans="8:8" ht="14.25" customHeight="1" x14ac:dyDescent="0.25">
      <c r="H742" s="34"/>
    </row>
    <row r="743" spans="8:8" ht="14.25" customHeight="1" x14ac:dyDescent="0.25">
      <c r="H743" s="34"/>
    </row>
    <row r="744" spans="8:8" ht="14.25" customHeight="1" x14ac:dyDescent="0.25">
      <c r="H744" s="34"/>
    </row>
    <row r="745" spans="8:8" ht="14.25" customHeight="1" x14ac:dyDescent="0.25">
      <c r="H745" s="34"/>
    </row>
    <row r="746" spans="8:8" ht="14.25" customHeight="1" x14ac:dyDescent="0.25">
      <c r="H746" s="34"/>
    </row>
    <row r="747" spans="8:8" ht="14.25" customHeight="1" x14ac:dyDescent="0.25">
      <c r="H747" s="34"/>
    </row>
    <row r="748" spans="8:8" ht="14.25" customHeight="1" x14ac:dyDescent="0.25">
      <c r="H748" s="34"/>
    </row>
    <row r="749" spans="8:8" ht="14.25" customHeight="1" x14ac:dyDescent="0.25">
      <c r="H749" s="34"/>
    </row>
    <row r="750" spans="8:8" ht="14.25" customHeight="1" x14ac:dyDescent="0.25">
      <c r="H750" s="34"/>
    </row>
    <row r="751" spans="8:8" ht="14.25" customHeight="1" x14ac:dyDescent="0.25">
      <c r="H751" s="34"/>
    </row>
    <row r="752" spans="8:8" ht="14.25" customHeight="1" x14ac:dyDescent="0.25">
      <c r="H752" s="34"/>
    </row>
    <row r="753" spans="8:8" ht="14.25" customHeight="1" x14ac:dyDescent="0.25">
      <c r="H753" s="34"/>
    </row>
    <row r="754" spans="8:8" ht="14.25" customHeight="1" x14ac:dyDescent="0.25">
      <c r="H754" s="34"/>
    </row>
    <row r="755" spans="8:8" ht="14.25" customHeight="1" x14ac:dyDescent="0.25">
      <c r="H755" s="34"/>
    </row>
    <row r="756" spans="8:8" ht="14.25" customHeight="1" x14ac:dyDescent="0.25">
      <c r="H756" s="34"/>
    </row>
    <row r="757" spans="8:8" ht="14.25" customHeight="1" x14ac:dyDescent="0.25">
      <c r="H757" s="34"/>
    </row>
    <row r="758" spans="8:8" ht="14.25" customHeight="1" x14ac:dyDescent="0.25">
      <c r="H758" s="34"/>
    </row>
    <row r="759" spans="8:8" ht="14.25" customHeight="1" x14ac:dyDescent="0.25">
      <c r="H759" s="34"/>
    </row>
    <row r="760" spans="8:8" ht="14.25" customHeight="1" x14ac:dyDescent="0.25">
      <c r="H760" s="34"/>
    </row>
    <row r="761" spans="8:8" ht="14.25" customHeight="1" x14ac:dyDescent="0.25">
      <c r="H761" s="34"/>
    </row>
    <row r="762" spans="8:8" ht="14.25" customHeight="1" x14ac:dyDescent="0.25">
      <c r="H762" s="34"/>
    </row>
    <row r="763" spans="8:8" ht="14.25" customHeight="1" x14ac:dyDescent="0.25">
      <c r="H763" s="34"/>
    </row>
    <row r="764" spans="8:8" ht="14.25" customHeight="1" x14ac:dyDescent="0.25">
      <c r="H764" s="34"/>
    </row>
    <row r="765" spans="8:8" ht="14.25" customHeight="1" x14ac:dyDescent="0.25">
      <c r="H765" s="34"/>
    </row>
    <row r="766" spans="8:8" ht="14.25" customHeight="1" x14ac:dyDescent="0.25">
      <c r="H766" s="34"/>
    </row>
    <row r="767" spans="8:8" ht="14.25" customHeight="1" x14ac:dyDescent="0.25">
      <c r="H767" s="34"/>
    </row>
    <row r="768" spans="8:8" ht="14.25" customHeight="1" x14ac:dyDescent="0.25">
      <c r="H768" s="34"/>
    </row>
    <row r="769" spans="8:8" ht="14.25" customHeight="1" x14ac:dyDescent="0.25">
      <c r="H769" s="34"/>
    </row>
    <row r="770" spans="8:8" ht="14.25" customHeight="1" x14ac:dyDescent="0.25">
      <c r="H770" s="34"/>
    </row>
    <row r="771" spans="8:8" ht="14.25" customHeight="1" x14ac:dyDescent="0.25">
      <c r="H771" s="34"/>
    </row>
    <row r="772" spans="8:8" ht="14.25" customHeight="1" x14ac:dyDescent="0.25">
      <c r="H772" s="34"/>
    </row>
    <row r="773" spans="8:8" ht="14.25" customHeight="1" x14ac:dyDescent="0.25">
      <c r="H773" s="34"/>
    </row>
    <row r="774" spans="8:8" ht="14.25" customHeight="1" x14ac:dyDescent="0.25">
      <c r="H774" s="34"/>
    </row>
    <row r="775" spans="8:8" ht="14.25" customHeight="1" x14ac:dyDescent="0.25">
      <c r="H775" s="34"/>
    </row>
    <row r="776" spans="8:8" ht="14.25" customHeight="1" x14ac:dyDescent="0.25">
      <c r="H776" s="34"/>
    </row>
    <row r="777" spans="8:8" ht="14.25" customHeight="1" x14ac:dyDescent="0.25">
      <c r="H777" s="34"/>
    </row>
    <row r="778" spans="8:8" ht="14.25" customHeight="1" x14ac:dyDescent="0.25">
      <c r="H778" s="34"/>
    </row>
    <row r="779" spans="8:8" ht="14.25" customHeight="1" x14ac:dyDescent="0.25">
      <c r="H779" s="34"/>
    </row>
    <row r="780" spans="8:8" ht="14.25" customHeight="1" x14ac:dyDescent="0.25">
      <c r="H780" s="34"/>
    </row>
    <row r="781" spans="8:8" ht="14.25" customHeight="1" x14ac:dyDescent="0.25">
      <c r="H781" s="34"/>
    </row>
    <row r="782" spans="8:8" ht="14.25" customHeight="1" x14ac:dyDescent="0.25">
      <c r="H782" s="34"/>
    </row>
    <row r="783" spans="8:8" ht="14.25" customHeight="1" x14ac:dyDescent="0.25">
      <c r="H783" s="34"/>
    </row>
    <row r="784" spans="8:8" ht="14.25" customHeight="1" x14ac:dyDescent="0.25">
      <c r="H784" s="34"/>
    </row>
    <row r="785" spans="8:8" ht="14.25" customHeight="1" x14ac:dyDescent="0.25">
      <c r="H785" s="34"/>
    </row>
    <row r="786" spans="8:8" ht="14.25" customHeight="1" x14ac:dyDescent="0.25">
      <c r="H786" s="34"/>
    </row>
    <row r="787" spans="8:8" ht="14.25" customHeight="1" x14ac:dyDescent="0.25">
      <c r="H787" s="34"/>
    </row>
    <row r="788" spans="8:8" ht="14.25" customHeight="1" x14ac:dyDescent="0.25">
      <c r="H788" s="34"/>
    </row>
    <row r="789" spans="8:8" ht="14.25" customHeight="1" x14ac:dyDescent="0.25">
      <c r="H789" s="34"/>
    </row>
    <row r="790" spans="8:8" ht="14.25" customHeight="1" x14ac:dyDescent="0.25">
      <c r="H790" s="34"/>
    </row>
    <row r="791" spans="8:8" ht="14.25" customHeight="1" x14ac:dyDescent="0.25">
      <c r="H791" s="34"/>
    </row>
    <row r="792" spans="8:8" ht="14.25" customHeight="1" x14ac:dyDescent="0.25">
      <c r="H792" s="34"/>
    </row>
    <row r="793" spans="8:8" ht="14.25" customHeight="1" x14ac:dyDescent="0.25">
      <c r="H793" s="34"/>
    </row>
    <row r="794" spans="8:8" ht="14.25" customHeight="1" x14ac:dyDescent="0.25">
      <c r="H794" s="34"/>
    </row>
    <row r="795" spans="8:8" ht="14.25" customHeight="1" x14ac:dyDescent="0.25">
      <c r="H795" s="34"/>
    </row>
    <row r="796" spans="8:8" ht="14.25" customHeight="1" x14ac:dyDescent="0.25">
      <c r="H796" s="34"/>
    </row>
    <row r="797" spans="8:8" ht="14.25" customHeight="1" x14ac:dyDescent="0.25">
      <c r="H797" s="34"/>
    </row>
    <row r="798" spans="8:8" ht="14.25" customHeight="1" x14ac:dyDescent="0.25">
      <c r="H798" s="34"/>
    </row>
    <row r="799" spans="8:8" ht="14.25" customHeight="1" x14ac:dyDescent="0.25">
      <c r="H799" s="34"/>
    </row>
    <row r="800" spans="8:8" ht="14.25" customHeight="1" x14ac:dyDescent="0.25">
      <c r="H800" s="34"/>
    </row>
    <row r="801" spans="8:8" ht="14.25" customHeight="1" x14ac:dyDescent="0.25">
      <c r="H801" s="34"/>
    </row>
    <row r="802" spans="8:8" ht="14.25" customHeight="1" x14ac:dyDescent="0.25">
      <c r="H802" s="34"/>
    </row>
    <row r="803" spans="8:8" ht="14.25" customHeight="1" x14ac:dyDescent="0.25">
      <c r="H803" s="34"/>
    </row>
    <row r="804" spans="8:8" ht="14.25" customHeight="1" x14ac:dyDescent="0.25">
      <c r="H804" s="34"/>
    </row>
    <row r="805" spans="8:8" ht="14.25" customHeight="1" x14ac:dyDescent="0.25">
      <c r="H805" s="34"/>
    </row>
    <row r="806" spans="8:8" ht="14.25" customHeight="1" x14ac:dyDescent="0.25">
      <c r="H806" s="34"/>
    </row>
    <row r="807" spans="8:8" ht="14.25" customHeight="1" x14ac:dyDescent="0.25">
      <c r="H807" s="34"/>
    </row>
    <row r="808" spans="8:8" ht="14.25" customHeight="1" x14ac:dyDescent="0.25">
      <c r="H808" s="34"/>
    </row>
    <row r="809" spans="8:8" ht="14.25" customHeight="1" x14ac:dyDescent="0.25">
      <c r="H809" s="34"/>
    </row>
    <row r="810" spans="8:8" ht="14.25" customHeight="1" x14ac:dyDescent="0.25">
      <c r="H810" s="34"/>
    </row>
    <row r="811" spans="8:8" ht="14.25" customHeight="1" x14ac:dyDescent="0.25">
      <c r="H811" s="34"/>
    </row>
    <row r="812" spans="8:8" ht="14.25" customHeight="1" x14ac:dyDescent="0.25">
      <c r="H812" s="34"/>
    </row>
    <row r="813" spans="8:8" ht="14.25" customHeight="1" x14ac:dyDescent="0.25">
      <c r="H813" s="34"/>
    </row>
    <row r="814" spans="8:8" ht="14.25" customHeight="1" x14ac:dyDescent="0.25">
      <c r="H814" s="34"/>
    </row>
    <row r="815" spans="8:8" ht="14.25" customHeight="1" x14ac:dyDescent="0.25">
      <c r="H815" s="34"/>
    </row>
    <row r="816" spans="8:8" ht="14.25" customHeight="1" x14ac:dyDescent="0.25">
      <c r="H816" s="34"/>
    </row>
    <row r="817" spans="8:8" ht="14.25" customHeight="1" x14ac:dyDescent="0.25">
      <c r="H817" s="34"/>
    </row>
    <row r="818" spans="8:8" ht="14.25" customHeight="1" x14ac:dyDescent="0.25">
      <c r="H818" s="34"/>
    </row>
    <row r="819" spans="8:8" ht="14.25" customHeight="1" x14ac:dyDescent="0.25">
      <c r="H819" s="34"/>
    </row>
    <row r="820" spans="8:8" ht="14.25" customHeight="1" x14ac:dyDescent="0.25">
      <c r="H820" s="34"/>
    </row>
    <row r="821" spans="8:8" ht="14.25" customHeight="1" x14ac:dyDescent="0.25">
      <c r="H821" s="34"/>
    </row>
    <row r="822" spans="8:8" ht="14.25" customHeight="1" x14ac:dyDescent="0.25">
      <c r="H822" s="34"/>
    </row>
    <row r="823" spans="8:8" ht="14.25" customHeight="1" x14ac:dyDescent="0.25">
      <c r="H823" s="34"/>
    </row>
    <row r="824" spans="8:8" ht="14.25" customHeight="1" x14ac:dyDescent="0.25">
      <c r="H824" s="34"/>
    </row>
    <row r="825" spans="8:8" ht="14.25" customHeight="1" x14ac:dyDescent="0.25">
      <c r="H825" s="34"/>
    </row>
    <row r="826" spans="8:8" ht="14.25" customHeight="1" x14ac:dyDescent="0.25">
      <c r="H826" s="34"/>
    </row>
    <row r="827" spans="8:8" ht="14.25" customHeight="1" x14ac:dyDescent="0.25">
      <c r="H827" s="34"/>
    </row>
    <row r="828" spans="8:8" ht="14.25" customHeight="1" x14ac:dyDescent="0.25">
      <c r="H828" s="34"/>
    </row>
    <row r="829" spans="8:8" ht="14.25" customHeight="1" x14ac:dyDescent="0.25">
      <c r="H829" s="34"/>
    </row>
    <row r="830" spans="8:8" ht="14.25" customHeight="1" x14ac:dyDescent="0.25">
      <c r="H830" s="34"/>
    </row>
    <row r="831" spans="8:8" ht="14.25" customHeight="1" x14ac:dyDescent="0.25">
      <c r="H831" s="34"/>
    </row>
    <row r="832" spans="8:8" ht="14.25" customHeight="1" x14ac:dyDescent="0.25">
      <c r="H832" s="34"/>
    </row>
    <row r="833" spans="8:8" ht="14.25" customHeight="1" x14ac:dyDescent="0.25">
      <c r="H833" s="34"/>
    </row>
    <row r="834" spans="8:8" ht="14.25" customHeight="1" x14ac:dyDescent="0.25">
      <c r="H834" s="34"/>
    </row>
    <row r="835" spans="8:8" ht="14.25" customHeight="1" x14ac:dyDescent="0.25">
      <c r="H835" s="34"/>
    </row>
    <row r="836" spans="8:8" ht="14.25" customHeight="1" x14ac:dyDescent="0.25">
      <c r="H836" s="34"/>
    </row>
    <row r="837" spans="8:8" ht="14.25" customHeight="1" x14ac:dyDescent="0.25">
      <c r="H837" s="34"/>
    </row>
    <row r="838" spans="8:8" ht="14.25" customHeight="1" x14ac:dyDescent="0.25">
      <c r="H838" s="34"/>
    </row>
    <row r="839" spans="8:8" ht="14.25" customHeight="1" x14ac:dyDescent="0.25">
      <c r="H839" s="34"/>
    </row>
    <row r="840" spans="8:8" ht="14.25" customHeight="1" x14ac:dyDescent="0.25">
      <c r="H840" s="34"/>
    </row>
    <row r="841" spans="8:8" ht="14.25" customHeight="1" x14ac:dyDescent="0.25">
      <c r="H841" s="34"/>
    </row>
    <row r="842" spans="8:8" ht="14.25" customHeight="1" x14ac:dyDescent="0.25">
      <c r="H842" s="34"/>
    </row>
    <row r="843" spans="8:8" ht="14.25" customHeight="1" x14ac:dyDescent="0.25">
      <c r="H843" s="34"/>
    </row>
    <row r="844" spans="8:8" ht="14.25" customHeight="1" x14ac:dyDescent="0.25">
      <c r="H844" s="34"/>
    </row>
    <row r="845" spans="8:8" ht="14.25" customHeight="1" x14ac:dyDescent="0.25">
      <c r="H845" s="34"/>
    </row>
    <row r="846" spans="8:8" ht="14.25" customHeight="1" x14ac:dyDescent="0.25">
      <c r="H846" s="34"/>
    </row>
    <row r="847" spans="8:8" ht="14.25" customHeight="1" x14ac:dyDescent="0.25">
      <c r="H847" s="34"/>
    </row>
    <row r="848" spans="8:8" ht="14.25" customHeight="1" x14ac:dyDescent="0.25">
      <c r="H848" s="34"/>
    </row>
    <row r="849" spans="8:8" ht="14.25" customHeight="1" x14ac:dyDescent="0.25">
      <c r="H849" s="34"/>
    </row>
    <row r="850" spans="8:8" ht="14.25" customHeight="1" x14ac:dyDescent="0.25">
      <c r="H850" s="34"/>
    </row>
    <row r="851" spans="8:8" ht="14.25" customHeight="1" x14ac:dyDescent="0.25">
      <c r="H851" s="34"/>
    </row>
    <row r="852" spans="8:8" ht="14.25" customHeight="1" x14ac:dyDescent="0.25">
      <c r="H852" s="34"/>
    </row>
    <row r="853" spans="8:8" ht="14.25" customHeight="1" x14ac:dyDescent="0.25">
      <c r="H853" s="34"/>
    </row>
    <row r="854" spans="8:8" ht="14.25" customHeight="1" x14ac:dyDescent="0.25">
      <c r="H854" s="34"/>
    </row>
    <row r="855" spans="8:8" ht="14.25" customHeight="1" x14ac:dyDescent="0.25">
      <c r="H855" s="34"/>
    </row>
    <row r="856" spans="8:8" ht="14.25" customHeight="1" x14ac:dyDescent="0.25">
      <c r="H856" s="34"/>
    </row>
    <row r="857" spans="8:8" ht="14.25" customHeight="1" x14ac:dyDescent="0.25">
      <c r="H857" s="34"/>
    </row>
    <row r="858" spans="8:8" ht="14.25" customHeight="1" x14ac:dyDescent="0.25">
      <c r="H858" s="34"/>
    </row>
    <row r="859" spans="8:8" ht="14.25" customHeight="1" x14ac:dyDescent="0.25">
      <c r="H859" s="34"/>
    </row>
    <row r="860" spans="8:8" ht="14.25" customHeight="1" x14ac:dyDescent="0.25">
      <c r="H860" s="34"/>
    </row>
    <row r="861" spans="8:8" ht="14.25" customHeight="1" x14ac:dyDescent="0.25">
      <c r="H861" s="34"/>
    </row>
    <row r="862" spans="8:8" ht="14.25" customHeight="1" x14ac:dyDescent="0.25">
      <c r="H862" s="34"/>
    </row>
    <row r="863" spans="8:8" ht="14.25" customHeight="1" x14ac:dyDescent="0.25">
      <c r="H863" s="34"/>
    </row>
    <row r="864" spans="8:8" ht="14.25" customHeight="1" x14ac:dyDescent="0.25">
      <c r="H864" s="34"/>
    </row>
    <row r="865" spans="8:8" ht="14.25" customHeight="1" x14ac:dyDescent="0.25">
      <c r="H865" s="34"/>
    </row>
    <row r="866" spans="8:8" ht="14.25" customHeight="1" x14ac:dyDescent="0.25">
      <c r="H866" s="34"/>
    </row>
    <row r="867" spans="8:8" ht="14.25" customHeight="1" x14ac:dyDescent="0.25">
      <c r="H867" s="34"/>
    </row>
    <row r="868" spans="8:8" ht="14.25" customHeight="1" x14ac:dyDescent="0.25">
      <c r="H868" s="34"/>
    </row>
    <row r="869" spans="8:8" ht="14.25" customHeight="1" x14ac:dyDescent="0.25">
      <c r="H869" s="34"/>
    </row>
    <row r="870" spans="8:8" ht="14.25" customHeight="1" x14ac:dyDescent="0.25">
      <c r="H870" s="34"/>
    </row>
    <row r="871" spans="8:8" ht="14.25" customHeight="1" x14ac:dyDescent="0.25">
      <c r="H871" s="34"/>
    </row>
    <row r="872" spans="8:8" ht="14.25" customHeight="1" x14ac:dyDescent="0.25">
      <c r="H872" s="34"/>
    </row>
    <row r="873" spans="8:8" ht="14.25" customHeight="1" x14ac:dyDescent="0.25">
      <c r="H873" s="34"/>
    </row>
    <row r="874" spans="8:8" ht="14.25" customHeight="1" x14ac:dyDescent="0.25">
      <c r="H874" s="34"/>
    </row>
    <row r="875" spans="8:8" ht="14.25" customHeight="1" x14ac:dyDescent="0.25">
      <c r="H875" s="34"/>
    </row>
    <row r="876" spans="8:8" ht="14.25" customHeight="1" x14ac:dyDescent="0.25">
      <c r="H876" s="34"/>
    </row>
    <row r="877" spans="8:8" ht="14.25" customHeight="1" x14ac:dyDescent="0.25">
      <c r="H877" s="34"/>
    </row>
    <row r="878" spans="8:8" ht="14.25" customHeight="1" x14ac:dyDescent="0.25">
      <c r="H878" s="34"/>
    </row>
    <row r="879" spans="8:8" ht="14.25" customHeight="1" x14ac:dyDescent="0.25">
      <c r="H879" s="34"/>
    </row>
    <row r="880" spans="8:8" ht="14.25" customHeight="1" x14ac:dyDescent="0.25">
      <c r="H880" s="34"/>
    </row>
    <row r="881" spans="8:8" ht="14.25" customHeight="1" x14ac:dyDescent="0.25">
      <c r="H881" s="34"/>
    </row>
    <row r="882" spans="8:8" ht="14.25" customHeight="1" x14ac:dyDescent="0.25">
      <c r="H882" s="34"/>
    </row>
    <row r="883" spans="8:8" ht="14.25" customHeight="1" x14ac:dyDescent="0.25">
      <c r="H883" s="34"/>
    </row>
    <row r="884" spans="8:8" ht="14.25" customHeight="1" x14ac:dyDescent="0.25">
      <c r="H884" s="34"/>
    </row>
    <row r="885" spans="8:8" ht="14.25" customHeight="1" x14ac:dyDescent="0.25">
      <c r="H885" s="34"/>
    </row>
    <row r="886" spans="8:8" ht="14.25" customHeight="1" x14ac:dyDescent="0.25">
      <c r="H886" s="34"/>
    </row>
    <row r="887" spans="8:8" ht="14.25" customHeight="1" x14ac:dyDescent="0.25">
      <c r="H887" s="34"/>
    </row>
    <row r="888" spans="8:8" ht="14.25" customHeight="1" x14ac:dyDescent="0.25">
      <c r="H888" s="34"/>
    </row>
    <row r="889" spans="8:8" ht="14.25" customHeight="1" x14ac:dyDescent="0.25">
      <c r="H889" s="34"/>
    </row>
    <row r="890" spans="8:8" ht="14.25" customHeight="1" x14ac:dyDescent="0.25">
      <c r="H890" s="34"/>
    </row>
    <row r="891" spans="8:8" ht="14.25" customHeight="1" x14ac:dyDescent="0.25">
      <c r="H891" s="34"/>
    </row>
    <row r="892" spans="8:8" ht="14.25" customHeight="1" x14ac:dyDescent="0.25">
      <c r="H892" s="34"/>
    </row>
    <row r="893" spans="8:8" ht="14.25" customHeight="1" x14ac:dyDescent="0.25">
      <c r="H893" s="34"/>
    </row>
    <row r="894" spans="8:8" ht="14.25" customHeight="1" x14ac:dyDescent="0.25">
      <c r="H894" s="34"/>
    </row>
    <row r="895" spans="8:8" ht="14.25" customHeight="1" x14ac:dyDescent="0.25">
      <c r="H895" s="34"/>
    </row>
    <row r="896" spans="8:8" ht="14.25" customHeight="1" x14ac:dyDescent="0.25">
      <c r="H896" s="34"/>
    </row>
    <row r="897" spans="8:8" ht="14.25" customHeight="1" x14ac:dyDescent="0.25">
      <c r="H897" s="34"/>
    </row>
    <row r="898" spans="8:8" ht="14.25" customHeight="1" x14ac:dyDescent="0.25">
      <c r="H898" s="34"/>
    </row>
    <row r="899" spans="8:8" ht="14.25" customHeight="1" x14ac:dyDescent="0.25">
      <c r="H899" s="34"/>
    </row>
    <row r="900" spans="8:8" ht="14.25" customHeight="1" x14ac:dyDescent="0.25">
      <c r="H900" s="34"/>
    </row>
    <row r="901" spans="8:8" ht="14.25" customHeight="1" x14ac:dyDescent="0.25">
      <c r="H901" s="34"/>
    </row>
    <row r="902" spans="8:8" ht="14.25" customHeight="1" x14ac:dyDescent="0.25">
      <c r="H902" s="34"/>
    </row>
    <row r="903" spans="8:8" ht="14.25" customHeight="1" x14ac:dyDescent="0.25">
      <c r="H903" s="34"/>
    </row>
    <row r="904" spans="8:8" ht="14.25" customHeight="1" x14ac:dyDescent="0.25">
      <c r="H904" s="34"/>
    </row>
    <row r="905" spans="8:8" ht="14.25" customHeight="1" x14ac:dyDescent="0.25">
      <c r="H905" s="34"/>
    </row>
    <row r="906" spans="8:8" ht="14.25" customHeight="1" x14ac:dyDescent="0.25">
      <c r="H906" s="34"/>
    </row>
    <row r="907" spans="8:8" ht="14.25" customHeight="1" x14ac:dyDescent="0.25">
      <c r="H907" s="34"/>
    </row>
    <row r="908" spans="8:8" ht="14.25" customHeight="1" x14ac:dyDescent="0.25">
      <c r="H908" s="34"/>
    </row>
    <row r="909" spans="8:8" ht="14.25" customHeight="1" x14ac:dyDescent="0.25">
      <c r="H909" s="34"/>
    </row>
    <row r="910" spans="8:8" ht="14.25" customHeight="1" x14ac:dyDescent="0.25">
      <c r="H910" s="34"/>
    </row>
    <row r="911" spans="8:8" ht="14.25" customHeight="1" x14ac:dyDescent="0.25">
      <c r="H911" s="34"/>
    </row>
    <row r="912" spans="8:8" ht="14.25" customHeight="1" x14ac:dyDescent="0.25">
      <c r="H912" s="34"/>
    </row>
    <row r="913" spans="8:8" ht="14.25" customHeight="1" x14ac:dyDescent="0.25">
      <c r="H913" s="34"/>
    </row>
    <row r="914" spans="8:8" ht="14.25" customHeight="1" x14ac:dyDescent="0.25">
      <c r="H914" s="34"/>
    </row>
    <row r="915" spans="8:8" ht="14.25" customHeight="1" x14ac:dyDescent="0.25">
      <c r="H915" s="34"/>
    </row>
    <row r="916" spans="8:8" ht="14.25" customHeight="1" x14ac:dyDescent="0.25">
      <c r="H916" s="34"/>
    </row>
    <row r="917" spans="8:8" ht="14.25" customHeight="1" x14ac:dyDescent="0.25">
      <c r="H917" s="34"/>
    </row>
    <row r="918" spans="8:8" ht="14.25" customHeight="1" x14ac:dyDescent="0.25">
      <c r="H918" s="34"/>
    </row>
    <row r="919" spans="8:8" ht="14.25" customHeight="1" x14ac:dyDescent="0.25">
      <c r="H919" s="34"/>
    </row>
    <row r="920" spans="8:8" ht="14.25" customHeight="1" x14ac:dyDescent="0.25">
      <c r="H920" s="34"/>
    </row>
    <row r="921" spans="8:8" ht="14.25" customHeight="1" x14ac:dyDescent="0.25">
      <c r="H921" s="34"/>
    </row>
    <row r="922" spans="8:8" ht="14.25" customHeight="1" x14ac:dyDescent="0.25">
      <c r="H922" s="34"/>
    </row>
    <row r="923" spans="8:8" ht="14.25" customHeight="1" x14ac:dyDescent="0.25">
      <c r="H923" s="34"/>
    </row>
    <row r="924" spans="8:8" ht="14.25" customHeight="1" x14ac:dyDescent="0.25">
      <c r="H924" s="34"/>
    </row>
    <row r="925" spans="8:8" ht="14.25" customHeight="1" x14ac:dyDescent="0.25">
      <c r="H925" s="34"/>
    </row>
    <row r="926" spans="8:8" ht="14.25" customHeight="1" x14ac:dyDescent="0.25">
      <c r="H926" s="34"/>
    </row>
    <row r="927" spans="8:8" ht="14.25" customHeight="1" x14ac:dyDescent="0.25">
      <c r="H927" s="34"/>
    </row>
    <row r="928" spans="8:8" ht="14.25" customHeight="1" x14ac:dyDescent="0.25">
      <c r="H928" s="34"/>
    </row>
    <row r="929" spans="8:8" ht="14.25" customHeight="1" x14ac:dyDescent="0.25">
      <c r="H929" s="34"/>
    </row>
    <row r="930" spans="8:8" ht="14.25" customHeight="1" x14ac:dyDescent="0.25">
      <c r="H930" s="34"/>
    </row>
    <row r="931" spans="8:8" ht="14.25" customHeight="1" x14ac:dyDescent="0.25">
      <c r="H931" s="34"/>
    </row>
    <row r="932" spans="8:8" ht="14.25" customHeight="1" x14ac:dyDescent="0.25">
      <c r="H932" s="34"/>
    </row>
    <row r="933" spans="8:8" ht="14.25" customHeight="1" x14ac:dyDescent="0.25">
      <c r="H933" s="34"/>
    </row>
    <row r="934" spans="8:8" ht="14.25" customHeight="1" x14ac:dyDescent="0.25">
      <c r="H934" s="34"/>
    </row>
    <row r="935" spans="8:8" ht="14.25" customHeight="1" x14ac:dyDescent="0.25">
      <c r="H935" s="34"/>
    </row>
    <row r="936" spans="8:8" ht="14.25" customHeight="1" x14ac:dyDescent="0.25">
      <c r="H936" s="34"/>
    </row>
    <row r="937" spans="8:8" ht="14.25" customHeight="1" x14ac:dyDescent="0.25">
      <c r="H937" s="34"/>
    </row>
    <row r="938" spans="8:8" ht="14.25" customHeight="1" x14ac:dyDescent="0.25">
      <c r="H938" s="34"/>
    </row>
    <row r="939" spans="8:8" ht="14.25" customHeight="1" x14ac:dyDescent="0.25">
      <c r="H939" s="34"/>
    </row>
    <row r="940" spans="8:8" ht="14.25" customHeight="1" x14ac:dyDescent="0.25">
      <c r="H940" s="34"/>
    </row>
    <row r="941" spans="8:8" ht="14.25" customHeight="1" x14ac:dyDescent="0.25">
      <c r="H941" s="34"/>
    </row>
    <row r="942" spans="8:8" ht="14.25" customHeight="1" x14ac:dyDescent="0.25">
      <c r="H942" s="34"/>
    </row>
    <row r="943" spans="8:8" ht="14.25" customHeight="1" x14ac:dyDescent="0.25">
      <c r="H943" s="34"/>
    </row>
    <row r="944" spans="8:8" ht="14.25" customHeight="1" x14ac:dyDescent="0.25">
      <c r="H944" s="34"/>
    </row>
    <row r="945" spans="8:8" ht="14.25" customHeight="1" x14ac:dyDescent="0.25">
      <c r="H945" s="34"/>
    </row>
    <row r="946" spans="8:8" ht="14.25" customHeight="1" x14ac:dyDescent="0.25">
      <c r="H946" s="34"/>
    </row>
    <row r="947" spans="8:8" ht="14.25" customHeight="1" x14ac:dyDescent="0.25">
      <c r="H947" s="34"/>
    </row>
    <row r="948" spans="8:8" ht="14.25" customHeight="1" x14ac:dyDescent="0.25">
      <c r="H948" s="34"/>
    </row>
    <row r="949" spans="8:8" ht="14.25" customHeight="1" x14ac:dyDescent="0.25">
      <c r="H949" s="34"/>
    </row>
    <row r="950" spans="8:8" ht="14.25" customHeight="1" x14ac:dyDescent="0.25">
      <c r="H950" s="34"/>
    </row>
    <row r="951" spans="8:8" ht="14.25" customHeight="1" x14ac:dyDescent="0.25">
      <c r="H951" s="34"/>
    </row>
    <row r="952" spans="8:8" ht="14.25" customHeight="1" x14ac:dyDescent="0.25">
      <c r="H952" s="34"/>
    </row>
    <row r="953" spans="8:8" ht="14.25" customHeight="1" x14ac:dyDescent="0.25">
      <c r="H953" s="34"/>
    </row>
    <row r="954" spans="8:8" ht="14.25" customHeight="1" x14ac:dyDescent="0.25">
      <c r="H954" s="34"/>
    </row>
    <row r="955" spans="8:8" ht="14.25" customHeight="1" x14ac:dyDescent="0.25">
      <c r="H955" s="34"/>
    </row>
    <row r="956" spans="8:8" ht="14.25" customHeight="1" x14ac:dyDescent="0.25">
      <c r="H956" s="34"/>
    </row>
    <row r="957" spans="8:8" ht="14.25" customHeight="1" x14ac:dyDescent="0.25">
      <c r="H957" s="34"/>
    </row>
    <row r="958" spans="8:8" ht="14.25" customHeight="1" x14ac:dyDescent="0.25">
      <c r="H958" s="34"/>
    </row>
    <row r="959" spans="8:8" ht="14.25" customHeight="1" x14ac:dyDescent="0.25">
      <c r="H959" s="34"/>
    </row>
    <row r="960" spans="8:8" ht="14.25" customHeight="1" x14ac:dyDescent="0.25">
      <c r="H960" s="34"/>
    </row>
    <row r="961" spans="8:8" ht="14.25" customHeight="1" x14ac:dyDescent="0.25">
      <c r="H961" s="34"/>
    </row>
    <row r="962" spans="8:8" ht="14.25" customHeight="1" x14ac:dyDescent="0.25">
      <c r="H962" s="34"/>
    </row>
    <row r="963" spans="8:8" ht="14.25" customHeight="1" x14ac:dyDescent="0.25">
      <c r="H963" s="34"/>
    </row>
    <row r="964" spans="8:8" ht="14.25" customHeight="1" x14ac:dyDescent="0.25">
      <c r="H964" s="34"/>
    </row>
    <row r="965" spans="8:8" ht="14.25" customHeight="1" x14ac:dyDescent="0.25">
      <c r="H965" s="34"/>
    </row>
    <row r="966" spans="8:8" ht="14.25" customHeight="1" x14ac:dyDescent="0.25">
      <c r="H966" s="34"/>
    </row>
    <row r="967" spans="8:8" ht="14.25" customHeight="1" x14ac:dyDescent="0.25">
      <c r="H967" s="34"/>
    </row>
    <row r="968" spans="8:8" ht="14.25" customHeight="1" x14ac:dyDescent="0.25">
      <c r="H968" s="34"/>
    </row>
    <row r="969" spans="8:8" ht="14.25" customHeight="1" x14ac:dyDescent="0.25">
      <c r="H969" s="34"/>
    </row>
    <row r="970" spans="8:8" ht="14.25" customHeight="1" x14ac:dyDescent="0.25">
      <c r="H970" s="34"/>
    </row>
    <row r="971" spans="8:8" ht="14.25" customHeight="1" x14ac:dyDescent="0.25">
      <c r="H971" s="34"/>
    </row>
    <row r="972" spans="8:8" ht="14.25" customHeight="1" x14ac:dyDescent="0.25">
      <c r="H972" s="34"/>
    </row>
    <row r="973" spans="8:8" ht="14.25" customHeight="1" x14ac:dyDescent="0.25">
      <c r="H973" s="34"/>
    </row>
    <row r="974" spans="8:8" ht="14.25" customHeight="1" x14ac:dyDescent="0.25">
      <c r="H974" s="34"/>
    </row>
    <row r="975" spans="8:8" ht="14.25" customHeight="1" x14ac:dyDescent="0.25">
      <c r="H975" s="34"/>
    </row>
    <row r="976" spans="8:8" ht="14.25" customHeight="1" x14ac:dyDescent="0.25">
      <c r="H976" s="34"/>
    </row>
    <row r="977" spans="8:8" ht="14.25" customHeight="1" x14ac:dyDescent="0.25">
      <c r="H977" s="34"/>
    </row>
    <row r="978" spans="8:8" ht="14.25" customHeight="1" x14ac:dyDescent="0.25">
      <c r="H978" s="34"/>
    </row>
    <row r="979" spans="8:8" ht="14.25" customHeight="1" x14ac:dyDescent="0.25">
      <c r="H979" s="34"/>
    </row>
    <row r="980" spans="8:8" ht="14.25" customHeight="1" x14ac:dyDescent="0.25">
      <c r="H980" s="34"/>
    </row>
    <row r="981" spans="8:8" ht="14.25" customHeight="1" x14ac:dyDescent="0.25">
      <c r="H981" s="34"/>
    </row>
    <row r="982" spans="8:8" ht="14.25" customHeight="1" x14ac:dyDescent="0.25">
      <c r="H982" s="34"/>
    </row>
    <row r="983" spans="8:8" ht="14.25" customHeight="1" x14ac:dyDescent="0.25">
      <c r="H983" s="34"/>
    </row>
    <row r="984" spans="8:8" ht="14.25" customHeight="1" x14ac:dyDescent="0.25">
      <c r="H984" s="34"/>
    </row>
    <row r="985" spans="8:8" ht="14.25" customHeight="1" x14ac:dyDescent="0.25">
      <c r="H985" s="34"/>
    </row>
    <row r="986" spans="8:8" ht="14.25" customHeight="1" x14ac:dyDescent="0.25">
      <c r="H986" s="34"/>
    </row>
    <row r="987" spans="8:8" ht="14.25" customHeight="1" x14ac:dyDescent="0.25">
      <c r="H987" s="34"/>
    </row>
    <row r="988" spans="8:8" ht="14.25" customHeight="1" x14ac:dyDescent="0.25">
      <c r="H988" s="34"/>
    </row>
    <row r="989" spans="8:8" ht="14.25" customHeight="1" x14ac:dyDescent="0.25">
      <c r="H989" s="34"/>
    </row>
    <row r="990" spans="8:8" ht="14.25" customHeight="1" x14ac:dyDescent="0.25">
      <c r="H990" s="34"/>
    </row>
    <row r="991" spans="8:8" ht="14.25" customHeight="1" x14ac:dyDescent="0.25">
      <c r="H991" s="34"/>
    </row>
    <row r="992" spans="8:8" ht="14.25" customHeight="1" x14ac:dyDescent="0.25">
      <c r="H992" s="34"/>
    </row>
    <row r="993" spans="8:8" ht="14.25" customHeight="1" x14ac:dyDescent="0.25">
      <c r="H993" s="34"/>
    </row>
    <row r="994" spans="8:8" ht="14.25" customHeight="1" x14ac:dyDescent="0.25">
      <c r="H994" s="34"/>
    </row>
    <row r="995" spans="8:8" ht="14.25" customHeight="1" x14ac:dyDescent="0.25">
      <c r="H995" s="34"/>
    </row>
    <row r="996" spans="8:8" ht="14.25" customHeight="1" x14ac:dyDescent="0.25">
      <c r="H996" s="34"/>
    </row>
    <row r="997" spans="8:8" ht="14.25" customHeight="1" x14ac:dyDescent="0.25">
      <c r="H997" s="34"/>
    </row>
    <row r="998" spans="8:8" ht="14.25" customHeight="1" x14ac:dyDescent="0.25">
      <c r="H998" s="34"/>
    </row>
    <row r="999" spans="8:8" ht="14.25" customHeight="1" x14ac:dyDescent="0.25">
      <c r="H999" s="34"/>
    </row>
    <row r="1000" spans="8:8" ht="14.25" customHeight="1" x14ac:dyDescent="0.25">
      <c r="H1000" s="34"/>
    </row>
  </sheetData>
  <autoFilter ref="B3:H100" xr:uid="{00000000-0009-0000-0000-000006000000}">
    <sortState xmlns:xlrd2="http://schemas.microsoft.com/office/spreadsheetml/2017/richdata2" ref="B3:H100">
      <sortCondition ref="C3:C100"/>
    </sortState>
  </autoFilter>
  <mergeCells count="1">
    <mergeCell ref="C2:H2"/>
  </mergeCells>
  <conditionalFormatting sqref="B22:B23">
    <cfRule type="expression" dxfId="20" priority="1">
      <formula>AND(B22&gt;TODAY(), B22-TODAY()&gt;=WEEKDAY(B22), B22-TODAY()&lt;WEEKDAY(B22)+7)</formula>
    </cfRule>
    <cfRule type="expression" dxfId="19" priority="2">
      <formula>OR(AND(B22&lt;=TODAY(), TODAY()-B22&lt;WEEKDAY(TODAY())), AND(TODAY()&lt;B22, B22-TODAY()&lt;WEEKDAY(B22)))</formula>
    </cfRule>
  </conditionalFormatting>
  <conditionalFormatting sqref="C45:C47 D68:D74">
    <cfRule type="expression" dxfId="18" priority="3" stopIfTrue="1">
      <formula>AND(COUNTIF(#REF!, C45)+COUNTIF($B:$B, C45)&gt;1,NOT(ISBLANK(C45)))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16.42578125" customWidth="1"/>
    <col min="3" max="3" width="17.140625" customWidth="1"/>
    <col min="4" max="4" width="15.140625" customWidth="1"/>
    <col min="5" max="5" width="50.42578125" customWidth="1"/>
    <col min="6" max="6" width="24.42578125" customWidth="1"/>
    <col min="7" max="7" width="20.5703125" customWidth="1"/>
    <col min="8" max="8" width="17.42578125" customWidth="1"/>
    <col min="9" max="10" width="23.42578125" customWidth="1"/>
    <col min="11" max="26" width="8.5703125" customWidth="1"/>
  </cols>
  <sheetData>
    <row r="1" spans="2:10" ht="14.25" customHeight="1" x14ac:dyDescent="0.25"/>
    <row r="2" spans="2:10" ht="14.25" customHeight="1" x14ac:dyDescent="0.25"/>
    <row r="3" spans="2:10" ht="14.25" customHeight="1" x14ac:dyDescent="0.25">
      <c r="B3" s="362" t="s">
        <v>276</v>
      </c>
      <c r="C3" s="363"/>
      <c r="D3" s="363"/>
      <c r="E3" s="363"/>
      <c r="F3" s="363"/>
      <c r="G3" s="363"/>
      <c r="H3" s="363"/>
      <c r="I3" s="363"/>
      <c r="J3" s="365"/>
    </row>
    <row r="4" spans="2:10" ht="14.25" customHeight="1" x14ac:dyDescent="0.25">
      <c r="B4" s="28" t="s">
        <v>219</v>
      </c>
      <c r="C4" s="28" t="s">
        <v>220</v>
      </c>
      <c r="D4" s="28" t="s">
        <v>1</v>
      </c>
      <c r="E4" s="28" t="s">
        <v>2</v>
      </c>
      <c r="F4" s="28" t="s">
        <v>3</v>
      </c>
      <c r="G4" s="28" t="s">
        <v>4</v>
      </c>
      <c r="H4" s="29" t="s">
        <v>5</v>
      </c>
      <c r="I4" s="29" t="s">
        <v>6</v>
      </c>
      <c r="J4" s="38" t="s">
        <v>233</v>
      </c>
    </row>
    <row r="5" spans="2:10" ht="14.25" customHeight="1" x14ac:dyDescent="0.25">
      <c r="B5" s="44">
        <v>46120</v>
      </c>
      <c r="C5" s="45">
        <v>46119</v>
      </c>
      <c r="D5" s="46" t="s">
        <v>277</v>
      </c>
      <c r="E5" s="46" t="s">
        <v>278</v>
      </c>
      <c r="F5" s="47" t="s">
        <v>279</v>
      </c>
      <c r="G5" s="48">
        <v>16</v>
      </c>
      <c r="H5" s="49">
        <f t="shared" ref="H5:H16" si="0">G5*16.5</f>
        <v>264</v>
      </c>
      <c r="I5" s="50">
        <v>87.2</v>
      </c>
      <c r="J5" s="51"/>
    </row>
    <row r="6" spans="2:10" ht="14.25" customHeight="1" x14ac:dyDescent="0.25">
      <c r="B6" s="44">
        <v>46120</v>
      </c>
      <c r="C6" s="45">
        <v>46119</v>
      </c>
      <c r="D6" s="46" t="s">
        <v>280</v>
      </c>
      <c r="E6" s="46" t="s">
        <v>281</v>
      </c>
      <c r="F6" s="47" t="s">
        <v>279</v>
      </c>
      <c r="G6" s="48">
        <v>16</v>
      </c>
      <c r="H6" s="49">
        <f t="shared" si="0"/>
        <v>264</v>
      </c>
      <c r="I6" s="50">
        <v>87.2</v>
      </c>
      <c r="J6" s="51"/>
    </row>
    <row r="7" spans="2:10" ht="14.25" customHeight="1" x14ac:dyDescent="0.25">
      <c r="B7" s="44">
        <v>46120</v>
      </c>
      <c r="C7" s="45">
        <v>46119</v>
      </c>
      <c r="D7" s="46" t="s">
        <v>282</v>
      </c>
      <c r="E7" s="46" t="s">
        <v>283</v>
      </c>
      <c r="F7" s="47" t="s">
        <v>284</v>
      </c>
      <c r="G7" s="48">
        <v>16</v>
      </c>
      <c r="H7" s="49">
        <f t="shared" si="0"/>
        <v>264</v>
      </c>
      <c r="I7" s="50">
        <v>87.2</v>
      </c>
      <c r="J7" s="51"/>
    </row>
    <row r="8" spans="2:10" ht="14.25" customHeight="1" x14ac:dyDescent="0.25">
      <c r="B8" s="44">
        <v>46120</v>
      </c>
      <c r="C8" s="45">
        <v>46119</v>
      </c>
      <c r="D8" s="46" t="s">
        <v>285</v>
      </c>
      <c r="E8" s="46" t="s">
        <v>286</v>
      </c>
      <c r="F8" s="47" t="s">
        <v>287</v>
      </c>
      <c r="G8" s="48">
        <v>16</v>
      </c>
      <c r="H8" s="49">
        <f t="shared" si="0"/>
        <v>264</v>
      </c>
      <c r="I8" s="50">
        <v>87.2</v>
      </c>
      <c r="J8" s="51"/>
    </row>
    <row r="9" spans="2:10" ht="14.25" customHeight="1" x14ac:dyDescent="0.25">
      <c r="B9" s="44">
        <v>46127</v>
      </c>
      <c r="C9" s="45">
        <v>46122</v>
      </c>
      <c r="D9" s="46" t="s">
        <v>288</v>
      </c>
      <c r="E9" s="46" t="s">
        <v>289</v>
      </c>
      <c r="F9" s="47" t="s">
        <v>32</v>
      </c>
      <c r="G9" s="48">
        <v>11</v>
      </c>
      <c r="H9" s="49">
        <f t="shared" si="0"/>
        <v>181.5</v>
      </c>
      <c r="I9" s="50">
        <v>60</v>
      </c>
      <c r="J9" s="51"/>
    </row>
    <row r="10" spans="2:10" ht="14.25" customHeight="1" x14ac:dyDescent="0.25">
      <c r="B10" s="51"/>
      <c r="C10" s="45">
        <v>46127</v>
      </c>
      <c r="D10" s="46" t="s">
        <v>290</v>
      </c>
      <c r="E10" s="46" t="s">
        <v>291</v>
      </c>
      <c r="F10" s="47" t="s">
        <v>292</v>
      </c>
      <c r="G10" s="47">
        <v>6</v>
      </c>
      <c r="H10" s="49">
        <f t="shared" si="0"/>
        <v>99</v>
      </c>
      <c r="I10" s="50">
        <v>49.05</v>
      </c>
      <c r="J10" s="51"/>
    </row>
    <row r="11" spans="2:10" ht="14.25" customHeight="1" x14ac:dyDescent="0.25">
      <c r="B11" s="51"/>
      <c r="C11" s="45">
        <v>46127</v>
      </c>
      <c r="D11" s="46" t="s">
        <v>293</v>
      </c>
      <c r="E11" s="46" t="s">
        <v>294</v>
      </c>
      <c r="F11" s="47" t="s">
        <v>295</v>
      </c>
      <c r="G11" s="47">
        <v>9</v>
      </c>
      <c r="H11" s="49">
        <f t="shared" si="0"/>
        <v>148.5</v>
      </c>
      <c r="I11" s="50">
        <v>49.05</v>
      </c>
      <c r="J11" s="51"/>
    </row>
    <row r="12" spans="2:10" ht="14.25" customHeight="1" x14ac:dyDescent="0.25">
      <c r="B12" s="51"/>
      <c r="C12" s="52">
        <v>46127</v>
      </c>
      <c r="D12" s="53" t="s">
        <v>296</v>
      </c>
      <c r="E12" s="53" t="s">
        <v>297</v>
      </c>
      <c r="F12" s="54" t="s">
        <v>295</v>
      </c>
      <c r="G12" s="54">
        <v>9</v>
      </c>
      <c r="H12" s="55">
        <f t="shared" si="0"/>
        <v>148.5</v>
      </c>
      <c r="I12" s="56">
        <v>49.05</v>
      </c>
      <c r="J12" s="51"/>
    </row>
    <row r="13" spans="2:10" ht="14.25" customHeight="1" x14ac:dyDescent="0.25">
      <c r="B13" s="51"/>
      <c r="C13" s="45">
        <v>46127</v>
      </c>
      <c r="D13" s="46" t="s">
        <v>298</v>
      </c>
      <c r="E13" s="46" t="s">
        <v>299</v>
      </c>
      <c r="F13" s="47" t="s">
        <v>300</v>
      </c>
      <c r="G13" s="47">
        <v>9</v>
      </c>
      <c r="H13" s="49">
        <f t="shared" si="0"/>
        <v>148.5</v>
      </c>
      <c r="I13" s="50">
        <v>49.05</v>
      </c>
      <c r="J13" s="51"/>
    </row>
    <row r="14" spans="2:10" ht="14.25" customHeight="1" x14ac:dyDescent="0.25">
      <c r="B14" s="51"/>
      <c r="C14" s="45">
        <v>46127</v>
      </c>
      <c r="D14" s="46" t="s">
        <v>301</v>
      </c>
      <c r="E14" s="46" t="s">
        <v>302</v>
      </c>
      <c r="F14" s="47" t="s">
        <v>300</v>
      </c>
      <c r="G14" s="47">
        <v>9</v>
      </c>
      <c r="H14" s="49">
        <f t="shared" si="0"/>
        <v>148.5</v>
      </c>
      <c r="I14" s="50">
        <v>49.05</v>
      </c>
      <c r="J14" s="51"/>
    </row>
    <row r="15" spans="2:10" ht="14.25" customHeight="1" x14ac:dyDescent="0.25">
      <c r="B15" s="51"/>
      <c r="C15" s="45">
        <v>46135</v>
      </c>
      <c r="D15" s="46" t="s">
        <v>303</v>
      </c>
      <c r="E15" s="46" t="s">
        <v>304</v>
      </c>
      <c r="F15" s="47" t="s">
        <v>305</v>
      </c>
      <c r="G15" s="47">
        <v>0</v>
      </c>
      <c r="H15" s="50">
        <f t="shared" si="0"/>
        <v>0</v>
      </c>
      <c r="I15" s="46"/>
    </row>
    <row r="16" spans="2:10" ht="14.25" customHeight="1" x14ac:dyDescent="0.25">
      <c r="B16" s="51"/>
      <c r="C16" s="45">
        <v>46139</v>
      </c>
      <c r="D16" s="46" t="s">
        <v>306</v>
      </c>
      <c r="E16" s="46" t="s">
        <v>307</v>
      </c>
      <c r="F16" s="47" t="s">
        <v>308</v>
      </c>
      <c r="G16" s="47">
        <v>4</v>
      </c>
      <c r="H16" s="50">
        <f t="shared" si="0"/>
        <v>66</v>
      </c>
      <c r="I16" s="50">
        <v>21.8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4:J4" xr:uid="{00000000-0009-0000-0000-000007000000}"/>
  <mergeCells count="1">
    <mergeCell ref="B3:J3"/>
  </mergeCell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I1000"/>
  <sheetViews>
    <sheetView topLeftCell="A70" workbookViewId="0">
      <selection activeCell="F93" sqref="F93"/>
    </sheetView>
  </sheetViews>
  <sheetFormatPr defaultColWidth="12.5703125" defaultRowHeight="15" customHeight="1" x14ac:dyDescent="0.25"/>
  <cols>
    <col min="1" max="2" width="8.5703125" customWidth="1"/>
    <col min="3" max="3" width="14.42578125" customWidth="1"/>
    <col min="4" max="4" width="48" customWidth="1"/>
    <col min="5" max="5" width="23.42578125" customWidth="1"/>
    <col min="6" max="6" width="9.85546875" customWidth="1"/>
    <col min="7" max="7" width="17" customWidth="1"/>
    <col min="8" max="8" width="14.42578125" customWidth="1"/>
    <col min="9" max="9" width="13.85546875" customWidth="1"/>
    <col min="10" max="26" width="8.5703125" customWidth="1"/>
  </cols>
  <sheetData>
    <row r="1" spans="3:9" ht="14.25" customHeight="1" x14ac:dyDescent="0.25">
      <c r="G1" s="57"/>
      <c r="H1" s="57"/>
      <c r="I1" s="34"/>
    </row>
    <row r="2" spans="3:9" ht="14.25" customHeight="1" x14ac:dyDescent="0.25">
      <c r="C2" s="1"/>
      <c r="D2" s="366" t="s">
        <v>309</v>
      </c>
      <c r="E2" s="367"/>
      <c r="F2" s="367"/>
      <c r="G2" s="367"/>
      <c r="H2" s="367"/>
      <c r="I2" s="368"/>
    </row>
    <row r="3" spans="3:9" ht="14.25" customHeight="1" x14ac:dyDescent="0.25">
      <c r="C3" s="2" t="s">
        <v>1</v>
      </c>
      <c r="D3" s="3" t="s">
        <v>2</v>
      </c>
      <c r="E3" s="4" t="s">
        <v>3</v>
      </c>
      <c r="F3" s="4" t="s">
        <v>4</v>
      </c>
      <c r="G3" s="5" t="s">
        <v>5</v>
      </c>
      <c r="H3" s="5" t="s">
        <v>232</v>
      </c>
      <c r="I3" s="5" t="s">
        <v>233</v>
      </c>
    </row>
    <row r="4" spans="3:9" ht="14.25" customHeight="1" x14ac:dyDescent="0.25">
      <c r="C4" s="6" t="s">
        <v>7</v>
      </c>
      <c r="D4" s="7" t="s">
        <v>8</v>
      </c>
      <c r="E4" s="6" t="s">
        <v>9</v>
      </c>
      <c r="F4" s="6">
        <v>23</v>
      </c>
      <c r="G4" s="8">
        <f t="shared" ref="G4:G5" si="0">F4*16.5</f>
        <v>379.5</v>
      </c>
      <c r="H4" s="8" t="s">
        <v>10</v>
      </c>
      <c r="I4" s="8" t="s">
        <v>10</v>
      </c>
    </row>
    <row r="5" spans="3:9" ht="14.25" customHeight="1" x14ac:dyDescent="0.25">
      <c r="C5" s="6" t="s">
        <v>264</v>
      </c>
      <c r="D5" s="9" t="s">
        <v>265</v>
      </c>
      <c r="E5" s="6" t="s">
        <v>23</v>
      </c>
      <c r="F5" s="6">
        <v>20</v>
      </c>
      <c r="G5" s="8">
        <f t="shared" si="0"/>
        <v>330</v>
      </c>
      <c r="H5" s="8">
        <v>120</v>
      </c>
      <c r="I5" s="6" t="s">
        <v>10</v>
      </c>
    </row>
    <row r="6" spans="3:9" ht="14.25" customHeight="1" x14ac:dyDescent="0.25">
      <c r="C6" s="6" t="s">
        <v>14</v>
      </c>
      <c r="D6" s="9" t="s">
        <v>15</v>
      </c>
      <c r="E6" s="6" t="s">
        <v>16</v>
      </c>
      <c r="F6" s="6" t="s">
        <v>10</v>
      </c>
      <c r="G6" s="8" t="s">
        <v>10</v>
      </c>
      <c r="H6" s="8" t="s">
        <v>10</v>
      </c>
      <c r="I6" s="8" t="s">
        <v>10</v>
      </c>
    </row>
    <row r="7" spans="3:9" ht="14.25" customHeight="1" x14ac:dyDescent="0.25">
      <c r="C7" s="6" t="s">
        <v>17</v>
      </c>
      <c r="D7" s="9" t="s">
        <v>18</v>
      </c>
      <c r="E7" s="6" t="s">
        <v>16</v>
      </c>
      <c r="F7" s="6">
        <v>20</v>
      </c>
      <c r="G7" s="8">
        <f t="shared" ref="G7:G14" si="1">F7*16.5</f>
        <v>330</v>
      </c>
      <c r="H7" s="8">
        <v>120</v>
      </c>
      <c r="I7" s="8" t="s">
        <v>10</v>
      </c>
    </row>
    <row r="8" spans="3:9" ht="14.25" customHeight="1" x14ac:dyDescent="0.25">
      <c r="C8" s="6" t="s">
        <v>19</v>
      </c>
      <c r="D8" s="9" t="s">
        <v>20</v>
      </c>
      <c r="E8" s="6" t="s">
        <v>16</v>
      </c>
      <c r="F8" s="6">
        <v>20</v>
      </c>
      <c r="G8" s="8">
        <f t="shared" si="1"/>
        <v>330</v>
      </c>
      <c r="H8" s="8">
        <v>120</v>
      </c>
      <c r="I8" s="8" t="s">
        <v>10</v>
      </c>
    </row>
    <row r="9" spans="3:9" ht="14.25" customHeight="1" x14ac:dyDescent="0.25">
      <c r="C9" s="6" t="s">
        <v>21</v>
      </c>
      <c r="D9" s="9" t="s">
        <v>22</v>
      </c>
      <c r="E9" s="6" t="s">
        <v>23</v>
      </c>
      <c r="F9" s="6">
        <v>20</v>
      </c>
      <c r="G9" s="8">
        <f t="shared" si="1"/>
        <v>330</v>
      </c>
      <c r="H9" s="8">
        <v>120</v>
      </c>
      <c r="I9" s="8" t="s">
        <v>10</v>
      </c>
    </row>
    <row r="10" spans="3:9" ht="14.25" customHeight="1" x14ac:dyDescent="0.25">
      <c r="C10" s="6" t="s">
        <v>27</v>
      </c>
      <c r="D10" s="9" t="s">
        <v>28</v>
      </c>
      <c r="E10" s="6" t="s">
        <v>29</v>
      </c>
      <c r="F10" s="6">
        <v>20</v>
      </c>
      <c r="G10" s="8">
        <f t="shared" si="1"/>
        <v>330</v>
      </c>
      <c r="H10" s="8">
        <v>120</v>
      </c>
      <c r="I10" s="8" t="s">
        <v>10</v>
      </c>
    </row>
    <row r="11" spans="3:9" ht="14.25" customHeight="1" x14ac:dyDescent="0.25">
      <c r="C11" s="6" t="s">
        <v>30</v>
      </c>
      <c r="D11" s="9" t="s">
        <v>31</v>
      </c>
      <c r="E11" s="6" t="s">
        <v>32</v>
      </c>
      <c r="F11" s="6">
        <v>20</v>
      </c>
      <c r="G11" s="8">
        <f t="shared" si="1"/>
        <v>330</v>
      </c>
      <c r="H11" s="8">
        <v>120</v>
      </c>
      <c r="I11" s="8" t="s">
        <v>10</v>
      </c>
    </row>
    <row r="12" spans="3:9" ht="14.25" customHeight="1" x14ac:dyDescent="0.25">
      <c r="C12" s="6" t="s">
        <v>36</v>
      </c>
      <c r="D12" s="9" t="s">
        <v>37</v>
      </c>
      <c r="E12" s="6" t="s">
        <v>29</v>
      </c>
      <c r="F12" s="6">
        <v>20</v>
      </c>
      <c r="G12" s="8">
        <f t="shared" si="1"/>
        <v>330</v>
      </c>
      <c r="H12" s="8">
        <v>120</v>
      </c>
      <c r="I12" s="8" t="s">
        <v>10</v>
      </c>
    </row>
    <row r="13" spans="3:9" ht="14.25" customHeight="1" x14ac:dyDescent="0.25">
      <c r="C13" s="6" t="s">
        <v>38</v>
      </c>
      <c r="D13" s="9" t="s">
        <v>39</v>
      </c>
      <c r="E13" s="6" t="s">
        <v>40</v>
      </c>
      <c r="F13" s="6">
        <v>20</v>
      </c>
      <c r="G13" s="8">
        <f t="shared" si="1"/>
        <v>330</v>
      </c>
      <c r="H13" s="8" t="s">
        <v>10</v>
      </c>
      <c r="I13" s="8" t="s">
        <v>10</v>
      </c>
    </row>
    <row r="14" spans="3:9" ht="14.25" customHeight="1" x14ac:dyDescent="0.25">
      <c r="C14" s="6" t="s">
        <v>41</v>
      </c>
      <c r="D14" s="9" t="s">
        <v>42</v>
      </c>
      <c r="E14" s="6" t="s">
        <v>35</v>
      </c>
      <c r="F14" s="6">
        <v>20</v>
      </c>
      <c r="G14" s="8">
        <f t="shared" si="1"/>
        <v>330</v>
      </c>
      <c r="H14" s="8">
        <v>120</v>
      </c>
      <c r="I14" s="8" t="s">
        <v>10</v>
      </c>
    </row>
    <row r="15" spans="3:9" ht="14.25" customHeight="1" x14ac:dyDescent="0.25">
      <c r="C15" s="6" t="s">
        <v>234</v>
      </c>
      <c r="D15" s="9" t="s">
        <v>235</v>
      </c>
      <c r="E15" s="6" t="s">
        <v>103</v>
      </c>
      <c r="F15" s="6">
        <v>20</v>
      </c>
      <c r="G15" s="8">
        <v>600</v>
      </c>
      <c r="H15" s="8" t="s">
        <v>10</v>
      </c>
      <c r="I15" s="8" t="s">
        <v>10</v>
      </c>
    </row>
    <row r="16" spans="3:9" ht="14.25" customHeight="1" x14ac:dyDescent="0.25">
      <c r="C16" s="9" t="s">
        <v>301</v>
      </c>
      <c r="D16" s="9" t="s">
        <v>302</v>
      </c>
      <c r="E16" s="6" t="s">
        <v>65</v>
      </c>
      <c r="F16" s="6">
        <v>20</v>
      </c>
      <c r="G16" s="8">
        <f t="shared" ref="G16:G73" si="2">F16*16.5</f>
        <v>330</v>
      </c>
      <c r="H16" s="8">
        <v>120</v>
      </c>
      <c r="I16" s="8" t="s">
        <v>10</v>
      </c>
    </row>
    <row r="17" spans="3:9" ht="14.25" customHeight="1" x14ac:dyDescent="0.25">
      <c r="C17" s="9" t="s">
        <v>288</v>
      </c>
      <c r="D17" s="9" t="s">
        <v>289</v>
      </c>
      <c r="E17" s="6" t="s">
        <v>32</v>
      </c>
      <c r="F17" s="6">
        <v>20</v>
      </c>
      <c r="G17" s="8">
        <f t="shared" si="2"/>
        <v>330</v>
      </c>
      <c r="H17" s="8">
        <v>120</v>
      </c>
      <c r="I17" s="8" t="s">
        <v>10</v>
      </c>
    </row>
    <row r="18" spans="3:9" ht="14.25" customHeight="1" x14ac:dyDescent="0.25">
      <c r="C18" s="12">
        <v>10705364402</v>
      </c>
      <c r="D18" s="13" t="s">
        <v>51</v>
      </c>
      <c r="E18" s="6" t="s">
        <v>52</v>
      </c>
      <c r="F18" s="6">
        <v>20</v>
      </c>
      <c r="G18" s="8">
        <f t="shared" si="2"/>
        <v>330</v>
      </c>
      <c r="H18" s="8">
        <v>120</v>
      </c>
      <c r="I18" s="8" t="s">
        <v>10</v>
      </c>
    </row>
    <row r="19" spans="3:9" ht="14.25" customHeight="1" x14ac:dyDescent="0.25">
      <c r="C19" s="6" t="s">
        <v>53</v>
      </c>
      <c r="D19" s="9" t="s">
        <v>54</v>
      </c>
      <c r="E19" s="6" t="s">
        <v>52</v>
      </c>
      <c r="F19" s="6">
        <v>20</v>
      </c>
      <c r="G19" s="8">
        <f t="shared" si="2"/>
        <v>330</v>
      </c>
      <c r="H19" s="8">
        <v>120</v>
      </c>
      <c r="I19" s="8" t="s">
        <v>10</v>
      </c>
    </row>
    <row r="20" spans="3:9" ht="14.25" customHeight="1" x14ac:dyDescent="0.25">
      <c r="C20" s="14" t="s">
        <v>55</v>
      </c>
      <c r="D20" s="9" t="s">
        <v>56</v>
      </c>
      <c r="E20" s="6" t="s">
        <v>32</v>
      </c>
      <c r="F20" s="6">
        <v>20</v>
      </c>
      <c r="G20" s="8">
        <f t="shared" si="2"/>
        <v>330</v>
      </c>
      <c r="H20" s="8">
        <v>120</v>
      </c>
      <c r="I20" s="8" t="s">
        <v>10</v>
      </c>
    </row>
    <row r="21" spans="3:9" ht="14.25" customHeight="1" x14ac:dyDescent="0.25">
      <c r="C21" s="14" t="s">
        <v>57</v>
      </c>
      <c r="D21" s="9" t="s">
        <v>58</v>
      </c>
      <c r="E21" s="6" t="s">
        <v>47</v>
      </c>
      <c r="F21" s="6">
        <v>20</v>
      </c>
      <c r="G21" s="8">
        <f t="shared" si="2"/>
        <v>330</v>
      </c>
      <c r="H21" s="8">
        <v>120</v>
      </c>
      <c r="I21" s="8" t="s">
        <v>10</v>
      </c>
    </row>
    <row r="22" spans="3:9" ht="14.25" customHeight="1" x14ac:dyDescent="0.25">
      <c r="C22" s="6" t="s">
        <v>266</v>
      </c>
      <c r="D22" s="9" t="s">
        <v>267</v>
      </c>
      <c r="E22" s="6" t="s">
        <v>23</v>
      </c>
      <c r="F22" s="6">
        <v>20</v>
      </c>
      <c r="G22" s="8">
        <f t="shared" si="2"/>
        <v>330</v>
      </c>
      <c r="H22" s="8">
        <v>120</v>
      </c>
      <c r="I22" s="6"/>
    </row>
    <row r="23" spans="3:9" ht="14.25" customHeight="1" x14ac:dyDescent="0.25">
      <c r="C23" s="6" t="s">
        <v>271</v>
      </c>
      <c r="D23" s="9" t="s">
        <v>272</v>
      </c>
      <c r="E23" s="6" t="s">
        <v>103</v>
      </c>
      <c r="F23" s="6">
        <v>20</v>
      </c>
      <c r="G23" s="8">
        <f t="shared" si="2"/>
        <v>330</v>
      </c>
      <c r="H23" s="8">
        <v>120</v>
      </c>
      <c r="I23" s="6" t="s">
        <v>10</v>
      </c>
    </row>
    <row r="24" spans="3:9" ht="14.25" customHeight="1" x14ac:dyDescent="0.25">
      <c r="C24" s="14" t="s">
        <v>66</v>
      </c>
      <c r="D24" s="9" t="s">
        <v>67</v>
      </c>
      <c r="E24" s="6" t="s">
        <v>32</v>
      </c>
      <c r="F24" s="6">
        <v>20</v>
      </c>
      <c r="G24" s="8">
        <f t="shared" si="2"/>
        <v>330</v>
      </c>
      <c r="H24" s="8" t="s">
        <v>10</v>
      </c>
      <c r="I24" s="8" t="s">
        <v>10</v>
      </c>
    </row>
    <row r="25" spans="3:9" ht="14.25" customHeight="1" x14ac:dyDescent="0.25">
      <c r="C25" s="9" t="s">
        <v>303</v>
      </c>
      <c r="D25" s="9" t="s">
        <v>304</v>
      </c>
      <c r="E25" s="6" t="s">
        <v>40</v>
      </c>
      <c r="F25" s="6">
        <v>20</v>
      </c>
      <c r="G25" s="8">
        <f t="shared" si="2"/>
        <v>330</v>
      </c>
      <c r="H25" s="8" t="s">
        <v>10</v>
      </c>
      <c r="I25" s="8" t="s">
        <v>10</v>
      </c>
    </row>
    <row r="26" spans="3:9" ht="14.25" customHeight="1" x14ac:dyDescent="0.25">
      <c r="C26" s="6" t="s">
        <v>224</v>
      </c>
      <c r="D26" s="35" t="s">
        <v>225</v>
      </c>
      <c r="E26" s="6" t="s">
        <v>143</v>
      </c>
      <c r="F26" s="6">
        <v>20</v>
      </c>
      <c r="G26" s="8">
        <f t="shared" si="2"/>
        <v>330</v>
      </c>
      <c r="H26" s="8" t="s">
        <v>10</v>
      </c>
      <c r="I26" s="8" t="s">
        <v>10</v>
      </c>
    </row>
    <row r="27" spans="3:9" ht="14.25" customHeight="1" x14ac:dyDescent="0.25">
      <c r="C27" s="6" t="s">
        <v>70</v>
      </c>
      <c r="D27" s="9" t="s">
        <v>71</v>
      </c>
      <c r="E27" s="6" t="s">
        <v>32</v>
      </c>
      <c r="F27" s="6">
        <v>20</v>
      </c>
      <c r="G27" s="8">
        <f t="shared" si="2"/>
        <v>330</v>
      </c>
      <c r="H27" s="8">
        <v>120</v>
      </c>
      <c r="I27" s="8" t="s">
        <v>10</v>
      </c>
    </row>
    <row r="28" spans="3:9" ht="14.25" customHeight="1" x14ac:dyDescent="0.25">
      <c r="C28" s="9" t="s">
        <v>280</v>
      </c>
      <c r="D28" s="9" t="s">
        <v>281</v>
      </c>
      <c r="E28" s="6" t="s">
        <v>9</v>
      </c>
      <c r="F28" s="6">
        <v>21</v>
      </c>
      <c r="G28" s="8">
        <f t="shared" si="2"/>
        <v>346.5</v>
      </c>
      <c r="H28" s="8">
        <v>120</v>
      </c>
      <c r="I28" s="8" t="s">
        <v>10</v>
      </c>
    </row>
    <row r="29" spans="3:9" ht="14.25" customHeight="1" x14ac:dyDescent="0.25">
      <c r="C29" s="6" t="s">
        <v>72</v>
      </c>
      <c r="D29" s="9" t="s">
        <v>73</v>
      </c>
      <c r="E29" s="6" t="s">
        <v>9</v>
      </c>
      <c r="F29" s="6">
        <v>23</v>
      </c>
      <c r="G29" s="8">
        <f t="shared" si="2"/>
        <v>379.5</v>
      </c>
      <c r="H29" s="8">
        <v>120</v>
      </c>
      <c r="I29" s="8" t="s">
        <v>10</v>
      </c>
    </row>
    <row r="30" spans="3:9" ht="14.25" customHeight="1" x14ac:dyDescent="0.25">
      <c r="C30" s="14" t="s">
        <v>74</v>
      </c>
      <c r="D30" s="9" t="s">
        <v>75</v>
      </c>
      <c r="E30" s="6" t="s">
        <v>143</v>
      </c>
      <c r="F30" s="6">
        <v>20</v>
      </c>
      <c r="G30" s="8">
        <f t="shared" si="2"/>
        <v>330</v>
      </c>
      <c r="H30" s="8">
        <v>120</v>
      </c>
      <c r="I30" s="8" t="s">
        <v>10</v>
      </c>
    </row>
    <row r="31" spans="3:9" ht="14.25" customHeight="1" x14ac:dyDescent="0.25">
      <c r="C31" s="6" t="s">
        <v>237</v>
      </c>
      <c r="D31" s="35" t="s">
        <v>238</v>
      </c>
      <c r="E31" s="6" t="s">
        <v>103</v>
      </c>
      <c r="F31" s="6">
        <v>20</v>
      </c>
      <c r="G31" s="8">
        <f t="shared" si="2"/>
        <v>330</v>
      </c>
      <c r="H31" s="8">
        <v>120</v>
      </c>
      <c r="I31" s="6" t="s">
        <v>10</v>
      </c>
    </row>
    <row r="32" spans="3:9" ht="14.25" customHeight="1" x14ac:dyDescent="0.25">
      <c r="C32" s="6" t="s">
        <v>229</v>
      </c>
      <c r="D32" s="35" t="s">
        <v>230</v>
      </c>
      <c r="E32" s="6" t="s">
        <v>143</v>
      </c>
      <c r="F32" s="6">
        <v>20</v>
      </c>
      <c r="G32" s="8">
        <f t="shared" si="2"/>
        <v>330</v>
      </c>
      <c r="H32" s="8">
        <v>120</v>
      </c>
      <c r="I32" s="8" t="s">
        <v>10</v>
      </c>
    </row>
    <row r="33" spans="3:9" ht="14.25" customHeight="1" x14ac:dyDescent="0.25">
      <c r="C33" s="14" t="s">
        <v>80</v>
      </c>
      <c r="D33" s="9" t="s">
        <v>81</v>
      </c>
      <c r="E33" s="6" t="s">
        <v>16</v>
      </c>
      <c r="F33" s="6">
        <v>20</v>
      </c>
      <c r="G33" s="8">
        <f t="shared" si="2"/>
        <v>330</v>
      </c>
      <c r="H33" s="8">
        <v>120</v>
      </c>
      <c r="I33" s="8" t="s">
        <v>10</v>
      </c>
    </row>
    <row r="34" spans="3:9" ht="14.25" customHeight="1" x14ac:dyDescent="0.25">
      <c r="C34" s="14" t="s">
        <v>84</v>
      </c>
      <c r="D34" s="9" t="s">
        <v>85</v>
      </c>
      <c r="E34" s="6" t="s">
        <v>86</v>
      </c>
      <c r="F34" s="6">
        <v>20</v>
      </c>
      <c r="G34" s="8">
        <f t="shared" si="2"/>
        <v>330</v>
      </c>
      <c r="H34" s="8">
        <v>120</v>
      </c>
      <c r="I34" s="8" t="s">
        <v>10</v>
      </c>
    </row>
    <row r="35" spans="3:9" ht="14.25" customHeight="1" x14ac:dyDescent="0.25">
      <c r="C35" s="9" t="s">
        <v>298</v>
      </c>
      <c r="D35" s="9" t="s">
        <v>299</v>
      </c>
      <c r="E35" s="6" t="s">
        <v>65</v>
      </c>
      <c r="F35" s="6">
        <v>20</v>
      </c>
      <c r="G35" s="8">
        <f t="shared" si="2"/>
        <v>330</v>
      </c>
      <c r="H35" s="8">
        <v>120</v>
      </c>
      <c r="I35" s="8" t="s">
        <v>10</v>
      </c>
    </row>
    <row r="36" spans="3:9" ht="14.25" customHeight="1" x14ac:dyDescent="0.25">
      <c r="C36" s="14" t="s">
        <v>87</v>
      </c>
      <c r="D36" s="9" t="s">
        <v>88</v>
      </c>
      <c r="E36" s="6" t="s">
        <v>23</v>
      </c>
      <c r="F36" s="6">
        <v>20</v>
      </c>
      <c r="G36" s="8">
        <f t="shared" si="2"/>
        <v>330</v>
      </c>
      <c r="H36" s="8" t="s">
        <v>10</v>
      </c>
      <c r="I36" s="8" t="s">
        <v>10</v>
      </c>
    </row>
    <row r="37" spans="3:9" ht="14.25" customHeight="1" x14ac:dyDescent="0.25">
      <c r="C37" s="14" t="s">
        <v>89</v>
      </c>
      <c r="D37" s="9" t="s">
        <v>90</v>
      </c>
      <c r="E37" s="6" t="s">
        <v>35</v>
      </c>
      <c r="F37" s="6">
        <v>20</v>
      </c>
      <c r="G37" s="8">
        <f t="shared" si="2"/>
        <v>330</v>
      </c>
      <c r="H37" s="8" t="s">
        <v>10</v>
      </c>
      <c r="I37" s="8" t="s">
        <v>10</v>
      </c>
    </row>
    <row r="38" spans="3:9" ht="14.25" customHeight="1" x14ac:dyDescent="0.25">
      <c r="C38" s="14" t="s">
        <v>91</v>
      </c>
      <c r="D38" s="9" t="s">
        <v>92</v>
      </c>
      <c r="E38" s="6" t="s">
        <v>35</v>
      </c>
      <c r="F38" s="6">
        <v>20</v>
      </c>
      <c r="G38" s="8">
        <f t="shared" si="2"/>
        <v>330</v>
      </c>
      <c r="H38" s="8">
        <v>120</v>
      </c>
      <c r="I38" s="8" t="s">
        <v>10</v>
      </c>
    </row>
    <row r="39" spans="3:9" ht="14.25" customHeight="1" x14ac:dyDescent="0.25">
      <c r="C39" s="15" t="s">
        <v>93</v>
      </c>
      <c r="D39" s="7" t="s">
        <v>94</v>
      </c>
      <c r="E39" s="6" t="s">
        <v>52</v>
      </c>
      <c r="F39" s="6">
        <v>20</v>
      </c>
      <c r="G39" s="8">
        <f t="shared" si="2"/>
        <v>330</v>
      </c>
      <c r="H39" s="8" t="s">
        <v>10</v>
      </c>
      <c r="I39" s="8" t="s">
        <v>10</v>
      </c>
    </row>
    <row r="40" spans="3:9" ht="14.25" customHeight="1" x14ac:dyDescent="0.25">
      <c r="C40" s="14" t="s">
        <v>95</v>
      </c>
      <c r="D40" s="9" t="s">
        <v>96</v>
      </c>
      <c r="E40" s="6" t="s">
        <v>47</v>
      </c>
      <c r="F40" s="6">
        <v>20</v>
      </c>
      <c r="G40" s="8">
        <f t="shared" si="2"/>
        <v>330</v>
      </c>
      <c r="H40" s="8">
        <v>120</v>
      </c>
      <c r="I40" s="8" t="s">
        <v>10</v>
      </c>
    </row>
    <row r="41" spans="3:9" ht="14.25" customHeight="1" x14ac:dyDescent="0.25">
      <c r="C41" s="14" t="s">
        <v>97</v>
      </c>
      <c r="D41" s="9" t="s">
        <v>98</v>
      </c>
      <c r="E41" s="6" t="s">
        <v>86</v>
      </c>
      <c r="F41" s="6">
        <v>20</v>
      </c>
      <c r="G41" s="8">
        <f t="shared" si="2"/>
        <v>330</v>
      </c>
      <c r="H41" s="8">
        <v>120</v>
      </c>
      <c r="I41" s="8" t="s">
        <v>10</v>
      </c>
    </row>
    <row r="42" spans="3:9" ht="14.25" customHeight="1" x14ac:dyDescent="0.25">
      <c r="C42" s="6" t="s">
        <v>99</v>
      </c>
      <c r="D42" s="9" t="s">
        <v>100</v>
      </c>
      <c r="E42" s="6" t="s">
        <v>13</v>
      </c>
      <c r="F42" s="6">
        <v>20</v>
      </c>
      <c r="G42" s="8">
        <f t="shared" si="2"/>
        <v>330</v>
      </c>
      <c r="H42" s="8">
        <v>120</v>
      </c>
      <c r="I42" s="8" t="s">
        <v>10</v>
      </c>
    </row>
    <row r="43" spans="3:9" ht="14.25" customHeight="1" x14ac:dyDescent="0.25">
      <c r="C43" s="6" t="s">
        <v>273</v>
      </c>
      <c r="D43" s="35" t="s">
        <v>274</v>
      </c>
      <c r="E43" s="6" t="s">
        <v>35</v>
      </c>
      <c r="F43" s="6">
        <v>20</v>
      </c>
      <c r="G43" s="8">
        <f t="shared" si="2"/>
        <v>330</v>
      </c>
      <c r="H43" s="8">
        <v>120</v>
      </c>
      <c r="I43" s="8"/>
    </row>
    <row r="44" spans="3:9" ht="14.25" customHeight="1" x14ac:dyDescent="0.25">
      <c r="C44" s="6" t="s">
        <v>227</v>
      </c>
      <c r="D44" s="35" t="s">
        <v>228</v>
      </c>
      <c r="E44" s="6" t="s">
        <v>65</v>
      </c>
      <c r="F44" s="6">
        <v>20</v>
      </c>
      <c r="G44" s="8">
        <f t="shared" si="2"/>
        <v>330</v>
      </c>
      <c r="H44" s="8">
        <v>120</v>
      </c>
      <c r="I44" s="8" t="s">
        <v>10</v>
      </c>
    </row>
    <row r="45" spans="3:9" ht="14.25" customHeight="1" x14ac:dyDescent="0.25">
      <c r="C45" s="14" t="s">
        <v>106</v>
      </c>
      <c r="D45" s="9" t="s">
        <v>107</v>
      </c>
      <c r="E45" s="6" t="s">
        <v>47</v>
      </c>
      <c r="F45" s="6">
        <v>20</v>
      </c>
      <c r="G45" s="8">
        <f t="shared" si="2"/>
        <v>330</v>
      </c>
      <c r="H45" s="8">
        <v>120</v>
      </c>
      <c r="I45" s="8" t="s">
        <v>10</v>
      </c>
    </row>
    <row r="46" spans="3:9" ht="14.25" customHeight="1" x14ac:dyDescent="0.25">
      <c r="C46" s="14" t="s">
        <v>108</v>
      </c>
      <c r="D46" s="9" t="s">
        <v>109</v>
      </c>
      <c r="E46" s="6" t="s">
        <v>23</v>
      </c>
      <c r="F46" s="6">
        <v>20</v>
      </c>
      <c r="G46" s="8">
        <f t="shared" si="2"/>
        <v>330</v>
      </c>
      <c r="H46" s="8">
        <v>120</v>
      </c>
      <c r="I46" s="8" t="s">
        <v>10</v>
      </c>
    </row>
    <row r="47" spans="3:9" ht="14.25" customHeight="1" x14ac:dyDescent="0.25">
      <c r="C47" s="9" t="s">
        <v>277</v>
      </c>
      <c r="D47" s="9" t="s">
        <v>278</v>
      </c>
      <c r="E47" s="6" t="s">
        <v>9</v>
      </c>
      <c r="F47" s="6">
        <v>23</v>
      </c>
      <c r="G47" s="8">
        <f t="shared" si="2"/>
        <v>379.5</v>
      </c>
      <c r="H47" s="8">
        <v>120</v>
      </c>
      <c r="I47" s="8" t="s">
        <v>10</v>
      </c>
    </row>
    <row r="48" spans="3:9" ht="14.25" customHeight="1" x14ac:dyDescent="0.25">
      <c r="C48" s="14" t="s">
        <v>112</v>
      </c>
      <c r="D48" s="9" t="s">
        <v>113</v>
      </c>
      <c r="E48" s="6" t="s">
        <v>52</v>
      </c>
      <c r="F48" s="6">
        <v>20</v>
      </c>
      <c r="G48" s="8">
        <f t="shared" si="2"/>
        <v>330</v>
      </c>
      <c r="H48" s="8">
        <v>120</v>
      </c>
      <c r="I48" s="8" t="s">
        <v>10</v>
      </c>
    </row>
    <row r="49" spans="3:9" ht="14.25" customHeight="1" x14ac:dyDescent="0.25">
      <c r="C49" s="6" t="s">
        <v>239</v>
      </c>
      <c r="D49" s="35" t="s">
        <v>240</v>
      </c>
      <c r="E49" s="6" t="s">
        <v>143</v>
      </c>
      <c r="F49" s="6">
        <v>20</v>
      </c>
      <c r="G49" s="8">
        <f t="shared" si="2"/>
        <v>330</v>
      </c>
      <c r="H49" s="8" t="s">
        <v>10</v>
      </c>
      <c r="I49" s="8" t="s">
        <v>10</v>
      </c>
    </row>
    <row r="50" spans="3:9" ht="14.25" customHeight="1" x14ac:dyDescent="0.25">
      <c r="C50" s="14" t="s">
        <v>114</v>
      </c>
      <c r="D50" s="9" t="s">
        <v>115</v>
      </c>
      <c r="E50" s="6" t="s">
        <v>143</v>
      </c>
      <c r="F50" s="6">
        <v>20</v>
      </c>
      <c r="G50" s="8">
        <f t="shared" si="2"/>
        <v>330</v>
      </c>
      <c r="H50" s="8">
        <v>120</v>
      </c>
      <c r="I50" s="8" t="s">
        <v>10</v>
      </c>
    </row>
    <row r="51" spans="3:9" ht="14.25" customHeight="1" x14ac:dyDescent="0.25">
      <c r="C51" s="6" t="s">
        <v>116</v>
      </c>
      <c r="D51" s="9" t="s">
        <v>117</v>
      </c>
      <c r="E51" s="16" t="s">
        <v>23</v>
      </c>
      <c r="F51" s="6">
        <v>20</v>
      </c>
      <c r="G51" s="8">
        <f t="shared" si="2"/>
        <v>330</v>
      </c>
      <c r="H51" s="8">
        <v>120</v>
      </c>
      <c r="I51" s="8" t="s">
        <v>10</v>
      </c>
    </row>
    <row r="52" spans="3:9" ht="14.25" customHeight="1" x14ac:dyDescent="0.25">
      <c r="C52" s="14" t="s">
        <v>118</v>
      </c>
      <c r="D52" s="9" t="s">
        <v>119</v>
      </c>
      <c r="E52" s="6" t="s">
        <v>9</v>
      </c>
      <c r="F52" s="6">
        <v>24</v>
      </c>
      <c r="G52" s="8">
        <f t="shared" si="2"/>
        <v>396</v>
      </c>
      <c r="H52" s="8">
        <v>120</v>
      </c>
      <c r="I52" s="8" t="s">
        <v>10</v>
      </c>
    </row>
    <row r="53" spans="3:9" ht="14.25" customHeight="1" x14ac:dyDescent="0.25">
      <c r="C53" s="6" t="s">
        <v>120</v>
      </c>
      <c r="D53" s="9" t="s">
        <v>121</v>
      </c>
      <c r="E53" s="6" t="s">
        <v>52</v>
      </c>
      <c r="F53" s="6">
        <v>20</v>
      </c>
      <c r="G53" s="8">
        <f t="shared" si="2"/>
        <v>330</v>
      </c>
      <c r="H53" s="8">
        <v>120</v>
      </c>
      <c r="I53" s="8" t="s">
        <v>10</v>
      </c>
    </row>
    <row r="54" spans="3:9" ht="14.25" customHeight="1" x14ac:dyDescent="0.25">
      <c r="C54" s="14" t="s">
        <v>122</v>
      </c>
      <c r="D54" s="9" t="s">
        <v>123</v>
      </c>
      <c r="E54" s="6" t="s">
        <v>143</v>
      </c>
      <c r="F54" s="6">
        <v>20</v>
      </c>
      <c r="G54" s="8">
        <f t="shared" si="2"/>
        <v>330</v>
      </c>
      <c r="H54" s="8">
        <v>120</v>
      </c>
      <c r="I54" s="8" t="s">
        <v>10</v>
      </c>
    </row>
    <row r="55" spans="3:9" ht="14.25" customHeight="1" x14ac:dyDescent="0.25">
      <c r="C55" s="9" t="s">
        <v>306</v>
      </c>
      <c r="D55" s="9" t="s">
        <v>307</v>
      </c>
      <c r="E55" s="6" t="s">
        <v>40</v>
      </c>
      <c r="F55" s="6">
        <v>20</v>
      </c>
      <c r="G55" s="8">
        <f t="shared" si="2"/>
        <v>330</v>
      </c>
      <c r="H55" s="8">
        <v>120</v>
      </c>
      <c r="I55" s="8" t="s">
        <v>10</v>
      </c>
    </row>
    <row r="56" spans="3:9" ht="14.25" customHeight="1" x14ac:dyDescent="0.25">
      <c r="C56" s="14" t="s">
        <v>124</v>
      </c>
      <c r="D56" s="9" t="s">
        <v>125</v>
      </c>
      <c r="E56" s="6" t="s">
        <v>86</v>
      </c>
      <c r="F56" s="6">
        <v>20</v>
      </c>
      <c r="G56" s="8">
        <f t="shared" si="2"/>
        <v>330</v>
      </c>
      <c r="H56" s="8">
        <v>120</v>
      </c>
      <c r="I56" s="8" t="s">
        <v>10</v>
      </c>
    </row>
    <row r="57" spans="3:9" ht="14.25" customHeight="1" x14ac:dyDescent="0.25">
      <c r="C57" s="14" t="s">
        <v>126</v>
      </c>
      <c r="D57" s="9" t="s">
        <v>127</v>
      </c>
      <c r="E57" s="6" t="s">
        <v>29</v>
      </c>
      <c r="F57" s="6">
        <v>20</v>
      </c>
      <c r="G57" s="8">
        <f t="shared" si="2"/>
        <v>330</v>
      </c>
      <c r="H57" s="8">
        <v>120</v>
      </c>
      <c r="I57" s="8" t="s">
        <v>10</v>
      </c>
    </row>
    <row r="58" spans="3:9" ht="14.25" customHeight="1" x14ac:dyDescent="0.25">
      <c r="C58" s="12">
        <v>4912836443</v>
      </c>
      <c r="D58" s="9" t="s">
        <v>128</v>
      </c>
      <c r="E58" s="6" t="s">
        <v>86</v>
      </c>
      <c r="F58" s="6">
        <v>20</v>
      </c>
      <c r="G58" s="8">
        <f t="shared" si="2"/>
        <v>330</v>
      </c>
      <c r="H58" s="8">
        <v>120</v>
      </c>
      <c r="I58" s="8" t="s">
        <v>10</v>
      </c>
    </row>
    <row r="59" spans="3:9" ht="14.25" customHeight="1" x14ac:dyDescent="0.25">
      <c r="C59" s="6" t="s">
        <v>242</v>
      </c>
      <c r="D59" s="35" t="s">
        <v>243</v>
      </c>
      <c r="E59" s="6" t="s">
        <v>40</v>
      </c>
      <c r="F59" s="6">
        <v>20</v>
      </c>
      <c r="G59" s="8">
        <f t="shared" si="2"/>
        <v>330</v>
      </c>
      <c r="H59" s="8">
        <v>120</v>
      </c>
      <c r="I59" s="6" t="s">
        <v>10</v>
      </c>
    </row>
    <row r="60" spans="3:9" ht="14.25" customHeight="1" x14ac:dyDescent="0.25">
      <c r="C60" s="17" t="s">
        <v>129</v>
      </c>
      <c r="D60" s="13" t="s">
        <v>130</v>
      </c>
      <c r="E60" s="6" t="s">
        <v>16</v>
      </c>
      <c r="F60" s="6">
        <v>20</v>
      </c>
      <c r="G60" s="8">
        <f t="shared" si="2"/>
        <v>330</v>
      </c>
      <c r="H60" s="8">
        <v>120</v>
      </c>
      <c r="I60" s="8" t="s">
        <v>10</v>
      </c>
    </row>
    <row r="61" spans="3:9" ht="14.25" customHeight="1" x14ac:dyDescent="0.25">
      <c r="C61" s="9" t="s">
        <v>293</v>
      </c>
      <c r="D61" s="9" t="s">
        <v>294</v>
      </c>
      <c r="E61" s="6" t="s">
        <v>65</v>
      </c>
      <c r="F61" s="6">
        <v>20</v>
      </c>
      <c r="G61" s="8">
        <f t="shared" si="2"/>
        <v>330</v>
      </c>
      <c r="H61" s="8">
        <v>120</v>
      </c>
      <c r="I61" s="8" t="s">
        <v>10</v>
      </c>
    </row>
    <row r="62" spans="3:9" ht="14.25" customHeight="1" x14ac:dyDescent="0.25">
      <c r="C62" s="14" t="s">
        <v>131</v>
      </c>
      <c r="D62" s="9" t="s">
        <v>132</v>
      </c>
      <c r="E62" s="6" t="s">
        <v>143</v>
      </c>
      <c r="F62" s="6">
        <v>20</v>
      </c>
      <c r="G62" s="8">
        <f t="shared" si="2"/>
        <v>330</v>
      </c>
      <c r="H62" s="8">
        <v>120</v>
      </c>
      <c r="I62" s="8" t="s">
        <v>10</v>
      </c>
    </row>
    <row r="63" spans="3:9" ht="14.25" customHeight="1" x14ac:dyDescent="0.25">
      <c r="C63" s="14" t="s">
        <v>135</v>
      </c>
      <c r="D63" s="9" t="s">
        <v>136</v>
      </c>
      <c r="E63" s="6" t="s">
        <v>9</v>
      </c>
      <c r="F63" s="6">
        <v>23</v>
      </c>
      <c r="G63" s="8">
        <f t="shared" si="2"/>
        <v>379.5</v>
      </c>
      <c r="H63" s="8">
        <v>120</v>
      </c>
      <c r="I63" s="8" t="s">
        <v>10</v>
      </c>
    </row>
    <row r="64" spans="3:9" ht="14.25" customHeight="1" x14ac:dyDescent="0.25">
      <c r="C64" s="14" t="s">
        <v>137</v>
      </c>
      <c r="D64" s="9" t="s">
        <v>138</v>
      </c>
      <c r="E64" s="6" t="s">
        <v>29</v>
      </c>
      <c r="F64" s="6">
        <v>20</v>
      </c>
      <c r="G64" s="8">
        <f t="shared" si="2"/>
        <v>330</v>
      </c>
      <c r="H64" s="8">
        <v>120</v>
      </c>
      <c r="I64" s="8" t="s">
        <v>10</v>
      </c>
    </row>
    <row r="65" spans="3:9" ht="14.25" customHeight="1" x14ac:dyDescent="0.25">
      <c r="C65" s="23" t="s">
        <v>139</v>
      </c>
      <c r="D65" s="9" t="s">
        <v>140</v>
      </c>
      <c r="E65" s="6" t="s">
        <v>29</v>
      </c>
      <c r="F65" s="6">
        <v>20</v>
      </c>
      <c r="G65" s="8">
        <f t="shared" si="2"/>
        <v>330</v>
      </c>
      <c r="H65" s="8">
        <v>120</v>
      </c>
      <c r="I65" s="8" t="s">
        <v>10</v>
      </c>
    </row>
    <row r="66" spans="3:9" ht="14.25" customHeight="1" x14ac:dyDescent="0.25">
      <c r="C66" s="6" t="s">
        <v>141</v>
      </c>
      <c r="D66" s="9" t="s">
        <v>142</v>
      </c>
      <c r="E66" s="6" t="s">
        <v>143</v>
      </c>
      <c r="F66" s="6">
        <v>20</v>
      </c>
      <c r="G66" s="8">
        <f t="shared" si="2"/>
        <v>330</v>
      </c>
      <c r="H66" s="8">
        <v>120</v>
      </c>
      <c r="I66" s="8" t="s">
        <v>10</v>
      </c>
    </row>
    <row r="67" spans="3:9" ht="14.25" customHeight="1" x14ac:dyDescent="0.25">
      <c r="C67" s="6" t="s">
        <v>144</v>
      </c>
      <c r="D67" s="9" t="s">
        <v>145</v>
      </c>
      <c r="E67" s="6" t="s">
        <v>143</v>
      </c>
      <c r="F67" s="6">
        <v>20</v>
      </c>
      <c r="G67" s="8">
        <f t="shared" si="2"/>
        <v>330</v>
      </c>
      <c r="H67" s="8">
        <v>120</v>
      </c>
      <c r="I67" s="8" t="s">
        <v>10</v>
      </c>
    </row>
    <row r="68" spans="3:9" ht="14.25" customHeight="1" x14ac:dyDescent="0.25">
      <c r="C68" s="9" t="s">
        <v>285</v>
      </c>
      <c r="D68" s="9" t="s">
        <v>286</v>
      </c>
      <c r="E68" s="6" t="s">
        <v>29</v>
      </c>
      <c r="F68" s="6">
        <v>20</v>
      </c>
      <c r="G68" s="8">
        <f t="shared" si="2"/>
        <v>330</v>
      </c>
      <c r="H68" s="8">
        <v>120</v>
      </c>
      <c r="I68" s="8" t="s">
        <v>10</v>
      </c>
    </row>
    <row r="69" spans="3:9" ht="14.25" customHeight="1" x14ac:dyDescent="0.25">
      <c r="C69" s="14" t="s">
        <v>146</v>
      </c>
      <c r="D69" s="9" t="s">
        <v>147</v>
      </c>
      <c r="E69" s="6" t="s">
        <v>52</v>
      </c>
      <c r="F69" s="6">
        <v>20</v>
      </c>
      <c r="G69" s="8">
        <f t="shared" si="2"/>
        <v>330</v>
      </c>
      <c r="H69" s="8">
        <v>120</v>
      </c>
      <c r="I69" s="8" t="s">
        <v>10</v>
      </c>
    </row>
    <row r="70" spans="3:9" ht="14.25" customHeight="1" x14ac:dyDescent="0.25">
      <c r="C70" s="14" t="s">
        <v>148</v>
      </c>
      <c r="D70" s="9" t="s">
        <v>149</v>
      </c>
      <c r="E70" s="6" t="s">
        <v>103</v>
      </c>
      <c r="F70" s="6">
        <v>20</v>
      </c>
      <c r="G70" s="8">
        <f t="shared" si="2"/>
        <v>330</v>
      </c>
      <c r="H70" s="8">
        <v>120</v>
      </c>
      <c r="I70" s="8" t="s">
        <v>10</v>
      </c>
    </row>
    <row r="71" spans="3:9" ht="14.25" customHeight="1" x14ac:dyDescent="0.25">
      <c r="C71" s="6" t="s">
        <v>150</v>
      </c>
      <c r="D71" s="9" t="s">
        <v>151</v>
      </c>
      <c r="E71" s="6" t="s">
        <v>32</v>
      </c>
      <c r="F71" s="6">
        <v>20</v>
      </c>
      <c r="G71" s="8">
        <f t="shared" si="2"/>
        <v>330</v>
      </c>
      <c r="H71" s="8">
        <v>120</v>
      </c>
      <c r="I71" s="8" t="s">
        <v>10</v>
      </c>
    </row>
    <row r="72" spans="3:9" ht="14.25" customHeight="1" x14ac:dyDescent="0.25">
      <c r="C72" s="6" t="s">
        <v>152</v>
      </c>
      <c r="D72" s="9" t="s">
        <v>153</v>
      </c>
      <c r="E72" s="6" t="s">
        <v>13</v>
      </c>
      <c r="F72" s="6">
        <v>20</v>
      </c>
      <c r="G72" s="8">
        <f t="shared" si="2"/>
        <v>330</v>
      </c>
      <c r="H72" s="8">
        <v>120</v>
      </c>
      <c r="I72" s="8" t="s">
        <v>10</v>
      </c>
    </row>
    <row r="73" spans="3:9" ht="14.25" customHeight="1" x14ac:dyDescent="0.25">
      <c r="C73" s="6" t="s">
        <v>156</v>
      </c>
      <c r="D73" s="9" t="s">
        <v>157</v>
      </c>
      <c r="E73" s="6" t="s">
        <v>16</v>
      </c>
      <c r="F73" s="6">
        <v>20</v>
      </c>
      <c r="G73" s="8">
        <f t="shared" si="2"/>
        <v>330</v>
      </c>
      <c r="H73" s="8">
        <v>120</v>
      </c>
      <c r="I73" s="8" t="s">
        <v>10</v>
      </c>
    </row>
    <row r="74" spans="3:9" ht="14.25" customHeight="1" x14ac:dyDescent="0.25">
      <c r="C74" s="14" t="s">
        <v>158</v>
      </c>
      <c r="D74" s="9" t="s">
        <v>159</v>
      </c>
      <c r="E74" s="6" t="s">
        <v>29</v>
      </c>
      <c r="F74" s="6" t="s">
        <v>10</v>
      </c>
      <c r="G74" s="8" t="s">
        <v>10</v>
      </c>
      <c r="H74" s="8" t="s">
        <v>10</v>
      </c>
      <c r="I74" s="8" t="s">
        <v>10</v>
      </c>
    </row>
    <row r="75" spans="3:9" ht="14.25" customHeight="1" x14ac:dyDescent="0.25">
      <c r="C75" s="6" t="s">
        <v>160</v>
      </c>
      <c r="D75" s="9" t="s">
        <v>161</v>
      </c>
      <c r="E75" s="6" t="s">
        <v>9</v>
      </c>
      <c r="F75" s="6">
        <v>24</v>
      </c>
      <c r="G75" s="8">
        <f t="shared" ref="G75:G106" si="3">F75*16.5</f>
        <v>396</v>
      </c>
      <c r="H75" s="8">
        <v>120</v>
      </c>
      <c r="I75" s="8" t="s">
        <v>10</v>
      </c>
    </row>
    <row r="76" spans="3:9" ht="14.25" customHeight="1" x14ac:dyDescent="0.25">
      <c r="C76" s="14" t="s">
        <v>162</v>
      </c>
      <c r="D76" s="9" t="s">
        <v>163</v>
      </c>
      <c r="E76" s="6" t="s">
        <v>103</v>
      </c>
      <c r="F76" s="6">
        <v>20</v>
      </c>
      <c r="G76" s="8">
        <f t="shared" si="3"/>
        <v>330</v>
      </c>
      <c r="H76" s="8" t="s">
        <v>10</v>
      </c>
      <c r="I76" s="8" t="s">
        <v>10</v>
      </c>
    </row>
    <row r="77" spans="3:9" ht="14.25" customHeight="1" x14ac:dyDescent="0.25">
      <c r="C77" s="14" t="s">
        <v>164</v>
      </c>
      <c r="D77" s="9" t="s">
        <v>165</v>
      </c>
      <c r="E77" s="6" t="s">
        <v>29</v>
      </c>
      <c r="F77" s="6">
        <v>20</v>
      </c>
      <c r="G77" s="8">
        <f t="shared" si="3"/>
        <v>330</v>
      </c>
      <c r="H77" s="8">
        <v>120</v>
      </c>
      <c r="I77" s="8" t="s">
        <v>10</v>
      </c>
    </row>
    <row r="78" spans="3:9" ht="14.25" customHeight="1" x14ac:dyDescent="0.25">
      <c r="C78" s="9" t="s">
        <v>290</v>
      </c>
      <c r="D78" s="9" t="s">
        <v>291</v>
      </c>
      <c r="E78" s="6" t="s">
        <v>32</v>
      </c>
      <c r="F78" s="6">
        <v>20</v>
      </c>
      <c r="G78" s="8">
        <f t="shared" si="3"/>
        <v>330</v>
      </c>
      <c r="H78" s="8">
        <v>120</v>
      </c>
      <c r="I78" s="8" t="s">
        <v>10</v>
      </c>
    </row>
    <row r="79" spans="3:9" ht="14.25" customHeight="1" x14ac:dyDescent="0.25">
      <c r="C79" s="6" t="s">
        <v>221</v>
      </c>
      <c r="D79" s="35" t="s">
        <v>222</v>
      </c>
      <c r="E79" s="6" t="s">
        <v>32</v>
      </c>
      <c r="F79" s="6">
        <v>20</v>
      </c>
      <c r="G79" s="8">
        <f t="shared" si="3"/>
        <v>330</v>
      </c>
      <c r="H79" s="8" t="s">
        <v>10</v>
      </c>
      <c r="I79" s="8" t="s">
        <v>10</v>
      </c>
    </row>
    <row r="80" spans="3:9" ht="14.25" customHeight="1" x14ac:dyDescent="0.25">
      <c r="C80" s="6" t="s">
        <v>260</v>
      </c>
      <c r="D80" s="9" t="s">
        <v>261</v>
      </c>
      <c r="E80" s="6" t="s">
        <v>23</v>
      </c>
      <c r="F80" s="6">
        <v>20</v>
      </c>
      <c r="G80" s="8">
        <f t="shared" si="3"/>
        <v>330</v>
      </c>
      <c r="H80" s="8">
        <v>120</v>
      </c>
      <c r="I80" s="6" t="s">
        <v>10</v>
      </c>
    </row>
    <row r="81" spans="3:9" ht="14.25" customHeight="1" x14ac:dyDescent="0.25">
      <c r="C81" s="6" t="s">
        <v>262</v>
      </c>
      <c r="D81" s="9" t="s">
        <v>263</v>
      </c>
      <c r="E81" s="6" t="s">
        <v>23</v>
      </c>
      <c r="F81" s="6">
        <v>20</v>
      </c>
      <c r="G81" s="8">
        <f t="shared" si="3"/>
        <v>330</v>
      </c>
      <c r="H81" s="8">
        <v>120</v>
      </c>
      <c r="I81" s="6" t="s">
        <v>10</v>
      </c>
    </row>
    <row r="82" spans="3:9" ht="14.25" customHeight="1" x14ac:dyDescent="0.25">
      <c r="C82" s="6" t="s">
        <v>170</v>
      </c>
      <c r="D82" s="9" t="s">
        <v>171</v>
      </c>
      <c r="E82" s="6" t="s">
        <v>52</v>
      </c>
      <c r="F82" s="6">
        <v>20</v>
      </c>
      <c r="G82" s="8">
        <f t="shared" si="3"/>
        <v>330</v>
      </c>
      <c r="H82" s="8">
        <v>120</v>
      </c>
      <c r="I82" s="8" t="s">
        <v>10</v>
      </c>
    </row>
    <row r="83" spans="3:9" ht="14.25" customHeight="1" x14ac:dyDescent="0.25">
      <c r="C83" s="14" t="s">
        <v>172</v>
      </c>
      <c r="D83" s="9" t="s">
        <v>173</v>
      </c>
      <c r="E83" s="6" t="s">
        <v>174</v>
      </c>
      <c r="F83" s="6">
        <v>20</v>
      </c>
      <c r="G83" s="8">
        <f t="shared" si="3"/>
        <v>330</v>
      </c>
      <c r="H83" s="8">
        <v>120</v>
      </c>
      <c r="I83" s="8" t="s">
        <v>10</v>
      </c>
    </row>
    <row r="84" spans="3:9" ht="14.25" customHeight="1" x14ac:dyDescent="0.25">
      <c r="C84" s="14" t="s">
        <v>175</v>
      </c>
      <c r="D84" s="9" t="s">
        <v>176</v>
      </c>
      <c r="E84" s="6" t="s">
        <v>9</v>
      </c>
      <c r="F84" s="6">
        <v>23</v>
      </c>
      <c r="G84" s="8">
        <f t="shared" si="3"/>
        <v>379.5</v>
      </c>
      <c r="H84" s="8">
        <v>120</v>
      </c>
      <c r="I84" s="8" t="s">
        <v>10</v>
      </c>
    </row>
    <row r="85" spans="3:9" ht="14.25" customHeight="1" x14ac:dyDescent="0.25">
      <c r="C85" s="14" t="s">
        <v>177</v>
      </c>
      <c r="D85" s="9" t="s">
        <v>178</v>
      </c>
      <c r="E85" s="6" t="s">
        <v>9</v>
      </c>
      <c r="F85" s="6">
        <v>23</v>
      </c>
      <c r="G85" s="8">
        <f t="shared" si="3"/>
        <v>379.5</v>
      </c>
      <c r="H85" s="8">
        <v>120</v>
      </c>
      <c r="I85" s="8" t="s">
        <v>10</v>
      </c>
    </row>
    <row r="86" spans="3:9" ht="14.25" customHeight="1" x14ac:dyDescent="0.25">
      <c r="C86" s="6" t="s">
        <v>181</v>
      </c>
      <c r="D86" s="9" t="s">
        <v>182</v>
      </c>
      <c r="E86" s="6" t="s">
        <v>23</v>
      </c>
      <c r="F86" s="6">
        <v>20</v>
      </c>
      <c r="G86" s="8">
        <f t="shared" si="3"/>
        <v>330</v>
      </c>
      <c r="H86" s="8">
        <v>120</v>
      </c>
      <c r="I86" s="8" t="s">
        <v>10</v>
      </c>
    </row>
    <row r="87" spans="3:9" ht="14.25" customHeight="1" x14ac:dyDescent="0.25">
      <c r="C87" s="6" t="s">
        <v>183</v>
      </c>
      <c r="D87" s="9" t="s">
        <v>184</v>
      </c>
      <c r="E87" s="6" t="s">
        <v>32</v>
      </c>
      <c r="F87" s="6">
        <v>20</v>
      </c>
      <c r="G87" s="8">
        <f t="shared" si="3"/>
        <v>330</v>
      </c>
      <c r="H87" s="8">
        <v>120</v>
      </c>
      <c r="I87" s="8" t="s">
        <v>10</v>
      </c>
    </row>
    <row r="88" spans="3:9" ht="14.25" customHeight="1" x14ac:dyDescent="0.25">
      <c r="C88" s="14" t="s">
        <v>187</v>
      </c>
      <c r="D88" s="9" t="s">
        <v>188</v>
      </c>
      <c r="E88" s="6" t="s">
        <v>29</v>
      </c>
      <c r="F88" s="6">
        <v>20</v>
      </c>
      <c r="G88" s="8">
        <f t="shared" si="3"/>
        <v>330</v>
      </c>
      <c r="H88" s="8" t="s">
        <v>10</v>
      </c>
      <c r="I88" s="8" t="s">
        <v>10</v>
      </c>
    </row>
    <row r="89" spans="3:9" ht="14.25" customHeight="1" x14ac:dyDescent="0.25">
      <c r="C89" s="14" t="s">
        <v>189</v>
      </c>
      <c r="D89" s="9" t="s">
        <v>190</v>
      </c>
      <c r="E89" s="6" t="s">
        <v>16</v>
      </c>
      <c r="F89" s="6">
        <v>20</v>
      </c>
      <c r="G89" s="8">
        <f t="shared" si="3"/>
        <v>330</v>
      </c>
      <c r="H89" s="8">
        <v>120</v>
      </c>
      <c r="I89" s="8" t="s">
        <v>10</v>
      </c>
    </row>
    <row r="90" spans="3:9" ht="14.25" customHeight="1" x14ac:dyDescent="0.25">
      <c r="C90" s="14" t="s">
        <v>191</v>
      </c>
      <c r="D90" s="9" t="s">
        <v>192</v>
      </c>
      <c r="E90" s="6" t="s">
        <v>47</v>
      </c>
      <c r="F90" s="6">
        <v>20</v>
      </c>
      <c r="G90" s="8">
        <f t="shared" si="3"/>
        <v>330</v>
      </c>
      <c r="H90" s="8">
        <v>120</v>
      </c>
      <c r="I90" s="8" t="s">
        <v>10</v>
      </c>
    </row>
    <row r="91" spans="3:9" ht="14.25" customHeight="1" x14ac:dyDescent="0.25">
      <c r="C91" s="14" t="s">
        <v>193</v>
      </c>
      <c r="D91" s="9" t="s">
        <v>194</v>
      </c>
      <c r="E91" s="6" t="s">
        <v>52</v>
      </c>
      <c r="F91" s="6">
        <v>20</v>
      </c>
      <c r="G91" s="8">
        <f t="shared" si="3"/>
        <v>330</v>
      </c>
      <c r="H91" s="8" t="s">
        <v>10</v>
      </c>
      <c r="I91" s="8" t="s">
        <v>10</v>
      </c>
    </row>
    <row r="92" spans="3:9" ht="14.25" customHeight="1" x14ac:dyDescent="0.25">
      <c r="C92" s="14" t="s">
        <v>195</v>
      </c>
      <c r="D92" s="9" t="s">
        <v>196</v>
      </c>
      <c r="E92" s="6" t="s">
        <v>9</v>
      </c>
      <c r="F92" s="6">
        <v>24</v>
      </c>
      <c r="G92" s="8">
        <f t="shared" si="3"/>
        <v>396</v>
      </c>
      <c r="H92" s="8">
        <v>120</v>
      </c>
      <c r="I92" s="8" t="s">
        <v>10</v>
      </c>
    </row>
    <row r="93" spans="3:9" ht="14.25" customHeight="1" x14ac:dyDescent="0.25">
      <c r="C93" s="6" t="s">
        <v>197</v>
      </c>
      <c r="D93" s="9" t="s">
        <v>198</v>
      </c>
      <c r="E93" s="6" t="s">
        <v>52</v>
      </c>
      <c r="F93" s="6">
        <v>20</v>
      </c>
      <c r="G93" s="8">
        <f t="shared" si="3"/>
        <v>330</v>
      </c>
      <c r="H93" s="8">
        <v>120</v>
      </c>
      <c r="I93" s="8" t="s">
        <v>10</v>
      </c>
    </row>
    <row r="94" spans="3:9" ht="14.25" customHeight="1" x14ac:dyDescent="0.25">
      <c r="C94" s="6" t="s">
        <v>252</v>
      </c>
      <c r="D94" s="9" t="s">
        <v>253</v>
      </c>
      <c r="E94" s="6" t="s">
        <v>103</v>
      </c>
      <c r="F94" s="6">
        <v>20</v>
      </c>
      <c r="G94" s="8">
        <f t="shared" si="3"/>
        <v>330</v>
      </c>
      <c r="H94" s="8">
        <v>120</v>
      </c>
      <c r="I94" s="6" t="s">
        <v>10</v>
      </c>
    </row>
    <row r="95" spans="3:9" ht="14.25" customHeight="1" x14ac:dyDescent="0.25">
      <c r="C95" s="6" t="s">
        <v>199</v>
      </c>
      <c r="D95" s="9" t="s">
        <v>200</v>
      </c>
      <c r="E95" s="6" t="s">
        <v>9</v>
      </c>
      <c r="F95" s="6">
        <v>24</v>
      </c>
      <c r="G95" s="8">
        <f t="shared" si="3"/>
        <v>396</v>
      </c>
      <c r="H95" s="8">
        <v>120</v>
      </c>
      <c r="I95" s="8" t="s">
        <v>10</v>
      </c>
    </row>
    <row r="96" spans="3:9" ht="14.25" customHeight="1" x14ac:dyDescent="0.25">
      <c r="C96" s="6" t="s">
        <v>201</v>
      </c>
      <c r="D96" s="9" t="s">
        <v>202</v>
      </c>
      <c r="E96" s="6" t="s">
        <v>9</v>
      </c>
      <c r="F96" s="6">
        <v>23</v>
      </c>
      <c r="G96" s="8">
        <f t="shared" si="3"/>
        <v>379.5</v>
      </c>
      <c r="H96" s="8" t="s">
        <v>10</v>
      </c>
      <c r="I96" s="8" t="s">
        <v>10</v>
      </c>
    </row>
    <row r="97" spans="3:9" ht="14.25" customHeight="1" x14ac:dyDescent="0.25">
      <c r="C97" s="14" t="s">
        <v>203</v>
      </c>
      <c r="D97" s="9" t="s">
        <v>204</v>
      </c>
      <c r="E97" s="6" t="s">
        <v>52</v>
      </c>
      <c r="F97" s="6">
        <v>20</v>
      </c>
      <c r="G97" s="8">
        <f t="shared" si="3"/>
        <v>330</v>
      </c>
      <c r="H97" s="8">
        <v>120</v>
      </c>
      <c r="I97" s="8" t="s">
        <v>10</v>
      </c>
    </row>
    <row r="98" spans="3:9" ht="14.25" customHeight="1" x14ac:dyDescent="0.25">
      <c r="C98" s="6" t="s">
        <v>205</v>
      </c>
      <c r="D98" s="9" t="s">
        <v>206</v>
      </c>
      <c r="E98" s="6" t="s">
        <v>32</v>
      </c>
      <c r="F98" s="6">
        <v>20</v>
      </c>
      <c r="G98" s="8">
        <f t="shared" si="3"/>
        <v>330</v>
      </c>
      <c r="H98" s="8" t="s">
        <v>10</v>
      </c>
      <c r="I98" s="8" t="s">
        <v>10</v>
      </c>
    </row>
    <row r="99" spans="3:9" ht="14.25" customHeight="1" x14ac:dyDescent="0.25">
      <c r="C99" s="12" t="s">
        <v>207</v>
      </c>
      <c r="D99" s="13" t="s">
        <v>208</v>
      </c>
      <c r="E99" s="6" t="s">
        <v>174</v>
      </c>
      <c r="F99" s="6">
        <v>20</v>
      </c>
      <c r="G99" s="8">
        <f t="shared" si="3"/>
        <v>330</v>
      </c>
      <c r="H99" s="8">
        <v>120</v>
      </c>
      <c r="I99" s="8" t="s">
        <v>10</v>
      </c>
    </row>
    <row r="100" spans="3:9" ht="14.25" customHeight="1" x14ac:dyDescent="0.25">
      <c r="C100" s="14" t="s">
        <v>209</v>
      </c>
      <c r="D100" s="9" t="s">
        <v>210</v>
      </c>
      <c r="E100" s="6" t="s">
        <v>23</v>
      </c>
      <c r="F100" s="6">
        <v>20</v>
      </c>
      <c r="G100" s="8">
        <f t="shared" si="3"/>
        <v>330</v>
      </c>
      <c r="H100" s="8">
        <v>120</v>
      </c>
      <c r="I100" s="8" t="s">
        <v>10</v>
      </c>
    </row>
    <row r="101" spans="3:9" ht="14.25" customHeight="1" x14ac:dyDescent="0.25">
      <c r="C101" s="6" t="s">
        <v>211</v>
      </c>
      <c r="D101" s="9" t="s">
        <v>212</v>
      </c>
      <c r="E101" s="6" t="s">
        <v>16</v>
      </c>
      <c r="F101" s="6">
        <v>20</v>
      </c>
      <c r="G101" s="8">
        <f t="shared" si="3"/>
        <v>330</v>
      </c>
      <c r="H101" s="8">
        <v>120</v>
      </c>
      <c r="I101" s="8" t="s">
        <v>10</v>
      </c>
    </row>
    <row r="102" spans="3:9" ht="14.25" customHeight="1" x14ac:dyDescent="0.25">
      <c r="C102" s="6" t="s">
        <v>258</v>
      </c>
      <c r="D102" s="9" t="s">
        <v>259</v>
      </c>
      <c r="E102" s="6" t="s">
        <v>23</v>
      </c>
      <c r="F102" s="6">
        <v>20</v>
      </c>
      <c r="G102" s="8">
        <f t="shared" si="3"/>
        <v>330</v>
      </c>
      <c r="H102" s="8" t="s">
        <v>10</v>
      </c>
      <c r="I102" s="6"/>
    </row>
    <row r="103" spans="3:9" ht="14.25" customHeight="1" x14ac:dyDescent="0.25">
      <c r="C103" s="14" t="s">
        <v>213</v>
      </c>
      <c r="D103" s="9" t="s">
        <v>214</v>
      </c>
      <c r="E103" s="6" t="s">
        <v>13</v>
      </c>
      <c r="F103" s="6">
        <v>20</v>
      </c>
      <c r="G103" s="8">
        <f t="shared" si="3"/>
        <v>330</v>
      </c>
      <c r="H103" s="8">
        <v>120</v>
      </c>
      <c r="I103" s="8" t="s">
        <v>10</v>
      </c>
    </row>
    <row r="104" spans="3:9" ht="14.25" customHeight="1" x14ac:dyDescent="0.25">
      <c r="C104" s="6" t="s">
        <v>256</v>
      </c>
      <c r="D104" s="9" t="s">
        <v>257</v>
      </c>
      <c r="E104" s="6" t="s">
        <v>143</v>
      </c>
      <c r="F104" s="6">
        <v>20</v>
      </c>
      <c r="G104" s="8">
        <f t="shared" si="3"/>
        <v>330</v>
      </c>
      <c r="H104" s="8">
        <v>120</v>
      </c>
      <c r="I104" s="6" t="s">
        <v>10</v>
      </c>
    </row>
    <row r="105" spans="3:9" ht="14.25" customHeight="1" x14ac:dyDescent="0.25">
      <c r="C105" s="6" t="s">
        <v>254</v>
      </c>
      <c r="D105" s="9" t="s">
        <v>255</v>
      </c>
      <c r="E105" s="6" t="s">
        <v>13</v>
      </c>
      <c r="F105" s="6">
        <v>20</v>
      </c>
      <c r="G105" s="8">
        <f t="shared" si="3"/>
        <v>330</v>
      </c>
      <c r="H105" s="8" t="s">
        <v>10</v>
      </c>
      <c r="I105" s="6" t="s">
        <v>10</v>
      </c>
    </row>
    <row r="106" spans="3:9" ht="14.25" customHeight="1" x14ac:dyDescent="0.25">
      <c r="C106" s="6" t="s">
        <v>215</v>
      </c>
      <c r="D106" s="9" t="s">
        <v>216</v>
      </c>
      <c r="E106" s="16" t="s">
        <v>40</v>
      </c>
      <c r="F106" s="6">
        <v>20</v>
      </c>
      <c r="G106" s="8">
        <f t="shared" si="3"/>
        <v>330</v>
      </c>
      <c r="H106" s="8">
        <v>120</v>
      </c>
      <c r="I106" s="8" t="s">
        <v>10</v>
      </c>
    </row>
    <row r="107" spans="3:9" ht="14.25" customHeight="1" x14ac:dyDescent="0.25">
      <c r="C107" s="58"/>
      <c r="D107" s="58"/>
      <c r="E107" s="58"/>
      <c r="F107" s="59" t="s">
        <v>217</v>
      </c>
      <c r="G107" s="60">
        <f t="shared" ref="G107:H107" si="4">SUM(G1:G106)</f>
        <v>34227</v>
      </c>
      <c r="H107" s="60">
        <f t="shared" si="4"/>
        <v>9960</v>
      </c>
      <c r="I107" s="60">
        <f>SUM(I1:I75)</f>
        <v>0</v>
      </c>
    </row>
    <row r="108" spans="3:9" ht="14.25" customHeight="1" x14ac:dyDescent="0.25">
      <c r="G108" s="57"/>
      <c r="H108" s="57"/>
      <c r="I108" s="34"/>
    </row>
    <row r="109" spans="3:9" ht="14.25" customHeight="1" x14ac:dyDescent="0.25">
      <c r="G109" s="57"/>
      <c r="H109" s="57"/>
      <c r="I109" s="34"/>
    </row>
    <row r="110" spans="3:9" ht="14.25" customHeight="1" x14ac:dyDescent="0.25">
      <c r="G110" s="57"/>
      <c r="H110" s="57"/>
      <c r="I110" s="34"/>
    </row>
    <row r="111" spans="3:9" ht="14.25" customHeight="1" x14ac:dyDescent="0.25">
      <c r="G111" s="57"/>
      <c r="H111" s="57"/>
      <c r="I111" s="34"/>
    </row>
    <row r="112" spans="3:9" ht="14.25" customHeight="1" x14ac:dyDescent="0.25">
      <c r="G112" s="57"/>
      <c r="H112" s="57"/>
      <c r="I112" s="34"/>
    </row>
    <row r="113" spans="7:9" ht="14.25" customHeight="1" x14ac:dyDescent="0.25">
      <c r="G113" s="57"/>
      <c r="H113" s="57"/>
      <c r="I113" s="34"/>
    </row>
    <row r="114" spans="7:9" ht="14.25" customHeight="1" x14ac:dyDescent="0.25">
      <c r="G114" s="57"/>
      <c r="H114" s="57"/>
      <c r="I114" s="34"/>
    </row>
    <row r="115" spans="7:9" ht="14.25" customHeight="1" x14ac:dyDescent="0.25">
      <c r="G115" s="57"/>
      <c r="H115" s="57"/>
      <c r="I115" s="34"/>
    </row>
    <row r="116" spans="7:9" ht="14.25" customHeight="1" x14ac:dyDescent="0.25">
      <c r="G116" s="57"/>
      <c r="H116" s="57"/>
      <c r="I116" s="34"/>
    </row>
    <row r="117" spans="7:9" ht="14.25" customHeight="1" x14ac:dyDescent="0.25">
      <c r="G117" s="57"/>
      <c r="H117" s="57"/>
      <c r="I117" s="34"/>
    </row>
    <row r="118" spans="7:9" ht="14.25" customHeight="1" x14ac:dyDescent="0.25">
      <c r="G118" s="57"/>
      <c r="H118" s="57"/>
      <c r="I118" s="34"/>
    </row>
    <row r="119" spans="7:9" ht="14.25" customHeight="1" x14ac:dyDescent="0.25">
      <c r="G119" s="57"/>
      <c r="H119" s="57"/>
      <c r="I119" s="34"/>
    </row>
    <row r="120" spans="7:9" ht="14.25" customHeight="1" x14ac:dyDescent="0.25">
      <c r="G120" s="57"/>
      <c r="H120" s="57"/>
      <c r="I120" s="34"/>
    </row>
    <row r="121" spans="7:9" ht="14.25" customHeight="1" x14ac:dyDescent="0.25">
      <c r="G121" s="57"/>
      <c r="H121" s="57"/>
      <c r="I121" s="34"/>
    </row>
    <row r="122" spans="7:9" ht="14.25" customHeight="1" x14ac:dyDescent="0.25">
      <c r="G122" s="57"/>
      <c r="H122" s="57"/>
      <c r="I122" s="34"/>
    </row>
    <row r="123" spans="7:9" ht="14.25" customHeight="1" x14ac:dyDescent="0.25">
      <c r="G123" s="57"/>
      <c r="H123" s="57"/>
      <c r="I123" s="34"/>
    </row>
    <row r="124" spans="7:9" ht="14.25" customHeight="1" x14ac:dyDescent="0.25">
      <c r="G124" s="57"/>
      <c r="H124" s="57"/>
      <c r="I124" s="34"/>
    </row>
    <row r="125" spans="7:9" ht="14.25" customHeight="1" x14ac:dyDescent="0.25">
      <c r="G125" s="57"/>
      <c r="H125" s="57"/>
      <c r="I125" s="34"/>
    </row>
    <row r="126" spans="7:9" ht="14.25" customHeight="1" x14ac:dyDescent="0.25">
      <c r="G126" s="57"/>
      <c r="H126" s="57"/>
      <c r="I126" s="34"/>
    </row>
    <row r="127" spans="7:9" ht="14.25" customHeight="1" x14ac:dyDescent="0.25">
      <c r="G127" s="57"/>
      <c r="H127" s="57"/>
      <c r="I127" s="34"/>
    </row>
    <row r="128" spans="7:9" ht="14.25" customHeight="1" x14ac:dyDescent="0.25">
      <c r="G128" s="57"/>
      <c r="H128" s="57"/>
      <c r="I128" s="34"/>
    </row>
    <row r="129" spans="7:9" ht="14.25" customHeight="1" x14ac:dyDescent="0.25">
      <c r="G129" s="57"/>
      <c r="H129" s="57"/>
      <c r="I129" s="34"/>
    </row>
    <row r="130" spans="7:9" ht="14.25" customHeight="1" x14ac:dyDescent="0.25">
      <c r="G130" s="57"/>
      <c r="H130" s="57"/>
      <c r="I130" s="34"/>
    </row>
    <row r="131" spans="7:9" ht="14.25" customHeight="1" x14ac:dyDescent="0.25">
      <c r="G131" s="57"/>
      <c r="H131" s="57"/>
      <c r="I131" s="34"/>
    </row>
    <row r="132" spans="7:9" ht="14.25" customHeight="1" x14ac:dyDescent="0.25">
      <c r="G132" s="57"/>
      <c r="H132" s="57"/>
      <c r="I132" s="34"/>
    </row>
    <row r="133" spans="7:9" ht="14.25" customHeight="1" x14ac:dyDescent="0.25">
      <c r="G133" s="57"/>
      <c r="H133" s="57"/>
      <c r="I133" s="34"/>
    </row>
    <row r="134" spans="7:9" ht="14.25" customHeight="1" x14ac:dyDescent="0.25">
      <c r="G134" s="57"/>
      <c r="H134" s="57"/>
      <c r="I134" s="34"/>
    </row>
    <row r="135" spans="7:9" ht="14.25" customHeight="1" x14ac:dyDescent="0.25">
      <c r="G135" s="57"/>
      <c r="H135" s="57"/>
      <c r="I135" s="34"/>
    </row>
    <row r="136" spans="7:9" ht="14.25" customHeight="1" x14ac:dyDescent="0.25">
      <c r="G136" s="57"/>
      <c r="H136" s="57"/>
      <c r="I136" s="34"/>
    </row>
    <row r="137" spans="7:9" ht="14.25" customHeight="1" x14ac:dyDescent="0.25">
      <c r="G137" s="57"/>
      <c r="H137" s="57"/>
      <c r="I137" s="34"/>
    </row>
    <row r="138" spans="7:9" ht="14.25" customHeight="1" x14ac:dyDescent="0.25">
      <c r="G138" s="57"/>
      <c r="H138" s="57"/>
      <c r="I138" s="34"/>
    </row>
    <row r="139" spans="7:9" ht="14.25" customHeight="1" x14ac:dyDescent="0.25">
      <c r="G139" s="57"/>
      <c r="H139" s="57"/>
      <c r="I139" s="34"/>
    </row>
    <row r="140" spans="7:9" ht="14.25" customHeight="1" x14ac:dyDescent="0.25">
      <c r="G140" s="57"/>
      <c r="H140" s="57"/>
      <c r="I140" s="34"/>
    </row>
    <row r="141" spans="7:9" ht="14.25" customHeight="1" x14ac:dyDescent="0.25">
      <c r="G141" s="57"/>
      <c r="H141" s="57"/>
      <c r="I141" s="34"/>
    </row>
    <row r="142" spans="7:9" ht="14.25" customHeight="1" x14ac:dyDescent="0.25">
      <c r="G142" s="57"/>
      <c r="H142" s="57"/>
      <c r="I142" s="34"/>
    </row>
    <row r="143" spans="7:9" ht="14.25" customHeight="1" x14ac:dyDescent="0.25">
      <c r="G143" s="57"/>
      <c r="H143" s="57"/>
      <c r="I143" s="34"/>
    </row>
    <row r="144" spans="7:9" ht="14.25" customHeight="1" x14ac:dyDescent="0.25">
      <c r="G144" s="57"/>
      <c r="H144" s="57"/>
      <c r="I144" s="34"/>
    </row>
    <row r="145" spans="7:9" ht="14.25" customHeight="1" x14ac:dyDescent="0.25">
      <c r="G145" s="57"/>
      <c r="H145" s="57"/>
      <c r="I145" s="34"/>
    </row>
    <row r="146" spans="7:9" ht="14.25" customHeight="1" x14ac:dyDescent="0.25">
      <c r="G146" s="57"/>
      <c r="H146" s="57"/>
      <c r="I146" s="34"/>
    </row>
    <row r="147" spans="7:9" ht="14.25" customHeight="1" x14ac:dyDescent="0.25">
      <c r="G147" s="57"/>
      <c r="H147" s="57"/>
      <c r="I147" s="34"/>
    </row>
    <row r="148" spans="7:9" ht="14.25" customHeight="1" x14ac:dyDescent="0.25">
      <c r="G148" s="57"/>
      <c r="H148" s="57"/>
      <c r="I148" s="34"/>
    </row>
    <row r="149" spans="7:9" ht="14.25" customHeight="1" x14ac:dyDescent="0.25">
      <c r="G149" s="57"/>
      <c r="H149" s="57"/>
      <c r="I149" s="34"/>
    </row>
    <row r="150" spans="7:9" ht="14.25" customHeight="1" x14ac:dyDescent="0.25">
      <c r="G150" s="57"/>
      <c r="H150" s="57"/>
      <c r="I150" s="34"/>
    </row>
    <row r="151" spans="7:9" ht="14.25" customHeight="1" x14ac:dyDescent="0.25">
      <c r="G151" s="57"/>
      <c r="H151" s="57"/>
      <c r="I151" s="34"/>
    </row>
    <row r="152" spans="7:9" ht="14.25" customHeight="1" x14ac:dyDescent="0.25">
      <c r="G152" s="57"/>
      <c r="H152" s="57"/>
      <c r="I152" s="34"/>
    </row>
    <row r="153" spans="7:9" ht="14.25" customHeight="1" x14ac:dyDescent="0.25">
      <c r="G153" s="57"/>
      <c r="H153" s="57"/>
      <c r="I153" s="34"/>
    </row>
    <row r="154" spans="7:9" ht="14.25" customHeight="1" x14ac:dyDescent="0.25">
      <c r="G154" s="57"/>
      <c r="H154" s="57"/>
      <c r="I154" s="34"/>
    </row>
    <row r="155" spans="7:9" ht="14.25" customHeight="1" x14ac:dyDescent="0.25">
      <c r="G155" s="57"/>
      <c r="H155" s="57"/>
      <c r="I155" s="34"/>
    </row>
    <row r="156" spans="7:9" ht="14.25" customHeight="1" x14ac:dyDescent="0.25">
      <c r="G156" s="57"/>
      <c r="H156" s="57"/>
      <c r="I156" s="34"/>
    </row>
    <row r="157" spans="7:9" ht="14.25" customHeight="1" x14ac:dyDescent="0.25">
      <c r="G157" s="57"/>
      <c r="H157" s="57"/>
      <c r="I157" s="34"/>
    </row>
    <row r="158" spans="7:9" ht="14.25" customHeight="1" x14ac:dyDescent="0.25">
      <c r="G158" s="57"/>
      <c r="H158" s="57"/>
      <c r="I158" s="34"/>
    </row>
    <row r="159" spans="7:9" ht="14.25" customHeight="1" x14ac:dyDescent="0.25">
      <c r="G159" s="57"/>
      <c r="H159" s="57"/>
      <c r="I159" s="34"/>
    </row>
    <row r="160" spans="7:9" ht="14.25" customHeight="1" x14ac:dyDescent="0.25">
      <c r="G160" s="57"/>
      <c r="H160" s="57"/>
      <c r="I160" s="34"/>
    </row>
    <row r="161" spans="7:9" ht="14.25" customHeight="1" x14ac:dyDescent="0.25">
      <c r="G161" s="57"/>
      <c r="H161" s="57"/>
      <c r="I161" s="34"/>
    </row>
    <row r="162" spans="7:9" ht="14.25" customHeight="1" x14ac:dyDescent="0.25">
      <c r="G162" s="57"/>
      <c r="H162" s="57"/>
      <c r="I162" s="34"/>
    </row>
    <row r="163" spans="7:9" ht="14.25" customHeight="1" x14ac:dyDescent="0.25">
      <c r="G163" s="57"/>
      <c r="H163" s="57"/>
      <c r="I163" s="34"/>
    </row>
    <row r="164" spans="7:9" ht="14.25" customHeight="1" x14ac:dyDescent="0.25">
      <c r="G164" s="57"/>
      <c r="H164" s="57"/>
      <c r="I164" s="34"/>
    </row>
    <row r="165" spans="7:9" ht="14.25" customHeight="1" x14ac:dyDescent="0.25">
      <c r="G165" s="57"/>
      <c r="H165" s="57"/>
      <c r="I165" s="34"/>
    </row>
    <row r="166" spans="7:9" ht="14.25" customHeight="1" x14ac:dyDescent="0.25">
      <c r="G166" s="57"/>
      <c r="H166" s="57"/>
      <c r="I166" s="34"/>
    </row>
    <row r="167" spans="7:9" ht="14.25" customHeight="1" x14ac:dyDescent="0.25">
      <c r="G167" s="57"/>
      <c r="H167" s="57"/>
      <c r="I167" s="34"/>
    </row>
    <row r="168" spans="7:9" ht="14.25" customHeight="1" x14ac:dyDescent="0.25">
      <c r="G168" s="57"/>
      <c r="H168" s="57"/>
      <c r="I168" s="34"/>
    </row>
    <row r="169" spans="7:9" ht="14.25" customHeight="1" x14ac:dyDescent="0.25">
      <c r="G169" s="57"/>
      <c r="H169" s="57"/>
      <c r="I169" s="34"/>
    </row>
    <row r="170" spans="7:9" ht="14.25" customHeight="1" x14ac:dyDescent="0.25">
      <c r="G170" s="57"/>
      <c r="H170" s="57"/>
      <c r="I170" s="34"/>
    </row>
    <row r="171" spans="7:9" ht="14.25" customHeight="1" x14ac:dyDescent="0.25">
      <c r="G171" s="57"/>
      <c r="H171" s="57"/>
      <c r="I171" s="34"/>
    </row>
    <row r="172" spans="7:9" ht="14.25" customHeight="1" x14ac:dyDescent="0.25">
      <c r="G172" s="57"/>
      <c r="H172" s="57"/>
      <c r="I172" s="34"/>
    </row>
    <row r="173" spans="7:9" ht="14.25" customHeight="1" x14ac:dyDescent="0.25">
      <c r="G173" s="57"/>
      <c r="H173" s="57"/>
      <c r="I173" s="34"/>
    </row>
    <row r="174" spans="7:9" ht="14.25" customHeight="1" x14ac:dyDescent="0.25">
      <c r="G174" s="57"/>
      <c r="H174" s="57"/>
      <c r="I174" s="34"/>
    </row>
    <row r="175" spans="7:9" ht="14.25" customHeight="1" x14ac:dyDescent="0.25">
      <c r="G175" s="57"/>
      <c r="H175" s="57"/>
      <c r="I175" s="34"/>
    </row>
    <row r="176" spans="7:9" ht="14.25" customHeight="1" x14ac:dyDescent="0.25">
      <c r="G176" s="57"/>
      <c r="H176" s="57"/>
      <c r="I176" s="34"/>
    </row>
    <row r="177" spans="7:9" ht="14.25" customHeight="1" x14ac:dyDescent="0.25">
      <c r="G177" s="57"/>
      <c r="H177" s="57"/>
      <c r="I177" s="34"/>
    </row>
    <row r="178" spans="7:9" ht="14.25" customHeight="1" x14ac:dyDescent="0.25">
      <c r="G178" s="57"/>
      <c r="H178" s="57"/>
      <c r="I178" s="34"/>
    </row>
    <row r="179" spans="7:9" ht="14.25" customHeight="1" x14ac:dyDescent="0.25">
      <c r="G179" s="57"/>
      <c r="H179" s="57"/>
      <c r="I179" s="34"/>
    </row>
    <row r="180" spans="7:9" ht="14.25" customHeight="1" x14ac:dyDescent="0.25">
      <c r="G180" s="57"/>
      <c r="H180" s="57"/>
      <c r="I180" s="34"/>
    </row>
    <row r="181" spans="7:9" ht="14.25" customHeight="1" x14ac:dyDescent="0.25">
      <c r="G181" s="57"/>
      <c r="H181" s="57"/>
      <c r="I181" s="34"/>
    </row>
    <row r="182" spans="7:9" ht="14.25" customHeight="1" x14ac:dyDescent="0.25">
      <c r="G182" s="57"/>
      <c r="H182" s="57"/>
      <c r="I182" s="34"/>
    </row>
    <row r="183" spans="7:9" ht="14.25" customHeight="1" x14ac:dyDescent="0.25">
      <c r="G183" s="57"/>
      <c r="H183" s="57"/>
      <c r="I183" s="34"/>
    </row>
    <row r="184" spans="7:9" ht="14.25" customHeight="1" x14ac:dyDescent="0.25">
      <c r="G184" s="57"/>
      <c r="H184" s="57"/>
      <c r="I184" s="34"/>
    </row>
    <row r="185" spans="7:9" ht="14.25" customHeight="1" x14ac:dyDescent="0.25">
      <c r="G185" s="57"/>
      <c r="H185" s="57"/>
      <c r="I185" s="34"/>
    </row>
    <row r="186" spans="7:9" ht="14.25" customHeight="1" x14ac:dyDescent="0.25">
      <c r="G186" s="57"/>
      <c r="H186" s="57"/>
      <c r="I186" s="34"/>
    </row>
    <row r="187" spans="7:9" ht="14.25" customHeight="1" x14ac:dyDescent="0.25">
      <c r="G187" s="57"/>
      <c r="H187" s="57"/>
      <c r="I187" s="34"/>
    </row>
    <row r="188" spans="7:9" ht="14.25" customHeight="1" x14ac:dyDescent="0.25">
      <c r="G188" s="57"/>
      <c r="H188" s="57"/>
      <c r="I188" s="34"/>
    </row>
    <row r="189" spans="7:9" ht="14.25" customHeight="1" x14ac:dyDescent="0.25">
      <c r="G189" s="57"/>
      <c r="H189" s="57"/>
      <c r="I189" s="34"/>
    </row>
    <row r="190" spans="7:9" ht="14.25" customHeight="1" x14ac:dyDescent="0.25">
      <c r="G190" s="57"/>
      <c r="H190" s="57"/>
      <c r="I190" s="34"/>
    </row>
    <row r="191" spans="7:9" ht="14.25" customHeight="1" x14ac:dyDescent="0.25">
      <c r="G191" s="57"/>
      <c r="H191" s="57"/>
      <c r="I191" s="34"/>
    </row>
    <row r="192" spans="7:9" ht="14.25" customHeight="1" x14ac:dyDescent="0.25">
      <c r="G192" s="57"/>
      <c r="H192" s="57"/>
      <c r="I192" s="34"/>
    </row>
    <row r="193" spans="7:9" ht="14.25" customHeight="1" x14ac:dyDescent="0.25">
      <c r="G193" s="57"/>
      <c r="H193" s="57"/>
      <c r="I193" s="34"/>
    </row>
    <row r="194" spans="7:9" ht="14.25" customHeight="1" x14ac:dyDescent="0.25">
      <c r="G194" s="57"/>
      <c r="H194" s="57"/>
      <c r="I194" s="34"/>
    </row>
    <row r="195" spans="7:9" ht="14.25" customHeight="1" x14ac:dyDescent="0.25">
      <c r="G195" s="57"/>
      <c r="H195" s="57"/>
      <c r="I195" s="34"/>
    </row>
    <row r="196" spans="7:9" ht="14.25" customHeight="1" x14ac:dyDescent="0.25">
      <c r="G196" s="57"/>
      <c r="H196" s="57"/>
      <c r="I196" s="34"/>
    </row>
    <row r="197" spans="7:9" ht="14.25" customHeight="1" x14ac:dyDescent="0.25">
      <c r="G197" s="57"/>
      <c r="H197" s="57"/>
      <c r="I197" s="34"/>
    </row>
    <row r="198" spans="7:9" ht="14.25" customHeight="1" x14ac:dyDescent="0.25">
      <c r="G198" s="57"/>
      <c r="H198" s="57"/>
      <c r="I198" s="34"/>
    </row>
    <row r="199" spans="7:9" ht="14.25" customHeight="1" x14ac:dyDescent="0.25">
      <c r="G199" s="57"/>
      <c r="H199" s="57"/>
      <c r="I199" s="34"/>
    </row>
    <row r="200" spans="7:9" ht="14.25" customHeight="1" x14ac:dyDescent="0.25">
      <c r="G200" s="57"/>
      <c r="H200" s="57"/>
      <c r="I200" s="34"/>
    </row>
    <row r="201" spans="7:9" ht="14.25" customHeight="1" x14ac:dyDescent="0.25">
      <c r="G201" s="57"/>
      <c r="H201" s="57"/>
      <c r="I201" s="34"/>
    </row>
    <row r="202" spans="7:9" ht="14.25" customHeight="1" x14ac:dyDescent="0.25">
      <c r="G202" s="57"/>
      <c r="H202" s="57"/>
      <c r="I202" s="34"/>
    </row>
    <row r="203" spans="7:9" ht="14.25" customHeight="1" x14ac:dyDescent="0.25">
      <c r="G203" s="57"/>
      <c r="H203" s="57"/>
      <c r="I203" s="34"/>
    </row>
    <row r="204" spans="7:9" ht="14.25" customHeight="1" x14ac:dyDescent="0.25">
      <c r="G204" s="57"/>
      <c r="H204" s="57"/>
      <c r="I204" s="34"/>
    </row>
    <row r="205" spans="7:9" ht="14.25" customHeight="1" x14ac:dyDescent="0.25">
      <c r="G205" s="57"/>
      <c r="H205" s="57"/>
      <c r="I205" s="34"/>
    </row>
    <row r="206" spans="7:9" ht="14.25" customHeight="1" x14ac:dyDescent="0.25">
      <c r="G206" s="57"/>
      <c r="H206" s="57"/>
      <c r="I206" s="34"/>
    </row>
    <row r="207" spans="7:9" ht="14.25" customHeight="1" x14ac:dyDescent="0.25">
      <c r="G207" s="57"/>
      <c r="H207" s="57"/>
      <c r="I207" s="34"/>
    </row>
    <row r="208" spans="7:9" ht="14.25" customHeight="1" x14ac:dyDescent="0.25">
      <c r="G208" s="57"/>
      <c r="H208" s="57"/>
      <c r="I208" s="34"/>
    </row>
    <row r="209" spans="7:9" ht="14.25" customHeight="1" x14ac:dyDescent="0.25">
      <c r="G209" s="57"/>
      <c r="H209" s="57"/>
      <c r="I209" s="34"/>
    </row>
    <row r="210" spans="7:9" ht="14.25" customHeight="1" x14ac:dyDescent="0.25">
      <c r="G210" s="57"/>
      <c r="H210" s="57"/>
      <c r="I210" s="34"/>
    </row>
    <row r="211" spans="7:9" ht="14.25" customHeight="1" x14ac:dyDescent="0.25">
      <c r="G211" s="57"/>
      <c r="H211" s="57"/>
      <c r="I211" s="34"/>
    </row>
    <row r="212" spans="7:9" ht="14.25" customHeight="1" x14ac:dyDescent="0.25">
      <c r="G212" s="57"/>
      <c r="H212" s="57"/>
      <c r="I212" s="34"/>
    </row>
    <row r="213" spans="7:9" ht="14.25" customHeight="1" x14ac:dyDescent="0.25">
      <c r="G213" s="57"/>
      <c r="H213" s="57"/>
      <c r="I213" s="34"/>
    </row>
    <row r="214" spans="7:9" ht="14.25" customHeight="1" x14ac:dyDescent="0.25">
      <c r="G214" s="57"/>
      <c r="H214" s="57"/>
      <c r="I214" s="34"/>
    </row>
    <row r="215" spans="7:9" ht="14.25" customHeight="1" x14ac:dyDescent="0.25">
      <c r="G215" s="57"/>
      <c r="H215" s="57"/>
      <c r="I215" s="34"/>
    </row>
    <row r="216" spans="7:9" ht="14.25" customHeight="1" x14ac:dyDescent="0.25">
      <c r="G216" s="57"/>
      <c r="H216" s="57"/>
      <c r="I216" s="34"/>
    </row>
    <row r="217" spans="7:9" ht="14.25" customHeight="1" x14ac:dyDescent="0.25">
      <c r="G217" s="57"/>
      <c r="H217" s="57"/>
      <c r="I217" s="34"/>
    </row>
    <row r="218" spans="7:9" ht="14.25" customHeight="1" x14ac:dyDescent="0.25">
      <c r="G218" s="57"/>
      <c r="H218" s="57"/>
      <c r="I218" s="34"/>
    </row>
    <row r="219" spans="7:9" ht="14.25" customHeight="1" x14ac:dyDescent="0.25">
      <c r="G219" s="57"/>
      <c r="H219" s="57"/>
      <c r="I219" s="34"/>
    </row>
    <row r="220" spans="7:9" ht="14.25" customHeight="1" x14ac:dyDescent="0.25">
      <c r="G220" s="57"/>
      <c r="H220" s="57"/>
      <c r="I220" s="34"/>
    </row>
    <row r="221" spans="7:9" ht="14.25" customHeight="1" x14ac:dyDescent="0.25">
      <c r="G221" s="57"/>
      <c r="H221" s="57"/>
      <c r="I221" s="34"/>
    </row>
    <row r="222" spans="7:9" ht="14.25" customHeight="1" x14ac:dyDescent="0.25">
      <c r="G222" s="57"/>
      <c r="H222" s="57"/>
      <c r="I222" s="34"/>
    </row>
    <row r="223" spans="7:9" ht="14.25" customHeight="1" x14ac:dyDescent="0.25">
      <c r="G223" s="57"/>
      <c r="H223" s="57"/>
      <c r="I223" s="34"/>
    </row>
    <row r="224" spans="7:9" ht="14.25" customHeight="1" x14ac:dyDescent="0.25">
      <c r="G224" s="57"/>
      <c r="H224" s="57"/>
      <c r="I224" s="34"/>
    </row>
    <row r="225" spans="7:9" ht="14.25" customHeight="1" x14ac:dyDescent="0.25">
      <c r="G225" s="57"/>
      <c r="H225" s="57"/>
      <c r="I225" s="34"/>
    </row>
    <row r="226" spans="7:9" ht="14.25" customHeight="1" x14ac:dyDescent="0.25">
      <c r="G226" s="57"/>
      <c r="H226" s="57"/>
      <c r="I226" s="34"/>
    </row>
    <row r="227" spans="7:9" ht="14.25" customHeight="1" x14ac:dyDescent="0.25">
      <c r="G227" s="57"/>
      <c r="H227" s="57"/>
      <c r="I227" s="34"/>
    </row>
    <row r="228" spans="7:9" ht="14.25" customHeight="1" x14ac:dyDescent="0.25">
      <c r="G228" s="57"/>
      <c r="H228" s="57"/>
      <c r="I228" s="34"/>
    </row>
    <row r="229" spans="7:9" ht="14.25" customHeight="1" x14ac:dyDescent="0.25">
      <c r="G229" s="57"/>
      <c r="H229" s="57"/>
      <c r="I229" s="34"/>
    </row>
    <row r="230" spans="7:9" ht="14.25" customHeight="1" x14ac:dyDescent="0.25">
      <c r="G230" s="57"/>
      <c r="H230" s="57"/>
      <c r="I230" s="34"/>
    </row>
    <row r="231" spans="7:9" ht="14.25" customHeight="1" x14ac:dyDescent="0.25">
      <c r="G231" s="57"/>
      <c r="H231" s="57"/>
      <c r="I231" s="34"/>
    </row>
    <row r="232" spans="7:9" ht="14.25" customHeight="1" x14ac:dyDescent="0.25">
      <c r="G232" s="57"/>
      <c r="H232" s="57"/>
      <c r="I232" s="34"/>
    </row>
    <row r="233" spans="7:9" ht="14.25" customHeight="1" x14ac:dyDescent="0.25">
      <c r="G233" s="57"/>
      <c r="H233" s="57"/>
      <c r="I233" s="34"/>
    </row>
    <row r="234" spans="7:9" ht="14.25" customHeight="1" x14ac:dyDescent="0.25">
      <c r="G234" s="57"/>
      <c r="H234" s="57"/>
      <c r="I234" s="34"/>
    </row>
    <row r="235" spans="7:9" ht="14.25" customHeight="1" x14ac:dyDescent="0.25">
      <c r="G235" s="57"/>
      <c r="H235" s="57"/>
      <c r="I235" s="34"/>
    </row>
    <row r="236" spans="7:9" ht="14.25" customHeight="1" x14ac:dyDescent="0.25">
      <c r="G236" s="57"/>
      <c r="H236" s="57"/>
      <c r="I236" s="34"/>
    </row>
    <row r="237" spans="7:9" ht="14.25" customHeight="1" x14ac:dyDescent="0.25">
      <c r="G237" s="57"/>
      <c r="H237" s="57"/>
      <c r="I237" s="34"/>
    </row>
    <row r="238" spans="7:9" ht="14.25" customHeight="1" x14ac:dyDescent="0.25">
      <c r="G238" s="57"/>
      <c r="H238" s="57"/>
      <c r="I238" s="34"/>
    </row>
    <row r="239" spans="7:9" ht="14.25" customHeight="1" x14ac:dyDescent="0.25">
      <c r="G239" s="57"/>
      <c r="H239" s="57"/>
      <c r="I239" s="34"/>
    </row>
    <row r="240" spans="7:9" ht="14.25" customHeight="1" x14ac:dyDescent="0.25">
      <c r="G240" s="57"/>
      <c r="H240" s="57"/>
      <c r="I240" s="34"/>
    </row>
    <row r="241" spans="7:9" ht="14.25" customHeight="1" x14ac:dyDescent="0.25">
      <c r="G241" s="57"/>
      <c r="H241" s="57"/>
      <c r="I241" s="34"/>
    </row>
    <row r="242" spans="7:9" ht="14.25" customHeight="1" x14ac:dyDescent="0.25">
      <c r="G242" s="57"/>
      <c r="H242" s="57"/>
      <c r="I242" s="34"/>
    </row>
    <row r="243" spans="7:9" ht="14.25" customHeight="1" x14ac:dyDescent="0.25">
      <c r="G243" s="57"/>
      <c r="H243" s="57"/>
      <c r="I243" s="34"/>
    </row>
    <row r="244" spans="7:9" ht="14.25" customHeight="1" x14ac:dyDescent="0.25">
      <c r="G244" s="57"/>
      <c r="H244" s="57"/>
      <c r="I244" s="34"/>
    </row>
    <row r="245" spans="7:9" ht="14.25" customHeight="1" x14ac:dyDescent="0.25">
      <c r="G245" s="57"/>
      <c r="H245" s="57"/>
      <c r="I245" s="34"/>
    </row>
    <row r="246" spans="7:9" ht="14.25" customHeight="1" x14ac:dyDescent="0.25">
      <c r="G246" s="57"/>
      <c r="H246" s="57"/>
      <c r="I246" s="34"/>
    </row>
    <row r="247" spans="7:9" ht="14.25" customHeight="1" x14ac:dyDescent="0.25">
      <c r="G247" s="57"/>
      <c r="H247" s="57"/>
      <c r="I247" s="34"/>
    </row>
    <row r="248" spans="7:9" ht="14.25" customHeight="1" x14ac:dyDescent="0.25">
      <c r="G248" s="57"/>
      <c r="H248" s="57"/>
      <c r="I248" s="34"/>
    </row>
    <row r="249" spans="7:9" ht="14.25" customHeight="1" x14ac:dyDescent="0.25">
      <c r="G249" s="57"/>
      <c r="H249" s="57"/>
      <c r="I249" s="34"/>
    </row>
    <row r="250" spans="7:9" ht="14.25" customHeight="1" x14ac:dyDescent="0.25">
      <c r="G250" s="57"/>
      <c r="H250" s="57"/>
      <c r="I250" s="34"/>
    </row>
    <row r="251" spans="7:9" ht="14.25" customHeight="1" x14ac:dyDescent="0.25">
      <c r="G251" s="57"/>
      <c r="H251" s="57"/>
      <c r="I251" s="34"/>
    </row>
    <row r="252" spans="7:9" ht="14.25" customHeight="1" x14ac:dyDescent="0.25">
      <c r="G252" s="57"/>
      <c r="H252" s="57"/>
      <c r="I252" s="34"/>
    </row>
    <row r="253" spans="7:9" ht="14.25" customHeight="1" x14ac:dyDescent="0.25">
      <c r="G253" s="57"/>
      <c r="H253" s="57"/>
      <c r="I253" s="34"/>
    </row>
    <row r="254" spans="7:9" ht="14.25" customHeight="1" x14ac:dyDescent="0.25">
      <c r="G254" s="57"/>
      <c r="H254" s="57"/>
      <c r="I254" s="34"/>
    </row>
    <row r="255" spans="7:9" ht="14.25" customHeight="1" x14ac:dyDescent="0.25">
      <c r="G255" s="57"/>
      <c r="H255" s="57"/>
      <c r="I255" s="34"/>
    </row>
    <row r="256" spans="7:9" ht="14.25" customHeight="1" x14ac:dyDescent="0.25">
      <c r="G256" s="57"/>
      <c r="H256" s="57"/>
      <c r="I256" s="34"/>
    </row>
    <row r="257" spans="7:9" ht="14.25" customHeight="1" x14ac:dyDescent="0.25">
      <c r="G257" s="57"/>
      <c r="H257" s="57"/>
      <c r="I257" s="34"/>
    </row>
    <row r="258" spans="7:9" ht="14.25" customHeight="1" x14ac:dyDescent="0.25">
      <c r="G258" s="57"/>
      <c r="H258" s="57"/>
      <c r="I258" s="34"/>
    </row>
    <row r="259" spans="7:9" ht="14.25" customHeight="1" x14ac:dyDescent="0.25">
      <c r="G259" s="57"/>
      <c r="H259" s="57"/>
      <c r="I259" s="34"/>
    </row>
    <row r="260" spans="7:9" ht="14.25" customHeight="1" x14ac:dyDescent="0.25">
      <c r="G260" s="57"/>
      <c r="H260" s="57"/>
      <c r="I260" s="34"/>
    </row>
    <row r="261" spans="7:9" ht="14.25" customHeight="1" x14ac:dyDescent="0.25">
      <c r="G261" s="57"/>
      <c r="H261" s="57"/>
      <c r="I261" s="34"/>
    </row>
    <row r="262" spans="7:9" ht="14.25" customHeight="1" x14ac:dyDescent="0.25">
      <c r="G262" s="57"/>
      <c r="H262" s="57"/>
      <c r="I262" s="34"/>
    </row>
    <row r="263" spans="7:9" ht="14.25" customHeight="1" x14ac:dyDescent="0.25">
      <c r="G263" s="57"/>
      <c r="H263" s="57"/>
      <c r="I263" s="34"/>
    </row>
    <row r="264" spans="7:9" ht="14.25" customHeight="1" x14ac:dyDescent="0.25">
      <c r="G264" s="57"/>
      <c r="H264" s="57"/>
      <c r="I264" s="34"/>
    </row>
    <row r="265" spans="7:9" ht="14.25" customHeight="1" x14ac:dyDescent="0.25">
      <c r="G265" s="57"/>
      <c r="H265" s="57"/>
      <c r="I265" s="34"/>
    </row>
    <row r="266" spans="7:9" ht="14.25" customHeight="1" x14ac:dyDescent="0.25">
      <c r="G266" s="57"/>
      <c r="H266" s="57"/>
      <c r="I266" s="34"/>
    </row>
    <row r="267" spans="7:9" ht="14.25" customHeight="1" x14ac:dyDescent="0.25">
      <c r="G267" s="57"/>
      <c r="H267" s="57"/>
      <c r="I267" s="34"/>
    </row>
    <row r="268" spans="7:9" ht="14.25" customHeight="1" x14ac:dyDescent="0.25">
      <c r="G268" s="57"/>
      <c r="H268" s="57"/>
      <c r="I268" s="34"/>
    </row>
    <row r="269" spans="7:9" ht="14.25" customHeight="1" x14ac:dyDescent="0.25">
      <c r="G269" s="57"/>
      <c r="H269" s="57"/>
      <c r="I269" s="34"/>
    </row>
    <row r="270" spans="7:9" ht="14.25" customHeight="1" x14ac:dyDescent="0.25">
      <c r="G270" s="57"/>
      <c r="H270" s="57"/>
      <c r="I270" s="34"/>
    </row>
    <row r="271" spans="7:9" ht="14.25" customHeight="1" x14ac:dyDescent="0.25">
      <c r="G271" s="57"/>
      <c r="H271" s="57"/>
      <c r="I271" s="34"/>
    </row>
    <row r="272" spans="7:9" ht="14.25" customHeight="1" x14ac:dyDescent="0.25">
      <c r="G272" s="57"/>
      <c r="H272" s="57"/>
      <c r="I272" s="34"/>
    </row>
    <row r="273" spans="7:9" ht="14.25" customHeight="1" x14ac:dyDescent="0.25">
      <c r="G273" s="57"/>
      <c r="H273" s="57"/>
      <c r="I273" s="34"/>
    </row>
    <row r="274" spans="7:9" ht="14.25" customHeight="1" x14ac:dyDescent="0.25">
      <c r="G274" s="57"/>
      <c r="H274" s="57"/>
      <c r="I274" s="34"/>
    </row>
    <row r="275" spans="7:9" ht="14.25" customHeight="1" x14ac:dyDescent="0.25">
      <c r="G275" s="57"/>
      <c r="H275" s="57"/>
      <c r="I275" s="34"/>
    </row>
    <row r="276" spans="7:9" ht="14.25" customHeight="1" x14ac:dyDescent="0.25">
      <c r="G276" s="57"/>
      <c r="H276" s="57"/>
      <c r="I276" s="34"/>
    </row>
    <row r="277" spans="7:9" ht="14.25" customHeight="1" x14ac:dyDescent="0.25">
      <c r="G277" s="57"/>
      <c r="H277" s="57"/>
      <c r="I277" s="34"/>
    </row>
    <row r="278" spans="7:9" ht="14.25" customHeight="1" x14ac:dyDescent="0.25">
      <c r="G278" s="57"/>
      <c r="H278" s="57"/>
      <c r="I278" s="34"/>
    </row>
    <row r="279" spans="7:9" ht="14.25" customHeight="1" x14ac:dyDescent="0.25">
      <c r="G279" s="57"/>
      <c r="H279" s="57"/>
      <c r="I279" s="34"/>
    </row>
    <row r="280" spans="7:9" ht="14.25" customHeight="1" x14ac:dyDescent="0.25">
      <c r="G280" s="57"/>
      <c r="H280" s="57"/>
      <c r="I280" s="34"/>
    </row>
    <row r="281" spans="7:9" ht="14.25" customHeight="1" x14ac:dyDescent="0.25">
      <c r="G281" s="57"/>
      <c r="H281" s="57"/>
      <c r="I281" s="34"/>
    </row>
    <row r="282" spans="7:9" ht="14.25" customHeight="1" x14ac:dyDescent="0.25">
      <c r="G282" s="57"/>
      <c r="H282" s="57"/>
      <c r="I282" s="34"/>
    </row>
    <row r="283" spans="7:9" ht="14.25" customHeight="1" x14ac:dyDescent="0.25">
      <c r="G283" s="57"/>
      <c r="H283" s="57"/>
      <c r="I283" s="34"/>
    </row>
    <row r="284" spans="7:9" ht="14.25" customHeight="1" x14ac:dyDescent="0.25">
      <c r="G284" s="57"/>
      <c r="H284" s="57"/>
      <c r="I284" s="34"/>
    </row>
    <row r="285" spans="7:9" ht="14.25" customHeight="1" x14ac:dyDescent="0.25">
      <c r="G285" s="57"/>
      <c r="H285" s="57"/>
      <c r="I285" s="34"/>
    </row>
    <row r="286" spans="7:9" ht="14.25" customHeight="1" x14ac:dyDescent="0.25">
      <c r="G286" s="57"/>
      <c r="H286" s="57"/>
      <c r="I286" s="34"/>
    </row>
    <row r="287" spans="7:9" ht="14.25" customHeight="1" x14ac:dyDescent="0.25">
      <c r="G287" s="57"/>
      <c r="H287" s="57"/>
      <c r="I287" s="34"/>
    </row>
    <row r="288" spans="7:9" ht="14.25" customHeight="1" x14ac:dyDescent="0.25">
      <c r="G288" s="57"/>
      <c r="H288" s="57"/>
      <c r="I288" s="34"/>
    </row>
    <row r="289" spans="7:9" ht="14.25" customHeight="1" x14ac:dyDescent="0.25">
      <c r="G289" s="57"/>
      <c r="H289" s="57"/>
      <c r="I289" s="34"/>
    </row>
    <row r="290" spans="7:9" ht="14.25" customHeight="1" x14ac:dyDescent="0.25">
      <c r="G290" s="57"/>
      <c r="H290" s="57"/>
      <c r="I290" s="34"/>
    </row>
    <row r="291" spans="7:9" ht="14.25" customHeight="1" x14ac:dyDescent="0.25">
      <c r="G291" s="57"/>
      <c r="H291" s="57"/>
      <c r="I291" s="34"/>
    </row>
    <row r="292" spans="7:9" ht="14.25" customHeight="1" x14ac:dyDescent="0.25">
      <c r="G292" s="57"/>
      <c r="H292" s="57"/>
      <c r="I292" s="34"/>
    </row>
    <row r="293" spans="7:9" ht="14.25" customHeight="1" x14ac:dyDescent="0.25">
      <c r="G293" s="57"/>
      <c r="H293" s="57"/>
      <c r="I293" s="34"/>
    </row>
    <row r="294" spans="7:9" ht="14.25" customHeight="1" x14ac:dyDescent="0.25">
      <c r="G294" s="57"/>
      <c r="H294" s="57"/>
      <c r="I294" s="34"/>
    </row>
    <row r="295" spans="7:9" ht="14.25" customHeight="1" x14ac:dyDescent="0.25">
      <c r="G295" s="57"/>
      <c r="H295" s="57"/>
      <c r="I295" s="34"/>
    </row>
    <row r="296" spans="7:9" ht="14.25" customHeight="1" x14ac:dyDescent="0.25">
      <c r="G296" s="57"/>
      <c r="H296" s="57"/>
      <c r="I296" s="34"/>
    </row>
    <row r="297" spans="7:9" ht="14.25" customHeight="1" x14ac:dyDescent="0.25">
      <c r="G297" s="57"/>
      <c r="H297" s="57"/>
      <c r="I297" s="34"/>
    </row>
    <row r="298" spans="7:9" ht="14.25" customHeight="1" x14ac:dyDescent="0.25">
      <c r="G298" s="57"/>
      <c r="H298" s="57"/>
      <c r="I298" s="34"/>
    </row>
    <row r="299" spans="7:9" ht="14.25" customHeight="1" x14ac:dyDescent="0.25">
      <c r="G299" s="57"/>
      <c r="H299" s="57"/>
      <c r="I299" s="34"/>
    </row>
    <row r="300" spans="7:9" ht="14.25" customHeight="1" x14ac:dyDescent="0.25">
      <c r="G300" s="57"/>
      <c r="H300" s="57"/>
      <c r="I300" s="34"/>
    </row>
    <row r="301" spans="7:9" ht="14.25" customHeight="1" x14ac:dyDescent="0.25">
      <c r="G301" s="57"/>
      <c r="H301" s="57"/>
      <c r="I301" s="34"/>
    </row>
    <row r="302" spans="7:9" ht="14.25" customHeight="1" x14ac:dyDescent="0.25">
      <c r="G302" s="57"/>
      <c r="H302" s="57"/>
      <c r="I302" s="34"/>
    </row>
    <row r="303" spans="7:9" ht="14.25" customHeight="1" x14ac:dyDescent="0.25">
      <c r="G303" s="57"/>
      <c r="H303" s="57"/>
      <c r="I303" s="34"/>
    </row>
    <row r="304" spans="7:9" ht="14.25" customHeight="1" x14ac:dyDescent="0.25">
      <c r="G304" s="57"/>
      <c r="H304" s="57"/>
      <c r="I304" s="34"/>
    </row>
    <row r="305" spans="7:9" ht="14.25" customHeight="1" x14ac:dyDescent="0.25">
      <c r="G305" s="57"/>
      <c r="H305" s="57"/>
      <c r="I305" s="34"/>
    </row>
    <row r="306" spans="7:9" ht="14.25" customHeight="1" x14ac:dyDescent="0.25">
      <c r="G306" s="57"/>
      <c r="H306" s="57"/>
      <c r="I306" s="34"/>
    </row>
    <row r="307" spans="7:9" ht="14.25" customHeight="1" x14ac:dyDescent="0.25">
      <c r="G307" s="57"/>
      <c r="H307" s="57"/>
      <c r="I307" s="34"/>
    </row>
    <row r="308" spans="7:9" ht="14.25" customHeight="1" x14ac:dyDescent="0.25">
      <c r="G308" s="57"/>
      <c r="H308" s="57"/>
      <c r="I308" s="34"/>
    </row>
    <row r="309" spans="7:9" ht="14.25" customHeight="1" x14ac:dyDescent="0.25">
      <c r="G309" s="57"/>
      <c r="H309" s="57"/>
      <c r="I309" s="34"/>
    </row>
    <row r="310" spans="7:9" ht="14.25" customHeight="1" x14ac:dyDescent="0.25">
      <c r="G310" s="57"/>
      <c r="H310" s="57"/>
      <c r="I310" s="34"/>
    </row>
    <row r="311" spans="7:9" ht="14.25" customHeight="1" x14ac:dyDescent="0.25">
      <c r="G311" s="57"/>
      <c r="H311" s="57"/>
      <c r="I311" s="34"/>
    </row>
    <row r="312" spans="7:9" ht="14.25" customHeight="1" x14ac:dyDescent="0.25">
      <c r="G312" s="57"/>
      <c r="H312" s="57"/>
      <c r="I312" s="34"/>
    </row>
    <row r="313" spans="7:9" ht="14.25" customHeight="1" x14ac:dyDescent="0.25">
      <c r="G313" s="57"/>
      <c r="H313" s="57"/>
      <c r="I313" s="34"/>
    </row>
    <row r="314" spans="7:9" ht="14.25" customHeight="1" x14ac:dyDescent="0.25">
      <c r="G314" s="57"/>
      <c r="H314" s="57"/>
      <c r="I314" s="34"/>
    </row>
    <row r="315" spans="7:9" ht="14.25" customHeight="1" x14ac:dyDescent="0.25">
      <c r="G315" s="57"/>
      <c r="H315" s="57"/>
      <c r="I315" s="34"/>
    </row>
    <row r="316" spans="7:9" ht="14.25" customHeight="1" x14ac:dyDescent="0.25">
      <c r="G316" s="57"/>
      <c r="H316" s="57"/>
      <c r="I316" s="34"/>
    </row>
    <row r="317" spans="7:9" ht="14.25" customHeight="1" x14ac:dyDescent="0.25">
      <c r="G317" s="57"/>
      <c r="H317" s="57"/>
      <c r="I317" s="34"/>
    </row>
    <row r="318" spans="7:9" ht="14.25" customHeight="1" x14ac:dyDescent="0.25">
      <c r="G318" s="57"/>
      <c r="H318" s="57"/>
      <c r="I318" s="34"/>
    </row>
    <row r="319" spans="7:9" ht="14.25" customHeight="1" x14ac:dyDescent="0.25">
      <c r="G319" s="57"/>
      <c r="H319" s="57"/>
      <c r="I319" s="34"/>
    </row>
    <row r="320" spans="7:9" ht="14.25" customHeight="1" x14ac:dyDescent="0.25">
      <c r="G320" s="57"/>
      <c r="H320" s="57"/>
      <c r="I320" s="34"/>
    </row>
    <row r="321" spans="7:9" ht="14.25" customHeight="1" x14ac:dyDescent="0.25">
      <c r="G321" s="57"/>
      <c r="H321" s="57"/>
      <c r="I321" s="34"/>
    </row>
    <row r="322" spans="7:9" ht="14.25" customHeight="1" x14ac:dyDescent="0.25">
      <c r="G322" s="57"/>
      <c r="H322" s="57"/>
      <c r="I322" s="34"/>
    </row>
    <row r="323" spans="7:9" ht="14.25" customHeight="1" x14ac:dyDescent="0.25">
      <c r="G323" s="57"/>
      <c r="H323" s="57"/>
      <c r="I323" s="34"/>
    </row>
    <row r="324" spans="7:9" ht="14.25" customHeight="1" x14ac:dyDescent="0.25">
      <c r="G324" s="57"/>
      <c r="H324" s="57"/>
      <c r="I324" s="34"/>
    </row>
    <row r="325" spans="7:9" ht="14.25" customHeight="1" x14ac:dyDescent="0.25">
      <c r="G325" s="57"/>
      <c r="H325" s="57"/>
      <c r="I325" s="34"/>
    </row>
    <row r="326" spans="7:9" ht="14.25" customHeight="1" x14ac:dyDescent="0.25">
      <c r="G326" s="57"/>
      <c r="H326" s="57"/>
      <c r="I326" s="34"/>
    </row>
    <row r="327" spans="7:9" ht="14.25" customHeight="1" x14ac:dyDescent="0.25">
      <c r="G327" s="57"/>
      <c r="H327" s="57"/>
      <c r="I327" s="34"/>
    </row>
    <row r="328" spans="7:9" ht="14.25" customHeight="1" x14ac:dyDescent="0.25">
      <c r="G328" s="57"/>
      <c r="H328" s="57"/>
      <c r="I328" s="34"/>
    </row>
    <row r="329" spans="7:9" ht="14.25" customHeight="1" x14ac:dyDescent="0.25">
      <c r="G329" s="57"/>
      <c r="H329" s="57"/>
      <c r="I329" s="34"/>
    </row>
    <row r="330" spans="7:9" ht="14.25" customHeight="1" x14ac:dyDescent="0.25">
      <c r="G330" s="57"/>
      <c r="H330" s="57"/>
      <c r="I330" s="34"/>
    </row>
    <row r="331" spans="7:9" ht="14.25" customHeight="1" x14ac:dyDescent="0.25">
      <c r="G331" s="57"/>
      <c r="H331" s="57"/>
      <c r="I331" s="34"/>
    </row>
    <row r="332" spans="7:9" ht="14.25" customHeight="1" x14ac:dyDescent="0.25">
      <c r="G332" s="57"/>
      <c r="H332" s="57"/>
      <c r="I332" s="34"/>
    </row>
    <row r="333" spans="7:9" ht="14.25" customHeight="1" x14ac:dyDescent="0.25">
      <c r="G333" s="57"/>
      <c r="H333" s="57"/>
      <c r="I333" s="34"/>
    </row>
    <row r="334" spans="7:9" ht="14.25" customHeight="1" x14ac:dyDescent="0.25">
      <c r="G334" s="57"/>
      <c r="H334" s="57"/>
      <c r="I334" s="34"/>
    </row>
    <row r="335" spans="7:9" ht="14.25" customHeight="1" x14ac:dyDescent="0.25">
      <c r="G335" s="57"/>
      <c r="H335" s="57"/>
      <c r="I335" s="34"/>
    </row>
    <row r="336" spans="7:9" ht="14.25" customHeight="1" x14ac:dyDescent="0.25">
      <c r="G336" s="57"/>
      <c r="H336" s="57"/>
      <c r="I336" s="34"/>
    </row>
    <row r="337" spans="7:9" ht="14.25" customHeight="1" x14ac:dyDescent="0.25">
      <c r="G337" s="57"/>
      <c r="H337" s="57"/>
      <c r="I337" s="34"/>
    </row>
    <row r="338" spans="7:9" ht="14.25" customHeight="1" x14ac:dyDescent="0.25">
      <c r="G338" s="57"/>
      <c r="H338" s="57"/>
      <c r="I338" s="34"/>
    </row>
    <row r="339" spans="7:9" ht="14.25" customHeight="1" x14ac:dyDescent="0.25">
      <c r="G339" s="57"/>
      <c r="H339" s="57"/>
      <c r="I339" s="34"/>
    </row>
    <row r="340" spans="7:9" ht="14.25" customHeight="1" x14ac:dyDescent="0.25">
      <c r="G340" s="57"/>
      <c r="H340" s="57"/>
      <c r="I340" s="34"/>
    </row>
    <row r="341" spans="7:9" ht="14.25" customHeight="1" x14ac:dyDescent="0.25">
      <c r="G341" s="57"/>
      <c r="H341" s="57"/>
      <c r="I341" s="34"/>
    </row>
    <row r="342" spans="7:9" ht="14.25" customHeight="1" x14ac:dyDescent="0.25">
      <c r="G342" s="57"/>
      <c r="H342" s="57"/>
      <c r="I342" s="34"/>
    </row>
    <row r="343" spans="7:9" ht="14.25" customHeight="1" x14ac:dyDescent="0.25">
      <c r="G343" s="57"/>
      <c r="H343" s="57"/>
      <c r="I343" s="34"/>
    </row>
    <row r="344" spans="7:9" ht="14.25" customHeight="1" x14ac:dyDescent="0.25">
      <c r="G344" s="57"/>
      <c r="H344" s="57"/>
      <c r="I344" s="34"/>
    </row>
    <row r="345" spans="7:9" ht="14.25" customHeight="1" x14ac:dyDescent="0.25">
      <c r="G345" s="57"/>
      <c r="H345" s="57"/>
      <c r="I345" s="34"/>
    </row>
    <row r="346" spans="7:9" ht="14.25" customHeight="1" x14ac:dyDescent="0.25">
      <c r="G346" s="57"/>
      <c r="H346" s="57"/>
      <c r="I346" s="34"/>
    </row>
    <row r="347" spans="7:9" ht="14.25" customHeight="1" x14ac:dyDescent="0.25">
      <c r="G347" s="57"/>
      <c r="H347" s="57"/>
      <c r="I347" s="34"/>
    </row>
    <row r="348" spans="7:9" ht="14.25" customHeight="1" x14ac:dyDescent="0.25">
      <c r="G348" s="57"/>
      <c r="H348" s="57"/>
      <c r="I348" s="34"/>
    </row>
    <row r="349" spans="7:9" ht="14.25" customHeight="1" x14ac:dyDescent="0.25">
      <c r="G349" s="57"/>
      <c r="H349" s="57"/>
      <c r="I349" s="34"/>
    </row>
    <row r="350" spans="7:9" ht="14.25" customHeight="1" x14ac:dyDescent="0.25">
      <c r="G350" s="57"/>
      <c r="H350" s="57"/>
      <c r="I350" s="34"/>
    </row>
    <row r="351" spans="7:9" ht="14.25" customHeight="1" x14ac:dyDescent="0.25">
      <c r="G351" s="57"/>
      <c r="H351" s="57"/>
      <c r="I351" s="34"/>
    </row>
    <row r="352" spans="7:9" ht="14.25" customHeight="1" x14ac:dyDescent="0.25">
      <c r="G352" s="57"/>
      <c r="H352" s="57"/>
      <c r="I352" s="34"/>
    </row>
    <row r="353" spans="7:9" ht="14.25" customHeight="1" x14ac:dyDescent="0.25">
      <c r="G353" s="57"/>
      <c r="H353" s="57"/>
      <c r="I353" s="34"/>
    </row>
    <row r="354" spans="7:9" ht="14.25" customHeight="1" x14ac:dyDescent="0.25">
      <c r="G354" s="57"/>
      <c r="H354" s="57"/>
      <c r="I354" s="34"/>
    </row>
    <row r="355" spans="7:9" ht="14.25" customHeight="1" x14ac:dyDescent="0.25">
      <c r="G355" s="57"/>
      <c r="H355" s="57"/>
      <c r="I355" s="34"/>
    </row>
    <row r="356" spans="7:9" ht="14.25" customHeight="1" x14ac:dyDescent="0.25">
      <c r="G356" s="57"/>
      <c r="H356" s="57"/>
      <c r="I356" s="34"/>
    </row>
    <row r="357" spans="7:9" ht="14.25" customHeight="1" x14ac:dyDescent="0.25">
      <c r="G357" s="57"/>
      <c r="H357" s="57"/>
      <c r="I357" s="34"/>
    </row>
    <row r="358" spans="7:9" ht="14.25" customHeight="1" x14ac:dyDescent="0.25">
      <c r="G358" s="57"/>
      <c r="H358" s="57"/>
      <c r="I358" s="34"/>
    </row>
    <row r="359" spans="7:9" ht="14.25" customHeight="1" x14ac:dyDescent="0.25">
      <c r="G359" s="57"/>
      <c r="H359" s="57"/>
      <c r="I359" s="34"/>
    </row>
    <row r="360" spans="7:9" ht="14.25" customHeight="1" x14ac:dyDescent="0.25">
      <c r="G360" s="57"/>
      <c r="H360" s="57"/>
      <c r="I360" s="34"/>
    </row>
    <row r="361" spans="7:9" ht="14.25" customHeight="1" x14ac:dyDescent="0.25">
      <c r="G361" s="57"/>
      <c r="H361" s="57"/>
      <c r="I361" s="34"/>
    </row>
    <row r="362" spans="7:9" ht="14.25" customHeight="1" x14ac:dyDescent="0.25">
      <c r="G362" s="57"/>
      <c r="H362" s="57"/>
      <c r="I362" s="34"/>
    </row>
    <row r="363" spans="7:9" ht="14.25" customHeight="1" x14ac:dyDescent="0.25">
      <c r="G363" s="57"/>
      <c r="H363" s="57"/>
      <c r="I363" s="34"/>
    </row>
    <row r="364" spans="7:9" ht="14.25" customHeight="1" x14ac:dyDescent="0.25">
      <c r="G364" s="57"/>
      <c r="H364" s="57"/>
      <c r="I364" s="34"/>
    </row>
    <row r="365" spans="7:9" ht="14.25" customHeight="1" x14ac:dyDescent="0.25">
      <c r="G365" s="57"/>
      <c r="H365" s="57"/>
      <c r="I365" s="34"/>
    </row>
    <row r="366" spans="7:9" ht="14.25" customHeight="1" x14ac:dyDescent="0.25">
      <c r="G366" s="57"/>
      <c r="H366" s="57"/>
      <c r="I366" s="34"/>
    </row>
    <row r="367" spans="7:9" ht="14.25" customHeight="1" x14ac:dyDescent="0.25">
      <c r="G367" s="57"/>
      <c r="H367" s="57"/>
      <c r="I367" s="34"/>
    </row>
    <row r="368" spans="7:9" ht="14.25" customHeight="1" x14ac:dyDescent="0.25">
      <c r="G368" s="57"/>
      <c r="H368" s="57"/>
      <c r="I368" s="34"/>
    </row>
    <row r="369" spans="7:9" ht="14.25" customHeight="1" x14ac:dyDescent="0.25">
      <c r="G369" s="57"/>
      <c r="H369" s="57"/>
      <c r="I369" s="34"/>
    </row>
    <row r="370" spans="7:9" ht="14.25" customHeight="1" x14ac:dyDescent="0.25">
      <c r="G370" s="57"/>
      <c r="H370" s="57"/>
      <c r="I370" s="34"/>
    </row>
    <row r="371" spans="7:9" ht="14.25" customHeight="1" x14ac:dyDescent="0.25">
      <c r="G371" s="57"/>
      <c r="H371" s="57"/>
      <c r="I371" s="34"/>
    </row>
    <row r="372" spans="7:9" ht="14.25" customHeight="1" x14ac:dyDescent="0.25">
      <c r="G372" s="57"/>
      <c r="H372" s="57"/>
      <c r="I372" s="34"/>
    </row>
    <row r="373" spans="7:9" ht="14.25" customHeight="1" x14ac:dyDescent="0.25">
      <c r="G373" s="57"/>
      <c r="H373" s="57"/>
      <c r="I373" s="34"/>
    </row>
    <row r="374" spans="7:9" ht="14.25" customHeight="1" x14ac:dyDescent="0.25">
      <c r="G374" s="57"/>
      <c r="H374" s="57"/>
      <c r="I374" s="34"/>
    </row>
    <row r="375" spans="7:9" ht="14.25" customHeight="1" x14ac:dyDescent="0.25">
      <c r="G375" s="57"/>
      <c r="H375" s="57"/>
      <c r="I375" s="34"/>
    </row>
    <row r="376" spans="7:9" ht="14.25" customHeight="1" x14ac:dyDescent="0.25">
      <c r="G376" s="57"/>
      <c r="H376" s="57"/>
      <c r="I376" s="34"/>
    </row>
    <row r="377" spans="7:9" ht="14.25" customHeight="1" x14ac:dyDescent="0.25">
      <c r="G377" s="57"/>
      <c r="H377" s="57"/>
      <c r="I377" s="34"/>
    </row>
    <row r="378" spans="7:9" ht="14.25" customHeight="1" x14ac:dyDescent="0.25">
      <c r="G378" s="57"/>
      <c r="H378" s="57"/>
      <c r="I378" s="34"/>
    </row>
    <row r="379" spans="7:9" ht="14.25" customHeight="1" x14ac:dyDescent="0.25">
      <c r="G379" s="57"/>
      <c r="H379" s="57"/>
      <c r="I379" s="34"/>
    </row>
    <row r="380" spans="7:9" ht="14.25" customHeight="1" x14ac:dyDescent="0.25">
      <c r="G380" s="57"/>
      <c r="H380" s="57"/>
      <c r="I380" s="34"/>
    </row>
    <row r="381" spans="7:9" ht="14.25" customHeight="1" x14ac:dyDescent="0.25">
      <c r="G381" s="57"/>
      <c r="H381" s="57"/>
      <c r="I381" s="34"/>
    </row>
    <row r="382" spans="7:9" ht="14.25" customHeight="1" x14ac:dyDescent="0.25">
      <c r="G382" s="57"/>
      <c r="H382" s="57"/>
      <c r="I382" s="34"/>
    </row>
    <row r="383" spans="7:9" ht="14.25" customHeight="1" x14ac:dyDescent="0.25">
      <c r="G383" s="57"/>
      <c r="H383" s="57"/>
      <c r="I383" s="34"/>
    </row>
    <row r="384" spans="7:9" ht="14.25" customHeight="1" x14ac:dyDescent="0.25">
      <c r="G384" s="57"/>
      <c r="H384" s="57"/>
      <c r="I384" s="34"/>
    </row>
    <row r="385" spans="7:9" ht="14.25" customHeight="1" x14ac:dyDescent="0.25">
      <c r="G385" s="57"/>
      <c r="H385" s="57"/>
      <c r="I385" s="34"/>
    </row>
    <row r="386" spans="7:9" ht="14.25" customHeight="1" x14ac:dyDescent="0.25">
      <c r="G386" s="57"/>
      <c r="H386" s="57"/>
      <c r="I386" s="34"/>
    </row>
    <row r="387" spans="7:9" ht="14.25" customHeight="1" x14ac:dyDescent="0.25">
      <c r="G387" s="57"/>
      <c r="H387" s="57"/>
      <c r="I387" s="34"/>
    </row>
    <row r="388" spans="7:9" ht="14.25" customHeight="1" x14ac:dyDescent="0.25">
      <c r="G388" s="57"/>
      <c r="H388" s="57"/>
      <c r="I388" s="34"/>
    </row>
    <row r="389" spans="7:9" ht="14.25" customHeight="1" x14ac:dyDescent="0.25">
      <c r="G389" s="57"/>
      <c r="H389" s="57"/>
      <c r="I389" s="34"/>
    </row>
    <row r="390" spans="7:9" ht="14.25" customHeight="1" x14ac:dyDescent="0.25">
      <c r="G390" s="57"/>
      <c r="H390" s="57"/>
      <c r="I390" s="34"/>
    </row>
    <row r="391" spans="7:9" ht="14.25" customHeight="1" x14ac:dyDescent="0.25">
      <c r="G391" s="57"/>
      <c r="H391" s="57"/>
      <c r="I391" s="34"/>
    </row>
    <row r="392" spans="7:9" ht="14.25" customHeight="1" x14ac:dyDescent="0.25">
      <c r="G392" s="57"/>
      <c r="H392" s="57"/>
      <c r="I392" s="34"/>
    </row>
    <row r="393" spans="7:9" ht="14.25" customHeight="1" x14ac:dyDescent="0.25">
      <c r="G393" s="57"/>
      <c r="H393" s="57"/>
      <c r="I393" s="34"/>
    </row>
    <row r="394" spans="7:9" ht="14.25" customHeight="1" x14ac:dyDescent="0.25">
      <c r="G394" s="57"/>
      <c r="H394" s="57"/>
      <c r="I394" s="34"/>
    </row>
    <row r="395" spans="7:9" ht="14.25" customHeight="1" x14ac:dyDescent="0.25">
      <c r="G395" s="57"/>
      <c r="H395" s="57"/>
      <c r="I395" s="34"/>
    </row>
    <row r="396" spans="7:9" ht="14.25" customHeight="1" x14ac:dyDescent="0.25">
      <c r="G396" s="57"/>
      <c r="H396" s="57"/>
      <c r="I396" s="34"/>
    </row>
    <row r="397" spans="7:9" ht="14.25" customHeight="1" x14ac:dyDescent="0.25">
      <c r="G397" s="57"/>
      <c r="H397" s="57"/>
      <c r="I397" s="34"/>
    </row>
    <row r="398" spans="7:9" ht="14.25" customHeight="1" x14ac:dyDescent="0.25">
      <c r="G398" s="57"/>
      <c r="H398" s="57"/>
      <c r="I398" s="34"/>
    </row>
    <row r="399" spans="7:9" ht="14.25" customHeight="1" x14ac:dyDescent="0.25">
      <c r="G399" s="57"/>
      <c r="H399" s="57"/>
      <c r="I399" s="34"/>
    </row>
    <row r="400" spans="7:9" ht="14.25" customHeight="1" x14ac:dyDescent="0.25">
      <c r="G400" s="57"/>
      <c r="H400" s="57"/>
      <c r="I400" s="34"/>
    </row>
    <row r="401" spans="7:9" ht="14.25" customHeight="1" x14ac:dyDescent="0.25">
      <c r="G401" s="57"/>
      <c r="H401" s="57"/>
      <c r="I401" s="34"/>
    </row>
    <row r="402" spans="7:9" ht="14.25" customHeight="1" x14ac:dyDescent="0.25">
      <c r="G402" s="57"/>
      <c r="H402" s="57"/>
      <c r="I402" s="34"/>
    </row>
    <row r="403" spans="7:9" ht="14.25" customHeight="1" x14ac:dyDescent="0.25">
      <c r="G403" s="57"/>
      <c r="H403" s="57"/>
      <c r="I403" s="34"/>
    </row>
    <row r="404" spans="7:9" ht="14.25" customHeight="1" x14ac:dyDescent="0.25">
      <c r="G404" s="57"/>
      <c r="H404" s="57"/>
      <c r="I404" s="34"/>
    </row>
    <row r="405" spans="7:9" ht="14.25" customHeight="1" x14ac:dyDescent="0.25">
      <c r="G405" s="57"/>
      <c r="H405" s="57"/>
      <c r="I405" s="34"/>
    </row>
    <row r="406" spans="7:9" ht="14.25" customHeight="1" x14ac:dyDescent="0.25">
      <c r="G406" s="57"/>
      <c r="H406" s="57"/>
      <c r="I406" s="34"/>
    </row>
    <row r="407" spans="7:9" ht="14.25" customHeight="1" x14ac:dyDescent="0.25">
      <c r="G407" s="57"/>
      <c r="H407" s="57"/>
      <c r="I407" s="34"/>
    </row>
    <row r="408" spans="7:9" ht="14.25" customHeight="1" x14ac:dyDescent="0.25">
      <c r="G408" s="57"/>
      <c r="H408" s="57"/>
      <c r="I408" s="34"/>
    </row>
    <row r="409" spans="7:9" ht="14.25" customHeight="1" x14ac:dyDescent="0.25">
      <c r="G409" s="57"/>
      <c r="H409" s="57"/>
      <c r="I409" s="34"/>
    </row>
    <row r="410" spans="7:9" ht="14.25" customHeight="1" x14ac:dyDescent="0.25">
      <c r="G410" s="57"/>
      <c r="H410" s="57"/>
      <c r="I410" s="34"/>
    </row>
    <row r="411" spans="7:9" ht="14.25" customHeight="1" x14ac:dyDescent="0.25">
      <c r="G411" s="57"/>
      <c r="H411" s="57"/>
      <c r="I411" s="34"/>
    </row>
    <row r="412" spans="7:9" ht="14.25" customHeight="1" x14ac:dyDescent="0.25">
      <c r="G412" s="57"/>
      <c r="H412" s="57"/>
      <c r="I412" s="34"/>
    </row>
    <row r="413" spans="7:9" ht="14.25" customHeight="1" x14ac:dyDescent="0.25">
      <c r="G413" s="57"/>
      <c r="H413" s="57"/>
      <c r="I413" s="34"/>
    </row>
    <row r="414" spans="7:9" ht="14.25" customHeight="1" x14ac:dyDescent="0.25">
      <c r="G414" s="57"/>
      <c r="H414" s="57"/>
      <c r="I414" s="34"/>
    </row>
    <row r="415" spans="7:9" ht="14.25" customHeight="1" x14ac:dyDescent="0.25">
      <c r="G415" s="57"/>
      <c r="H415" s="57"/>
      <c r="I415" s="34"/>
    </row>
    <row r="416" spans="7:9" ht="14.25" customHeight="1" x14ac:dyDescent="0.25">
      <c r="G416" s="57"/>
      <c r="H416" s="57"/>
      <c r="I416" s="34"/>
    </row>
    <row r="417" spans="7:9" ht="14.25" customHeight="1" x14ac:dyDescent="0.25">
      <c r="G417" s="57"/>
      <c r="H417" s="57"/>
      <c r="I417" s="34"/>
    </row>
    <row r="418" spans="7:9" ht="14.25" customHeight="1" x14ac:dyDescent="0.25">
      <c r="G418" s="57"/>
      <c r="H418" s="57"/>
      <c r="I418" s="34"/>
    </row>
    <row r="419" spans="7:9" ht="14.25" customHeight="1" x14ac:dyDescent="0.25">
      <c r="G419" s="57"/>
      <c r="H419" s="57"/>
      <c r="I419" s="34"/>
    </row>
    <row r="420" spans="7:9" ht="14.25" customHeight="1" x14ac:dyDescent="0.25">
      <c r="G420" s="57"/>
      <c r="H420" s="57"/>
      <c r="I420" s="34"/>
    </row>
    <row r="421" spans="7:9" ht="14.25" customHeight="1" x14ac:dyDescent="0.25">
      <c r="G421" s="57"/>
      <c r="H421" s="57"/>
      <c r="I421" s="34"/>
    </row>
    <row r="422" spans="7:9" ht="14.25" customHeight="1" x14ac:dyDescent="0.25">
      <c r="G422" s="57"/>
      <c r="H422" s="57"/>
      <c r="I422" s="34"/>
    </row>
    <row r="423" spans="7:9" ht="14.25" customHeight="1" x14ac:dyDescent="0.25">
      <c r="G423" s="57"/>
      <c r="H423" s="57"/>
      <c r="I423" s="34"/>
    </row>
    <row r="424" spans="7:9" ht="14.25" customHeight="1" x14ac:dyDescent="0.25">
      <c r="G424" s="57"/>
      <c r="H424" s="57"/>
      <c r="I424" s="34"/>
    </row>
    <row r="425" spans="7:9" ht="14.25" customHeight="1" x14ac:dyDescent="0.25">
      <c r="G425" s="57"/>
      <c r="H425" s="57"/>
      <c r="I425" s="34"/>
    </row>
    <row r="426" spans="7:9" ht="14.25" customHeight="1" x14ac:dyDescent="0.25">
      <c r="G426" s="57"/>
      <c r="H426" s="57"/>
      <c r="I426" s="34"/>
    </row>
    <row r="427" spans="7:9" ht="14.25" customHeight="1" x14ac:dyDescent="0.25">
      <c r="G427" s="57"/>
      <c r="H427" s="57"/>
      <c r="I427" s="34"/>
    </row>
    <row r="428" spans="7:9" ht="14.25" customHeight="1" x14ac:dyDescent="0.25">
      <c r="G428" s="57"/>
      <c r="H428" s="57"/>
      <c r="I428" s="34"/>
    </row>
    <row r="429" spans="7:9" ht="14.25" customHeight="1" x14ac:dyDescent="0.25">
      <c r="G429" s="57"/>
      <c r="H429" s="57"/>
      <c r="I429" s="34"/>
    </row>
    <row r="430" spans="7:9" ht="14.25" customHeight="1" x14ac:dyDescent="0.25">
      <c r="G430" s="57"/>
      <c r="H430" s="57"/>
      <c r="I430" s="34"/>
    </row>
    <row r="431" spans="7:9" ht="14.25" customHeight="1" x14ac:dyDescent="0.25">
      <c r="G431" s="57"/>
      <c r="H431" s="57"/>
      <c r="I431" s="34"/>
    </row>
    <row r="432" spans="7:9" ht="14.25" customHeight="1" x14ac:dyDescent="0.25">
      <c r="G432" s="57"/>
      <c r="H432" s="57"/>
      <c r="I432" s="34"/>
    </row>
    <row r="433" spans="7:9" ht="14.25" customHeight="1" x14ac:dyDescent="0.25">
      <c r="G433" s="57"/>
      <c r="H433" s="57"/>
      <c r="I433" s="34"/>
    </row>
    <row r="434" spans="7:9" ht="14.25" customHeight="1" x14ac:dyDescent="0.25">
      <c r="G434" s="57"/>
      <c r="H434" s="57"/>
      <c r="I434" s="34"/>
    </row>
    <row r="435" spans="7:9" ht="14.25" customHeight="1" x14ac:dyDescent="0.25">
      <c r="G435" s="57"/>
      <c r="H435" s="57"/>
      <c r="I435" s="34"/>
    </row>
    <row r="436" spans="7:9" ht="14.25" customHeight="1" x14ac:dyDescent="0.25">
      <c r="G436" s="57"/>
      <c r="H436" s="57"/>
      <c r="I436" s="34"/>
    </row>
    <row r="437" spans="7:9" ht="14.25" customHeight="1" x14ac:dyDescent="0.25">
      <c r="G437" s="57"/>
      <c r="H437" s="57"/>
      <c r="I437" s="34"/>
    </row>
    <row r="438" spans="7:9" ht="14.25" customHeight="1" x14ac:dyDescent="0.25">
      <c r="G438" s="57"/>
      <c r="H438" s="57"/>
      <c r="I438" s="34"/>
    </row>
    <row r="439" spans="7:9" ht="14.25" customHeight="1" x14ac:dyDescent="0.25">
      <c r="G439" s="57"/>
      <c r="H439" s="57"/>
      <c r="I439" s="34"/>
    </row>
    <row r="440" spans="7:9" ht="14.25" customHeight="1" x14ac:dyDescent="0.25">
      <c r="G440" s="57"/>
      <c r="H440" s="57"/>
      <c r="I440" s="34"/>
    </row>
    <row r="441" spans="7:9" ht="14.25" customHeight="1" x14ac:dyDescent="0.25">
      <c r="G441" s="57"/>
      <c r="H441" s="57"/>
      <c r="I441" s="34"/>
    </row>
    <row r="442" spans="7:9" ht="14.25" customHeight="1" x14ac:dyDescent="0.25">
      <c r="G442" s="57"/>
      <c r="H442" s="57"/>
      <c r="I442" s="34"/>
    </row>
    <row r="443" spans="7:9" ht="14.25" customHeight="1" x14ac:dyDescent="0.25">
      <c r="G443" s="57"/>
      <c r="H443" s="57"/>
      <c r="I443" s="34"/>
    </row>
    <row r="444" spans="7:9" ht="14.25" customHeight="1" x14ac:dyDescent="0.25">
      <c r="G444" s="57"/>
      <c r="H444" s="57"/>
      <c r="I444" s="34"/>
    </row>
    <row r="445" spans="7:9" ht="14.25" customHeight="1" x14ac:dyDescent="0.25">
      <c r="G445" s="57"/>
      <c r="H445" s="57"/>
      <c r="I445" s="34"/>
    </row>
    <row r="446" spans="7:9" ht="14.25" customHeight="1" x14ac:dyDescent="0.25">
      <c r="G446" s="57"/>
      <c r="H446" s="57"/>
      <c r="I446" s="34"/>
    </row>
    <row r="447" spans="7:9" ht="14.25" customHeight="1" x14ac:dyDescent="0.25">
      <c r="G447" s="57"/>
      <c r="H447" s="57"/>
      <c r="I447" s="34"/>
    </row>
    <row r="448" spans="7:9" ht="14.25" customHeight="1" x14ac:dyDescent="0.25">
      <c r="G448" s="57"/>
      <c r="H448" s="57"/>
      <c r="I448" s="34"/>
    </row>
    <row r="449" spans="7:9" ht="14.25" customHeight="1" x14ac:dyDescent="0.25">
      <c r="G449" s="57"/>
      <c r="H449" s="57"/>
      <c r="I449" s="34"/>
    </row>
    <row r="450" spans="7:9" ht="14.25" customHeight="1" x14ac:dyDescent="0.25">
      <c r="G450" s="57"/>
      <c r="H450" s="57"/>
      <c r="I450" s="34"/>
    </row>
    <row r="451" spans="7:9" ht="14.25" customHeight="1" x14ac:dyDescent="0.25">
      <c r="G451" s="57"/>
      <c r="H451" s="57"/>
      <c r="I451" s="34"/>
    </row>
    <row r="452" spans="7:9" ht="14.25" customHeight="1" x14ac:dyDescent="0.25">
      <c r="G452" s="57"/>
      <c r="H452" s="57"/>
      <c r="I452" s="34"/>
    </row>
    <row r="453" spans="7:9" ht="14.25" customHeight="1" x14ac:dyDescent="0.25">
      <c r="G453" s="57"/>
      <c r="H453" s="57"/>
      <c r="I453" s="34"/>
    </row>
    <row r="454" spans="7:9" ht="14.25" customHeight="1" x14ac:dyDescent="0.25">
      <c r="G454" s="57"/>
      <c r="H454" s="57"/>
      <c r="I454" s="34"/>
    </row>
    <row r="455" spans="7:9" ht="14.25" customHeight="1" x14ac:dyDescent="0.25">
      <c r="G455" s="57"/>
      <c r="H455" s="57"/>
      <c r="I455" s="34"/>
    </row>
    <row r="456" spans="7:9" ht="14.25" customHeight="1" x14ac:dyDescent="0.25">
      <c r="G456" s="57"/>
      <c r="H456" s="57"/>
      <c r="I456" s="34"/>
    </row>
    <row r="457" spans="7:9" ht="14.25" customHeight="1" x14ac:dyDescent="0.25">
      <c r="G457" s="57"/>
      <c r="H457" s="57"/>
      <c r="I457" s="34"/>
    </row>
    <row r="458" spans="7:9" ht="14.25" customHeight="1" x14ac:dyDescent="0.25">
      <c r="G458" s="57"/>
      <c r="H458" s="57"/>
      <c r="I458" s="34"/>
    </row>
    <row r="459" spans="7:9" ht="14.25" customHeight="1" x14ac:dyDescent="0.25">
      <c r="G459" s="57"/>
      <c r="H459" s="57"/>
      <c r="I459" s="34"/>
    </row>
    <row r="460" spans="7:9" ht="14.25" customHeight="1" x14ac:dyDescent="0.25">
      <c r="G460" s="57"/>
      <c r="H460" s="57"/>
      <c r="I460" s="34"/>
    </row>
    <row r="461" spans="7:9" ht="14.25" customHeight="1" x14ac:dyDescent="0.25">
      <c r="G461" s="57"/>
      <c r="H461" s="57"/>
      <c r="I461" s="34"/>
    </row>
    <row r="462" spans="7:9" ht="14.25" customHeight="1" x14ac:dyDescent="0.25">
      <c r="G462" s="57"/>
      <c r="H462" s="57"/>
      <c r="I462" s="34"/>
    </row>
    <row r="463" spans="7:9" ht="14.25" customHeight="1" x14ac:dyDescent="0.25">
      <c r="G463" s="57"/>
      <c r="H463" s="57"/>
      <c r="I463" s="34"/>
    </row>
    <row r="464" spans="7:9" ht="14.25" customHeight="1" x14ac:dyDescent="0.25">
      <c r="G464" s="57"/>
      <c r="H464" s="57"/>
      <c r="I464" s="34"/>
    </row>
    <row r="465" spans="7:9" ht="14.25" customHeight="1" x14ac:dyDescent="0.25">
      <c r="G465" s="57"/>
      <c r="H465" s="57"/>
      <c r="I465" s="34"/>
    </row>
    <row r="466" spans="7:9" ht="14.25" customHeight="1" x14ac:dyDescent="0.25">
      <c r="G466" s="57"/>
      <c r="H466" s="57"/>
      <c r="I466" s="34"/>
    </row>
    <row r="467" spans="7:9" ht="14.25" customHeight="1" x14ac:dyDescent="0.25">
      <c r="G467" s="57"/>
      <c r="H467" s="57"/>
      <c r="I467" s="34"/>
    </row>
    <row r="468" spans="7:9" ht="14.25" customHeight="1" x14ac:dyDescent="0.25">
      <c r="G468" s="57"/>
      <c r="H468" s="57"/>
      <c r="I468" s="34"/>
    </row>
    <row r="469" spans="7:9" ht="14.25" customHeight="1" x14ac:dyDescent="0.25">
      <c r="G469" s="57"/>
      <c r="H469" s="57"/>
      <c r="I469" s="34"/>
    </row>
    <row r="470" spans="7:9" ht="14.25" customHeight="1" x14ac:dyDescent="0.25">
      <c r="G470" s="57"/>
      <c r="H470" s="57"/>
      <c r="I470" s="34"/>
    </row>
    <row r="471" spans="7:9" ht="14.25" customHeight="1" x14ac:dyDescent="0.25">
      <c r="G471" s="57"/>
      <c r="H471" s="57"/>
      <c r="I471" s="34"/>
    </row>
    <row r="472" spans="7:9" ht="14.25" customHeight="1" x14ac:dyDescent="0.25">
      <c r="G472" s="57"/>
      <c r="H472" s="57"/>
      <c r="I472" s="34"/>
    </row>
    <row r="473" spans="7:9" ht="14.25" customHeight="1" x14ac:dyDescent="0.25">
      <c r="G473" s="57"/>
      <c r="H473" s="57"/>
      <c r="I473" s="34"/>
    </row>
    <row r="474" spans="7:9" ht="14.25" customHeight="1" x14ac:dyDescent="0.25">
      <c r="G474" s="57"/>
      <c r="H474" s="57"/>
      <c r="I474" s="34"/>
    </row>
    <row r="475" spans="7:9" ht="14.25" customHeight="1" x14ac:dyDescent="0.25">
      <c r="G475" s="57"/>
      <c r="H475" s="57"/>
      <c r="I475" s="34"/>
    </row>
    <row r="476" spans="7:9" ht="14.25" customHeight="1" x14ac:dyDescent="0.25">
      <c r="G476" s="57"/>
      <c r="H476" s="57"/>
      <c r="I476" s="34"/>
    </row>
    <row r="477" spans="7:9" ht="14.25" customHeight="1" x14ac:dyDescent="0.25">
      <c r="G477" s="57"/>
      <c r="H477" s="57"/>
      <c r="I477" s="34"/>
    </row>
    <row r="478" spans="7:9" ht="14.25" customHeight="1" x14ac:dyDescent="0.25">
      <c r="G478" s="57"/>
      <c r="H478" s="57"/>
      <c r="I478" s="34"/>
    </row>
    <row r="479" spans="7:9" ht="14.25" customHeight="1" x14ac:dyDescent="0.25">
      <c r="G479" s="57"/>
      <c r="H479" s="57"/>
      <c r="I479" s="34"/>
    </row>
    <row r="480" spans="7:9" ht="14.25" customHeight="1" x14ac:dyDescent="0.25">
      <c r="G480" s="57"/>
      <c r="H480" s="57"/>
      <c r="I480" s="34"/>
    </row>
    <row r="481" spans="7:9" ht="14.25" customHeight="1" x14ac:dyDescent="0.25">
      <c r="G481" s="57"/>
      <c r="H481" s="57"/>
      <c r="I481" s="34"/>
    </row>
    <row r="482" spans="7:9" ht="14.25" customHeight="1" x14ac:dyDescent="0.25">
      <c r="G482" s="57"/>
      <c r="H482" s="57"/>
      <c r="I482" s="34"/>
    </row>
    <row r="483" spans="7:9" ht="14.25" customHeight="1" x14ac:dyDescent="0.25">
      <c r="G483" s="57"/>
      <c r="H483" s="57"/>
      <c r="I483" s="34"/>
    </row>
    <row r="484" spans="7:9" ht="14.25" customHeight="1" x14ac:dyDescent="0.25">
      <c r="G484" s="57"/>
      <c r="H484" s="57"/>
      <c r="I484" s="34"/>
    </row>
    <row r="485" spans="7:9" ht="14.25" customHeight="1" x14ac:dyDescent="0.25">
      <c r="G485" s="57"/>
      <c r="H485" s="57"/>
      <c r="I485" s="34"/>
    </row>
    <row r="486" spans="7:9" ht="14.25" customHeight="1" x14ac:dyDescent="0.25">
      <c r="G486" s="57"/>
      <c r="H486" s="57"/>
      <c r="I486" s="34"/>
    </row>
    <row r="487" spans="7:9" ht="14.25" customHeight="1" x14ac:dyDescent="0.25">
      <c r="G487" s="57"/>
      <c r="H487" s="57"/>
      <c r="I487" s="34"/>
    </row>
    <row r="488" spans="7:9" ht="14.25" customHeight="1" x14ac:dyDescent="0.25">
      <c r="G488" s="57"/>
      <c r="H488" s="57"/>
      <c r="I488" s="34"/>
    </row>
    <row r="489" spans="7:9" ht="14.25" customHeight="1" x14ac:dyDescent="0.25">
      <c r="G489" s="57"/>
      <c r="H489" s="57"/>
      <c r="I489" s="34"/>
    </row>
    <row r="490" spans="7:9" ht="14.25" customHeight="1" x14ac:dyDescent="0.25">
      <c r="G490" s="57"/>
      <c r="H490" s="57"/>
      <c r="I490" s="34"/>
    </row>
    <row r="491" spans="7:9" ht="14.25" customHeight="1" x14ac:dyDescent="0.25">
      <c r="G491" s="57"/>
      <c r="H491" s="57"/>
      <c r="I491" s="34"/>
    </row>
    <row r="492" spans="7:9" ht="14.25" customHeight="1" x14ac:dyDescent="0.25">
      <c r="G492" s="57"/>
      <c r="H492" s="57"/>
      <c r="I492" s="34"/>
    </row>
    <row r="493" spans="7:9" ht="14.25" customHeight="1" x14ac:dyDescent="0.25">
      <c r="G493" s="57"/>
      <c r="H493" s="57"/>
      <c r="I493" s="34"/>
    </row>
    <row r="494" spans="7:9" ht="14.25" customHeight="1" x14ac:dyDescent="0.25">
      <c r="G494" s="57"/>
      <c r="H494" s="57"/>
      <c r="I494" s="34"/>
    </row>
    <row r="495" spans="7:9" ht="14.25" customHeight="1" x14ac:dyDescent="0.25">
      <c r="G495" s="57"/>
      <c r="H495" s="57"/>
      <c r="I495" s="34"/>
    </row>
    <row r="496" spans="7:9" ht="14.25" customHeight="1" x14ac:dyDescent="0.25">
      <c r="G496" s="57"/>
      <c r="H496" s="57"/>
      <c r="I496" s="34"/>
    </row>
    <row r="497" spans="7:9" ht="14.25" customHeight="1" x14ac:dyDescent="0.25">
      <c r="G497" s="57"/>
      <c r="H497" s="57"/>
      <c r="I497" s="34"/>
    </row>
    <row r="498" spans="7:9" ht="14.25" customHeight="1" x14ac:dyDescent="0.25">
      <c r="G498" s="57"/>
      <c r="H498" s="57"/>
      <c r="I498" s="34"/>
    </row>
    <row r="499" spans="7:9" ht="14.25" customHeight="1" x14ac:dyDescent="0.25">
      <c r="G499" s="57"/>
      <c r="H499" s="57"/>
      <c r="I499" s="34"/>
    </row>
    <row r="500" spans="7:9" ht="14.25" customHeight="1" x14ac:dyDescent="0.25">
      <c r="G500" s="57"/>
      <c r="H500" s="57"/>
      <c r="I500" s="34"/>
    </row>
    <row r="501" spans="7:9" ht="14.25" customHeight="1" x14ac:dyDescent="0.25">
      <c r="G501" s="57"/>
      <c r="H501" s="57"/>
      <c r="I501" s="34"/>
    </row>
    <row r="502" spans="7:9" ht="14.25" customHeight="1" x14ac:dyDescent="0.25">
      <c r="G502" s="57"/>
      <c r="H502" s="57"/>
      <c r="I502" s="34"/>
    </row>
    <row r="503" spans="7:9" ht="14.25" customHeight="1" x14ac:dyDescent="0.25">
      <c r="G503" s="57"/>
      <c r="H503" s="57"/>
      <c r="I503" s="34"/>
    </row>
    <row r="504" spans="7:9" ht="14.25" customHeight="1" x14ac:dyDescent="0.25">
      <c r="G504" s="57"/>
      <c r="H504" s="57"/>
      <c r="I504" s="34"/>
    </row>
    <row r="505" spans="7:9" ht="14.25" customHeight="1" x14ac:dyDescent="0.25">
      <c r="G505" s="57"/>
      <c r="H505" s="57"/>
      <c r="I505" s="34"/>
    </row>
    <row r="506" spans="7:9" ht="14.25" customHeight="1" x14ac:dyDescent="0.25">
      <c r="G506" s="57"/>
      <c r="H506" s="57"/>
      <c r="I506" s="34"/>
    </row>
    <row r="507" spans="7:9" ht="14.25" customHeight="1" x14ac:dyDescent="0.25">
      <c r="G507" s="57"/>
      <c r="H507" s="57"/>
      <c r="I507" s="34"/>
    </row>
    <row r="508" spans="7:9" ht="14.25" customHeight="1" x14ac:dyDescent="0.25">
      <c r="G508" s="57"/>
      <c r="H508" s="57"/>
      <c r="I508" s="34"/>
    </row>
    <row r="509" spans="7:9" ht="14.25" customHeight="1" x14ac:dyDescent="0.25">
      <c r="G509" s="57"/>
      <c r="H509" s="57"/>
      <c r="I509" s="34"/>
    </row>
    <row r="510" spans="7:9" ht="14.25" customHeight="1" x14ac:dyDescent="0.25">
      <c r="G510" s="57"/>
      <c r="H510" s="57"/>
      <c r="I510" s="34"/>
    </row>
    <row r="511" spans="7:9" ht="14.25" customHeight="1" x14ac:dyDescent="0.25">
      <c r="G511" s="57"/>
      <c r="H511" s="57"/>
      <c r="I511" s="34"/>
    </row>
    <row r="512" spans="7:9" ht="14.25" customHeight="1" x14ac:dyDescent="0.25">
      <c r="G512" s="57"/>
      <c r="H512" s="57"/>
      <c r="I512" s="34"/>
    </row>
    <row r="513" spans="7:9" ht="14.25" customHeight="1" x14ac:dyDescent="0.25">
      <c r="G513" s="57"/>
      <c r="H513" s="57"/>
      <c r="I513" s="34"/>
    </row>
    <row r="514" spans="7:9" ht="14.25" customHeight="1" x14ac:dyDescent="0.25">
      <c r="G514" s="57"/>
      <c r="H514" s="57"/>
      <c r="I514" s="34"/>
    </row>
    <row r="515" spans="7:9" ht="14.25" customHeight="1" x14ac:dyDescent="0.25">
      <c r="G515" s="57"/>
      <c r="H515" s="57"/>
      <c r="I515" s="34"/>
    </row>
    <row r="516" spans="7:9" ht="14.25" customHeight="1" x14ac:dyDescent="0.25">
      <c r="G516" s="57"/>
      <c r="H516" s="57"/>
      <c r="I516" s="34"/>
    </row>
    <row r="517" spans="7:9" ht="14.25" customHeight="1" x14ac:dyDescent="0.25">
      <c r="G517" s="57"/>
      <c r="H517" s="57"/>
      <c r="I517" s="34"/>
    </row>
    <row r="518" spans="7:9" ht="14.25" customHeight="1" x14ac:dyDescent="0.25">
      <c r="G518" s="57"/>
      <c r="H518" s="57"/>
      <c r="I518" s="34"/>
    </row>
    <row r="519" spans="7:9" ht="14.25" customHeight="1" x14ac:dyDescent="0.25">
      <c r="G519" s="57"/>
      <c r="H519" s="57"/>
      <c r="I519" s="34"/>
    </row>
    <row r="520" spans="7:9" ht="14.25" customHeight="1" x14ac:dyDescent="0.25">
      <c r="G520" s="57"/>
      <c r="H520" s="57"/>
      <c r="I520" s="34"/>
    </row>
    <row r="521" spans="7:9" ht="14.25" customHeight="1" x14ac:dyDescent="0.25">
      <c r="G521" s="57"/>
      <c r="H521" s="57"/>
      <c r="I521" s="34"/>
    </row>
    <row r="522" spans="7:9" ht="14.25" customHeight="1" x14ac:dyDescent="0.25">
      <c r="G522" s="57"/>
      <c r="H522" s="57"/>
      <c r="I522" s="34"/>
    </row>
    <row r="523" spans="7:9" ht="14.25" customHeight="1" x14ac:dyDescent="0.25">
      <c r="G523" s="57"/>
      <c r="H523" s="57"/>
      <c r="I523" s="34"/>
    </row>
    <row r="524" spans="7:9" ht="14.25" customHeight="1" x14ac:dyDescent="0.25">
      <c r="G524" s="57"/>
      <c r="H524" s="57"/>
      <c r="I524" s="34"/>
    </row>
    <row r="525" spans="7:9" ht="14.25" customHeight="1" x14ac:dyDescent="0.25">
      <c r="G525" s="57"/>
      <c r="H525" s="57"/>
      <c r="I525" s="34"/>
    </row>
    <row r="526" spans="7:9" ht="14.25" customHeight="1" x14ac:dyDescent="0.25">
      <c r="G526" s="57"/>
      <c r="H526" s="57"/>
      <c r="I526" s="34"/>
    </row>
    <row r="527" spans="7:9" ht="14.25" customHeight="1" x14ac:dyDescent="0.25">
      <c r="G527" s="57"/>
      <c r="H527" s="57"/>
      <c r="I527" s="34"/>
    </row>
    <row r="528" spans="7:9" ht="14.25" customHeight="1" x14ac:dyDescent="0.25">
      <c r="G528" s="57"/>
      <c r="H528" s="57"/>
      <c r="I528" s="34"/>
    </row>
    <row r="529" spans="7:9" ht="14.25" customHeight="1" x14ac:dyDescent="0.25">
      <c r="G529" s="57"/>
      <c r="H529" s="57"/>
      <c r="I529" s="34"/>
    </row>
    <row r="530" spans="7:9" ht="14.25" customHeight="1" x14ac:dyDescent="0.25">
      <c r="G530" s="57"/>
      <c r="H530" s="57"/>
      <c r="I530" s="34"/>
    </row>
    <row r="531" spans="7:9" ht="14.25" customHeight="1" x14ac:dyDescent="0.25">
      <c r="G531" s="57"/>
      <c r="H531" s="57"/>
      <c r="I531" s="34"/>
    </row>
    <row r="532" spans="7:9" ht="14.25" customHeight="1" x14ac:dyDescent="0.25">
      <c r="G532" s="57"/>
      <c r="H532" s="57"/>
      <c r="I532" s="34"/>
    </row>
    <row r="533" spans="7:9" ht="14.25" customHeight="1" x14ac:dyDescent="0.25">
      <c r="G533" s="57"/>
      <c r="H533" s="57"/>
      <c r="I533" s="34"/>
    </row>
    <row r="534" spans="7:9" ht="14.25" customHeight="1" x14ac:dyDescent="0.25">
      <c r="G534" s="57"/>
      <c r="H534" s="57"/>
      <c r="I534" s="34"/>
    </row>
    <row r="535" spans="7:9" ht="14.25" customHeight="1" x14ac:dyDescent="0.25">
      <c r="G535" s="57"/>
      <c r="H535" s="57"/>
      <c r="I535" s="34"/>
    </row>
    <row r="536" spans="7:9" ht="14.25" customHeight="1" x14ac:dyDescent="0.25">
      <c r="G536" s="57"/>
      <c r="H536" s="57"/>
      <c r="I536" s="34"/>
    </row>
    <row r="537" spans="7:9" ht="14.25" customHeight="1" x14ac:dyDescent="0.25">
      <c r="G537" s="57"/>
      <c r="H537" s="57"/>
      <c r="I537" s="34"/>
    </row>
    <row r="538" spans="7:9" ht="14.25" customHeight="1" x14ac:dyDescent="0.25">
      <c r="G538" s="57"/>
      <c r="H538" s="57"/>
      <c r="I538" s="34"/>
    </row>
    <row r="539" spans="7:9" ht="14.25" customHeight="1" x14ac:dyDescent="0.25">
      <c r="G539" s="57"/>
      <c r="H539" s="57"/>
      <c r="I539" s="34"/>
    </row>
    <row r="540" spans="7:9" ht="14.25" customHeight="1" x14ac:dyDescent="0.25">
      <c r="G540" s="57"/>
      <c r="H540" s="57"/>
      <c r="I540" s="34"/>
    </row>
    <row r="541" spans="7:9" ht="14.25" customHeight="1" x14ac:dyDescent="0.25">
      <c r="G541" s="57"/>
      <c r="H541" s="57"/>
      <c r="I541" s="34"/>
    </row>
    <row r="542" spans="7:9" ht="14.25" customHeight="1" x14ac:dyDescent="0.25">
      <c r="G542" s="57"/>
      <c r="H542" s="57"/>
      <c r="I542" s="34"/>
    </row>
    <row r="543" spans="7:9" ht="14.25" customHeight="1" x14ac:dyDescent="0.25">
      <c r="G543" s="57"/>
      <c r="H543" s="57"/>
      <c r="I543" s="34"/>
    </row>
    <row r="544" spans="7:9" ht="14.25" customHeight="1" x14ac:dyDescent="0.25">
      <c r="G544" s="57"/>
      <c r="H544" s="57"/>
      <c r="I544" s="34"/>
    </row>
    <row r="545" spans="7:9" ht="14.25" customHeight="1" x14ac:dyDescent="0.25">
      <c r="G545" s="57"/>
      <c r="H545" s="57"/>
      <c r="I545" s="34"/>
    </row>
    <row r="546" spans="7:9" ht="14.25" customHeight="1" x14ac:dyDescent="0.25">
      <c r="G546" s="57"/>
      <c r="H546" s="57"/>
      <c r="I546" s="34"/>
    </row>
    <row r="547" spans="7:9" ht="14.25" customHeight="1" x14ac:dyDescent="0.25">
      <c r="G547" s="57"/>
      <c r="H547" s="57"/>
      <c r="I547" s="34"/>
    </row>
    <row r="548" spans="7:9" ht="14.25" customHeight="1" x14ac:dyDescent="0.25">
      <c r="G548" s="57"/>
      <c r="H548" s="57"/>
      <c r="I548" s="34"/>
    </row>
    <row r="549" spans="7:9" ht="14.25" customHeight="1" x14ac:dyDescent="0.25">
      <c r="G549" s="57"/>
      <c r="H549" s="57"/>
      <c r="I549" s="34"/>
    </row>
    <row r="550" spans="7:9" ht="14.25" customHeight="1" x14ac:dyDescent="0.25">
      <c r="G550" s="57"/>
      <c r="H550" s="57"/>
      <c r="I550" s="34"/>
    </row>
    <row r="551" spans="7:9" ht="14.25" customHeight="1" x14ac:dyDescent="0.25">
      <c r="G551" s="57"/>
      <c r="H551" s="57"/>
      <c r="I551" s="34"/>
    </row>
    <row r="552" spans="7:9" ht="14.25" customHeight="1" x14ac:dyDescent="0.25">
      <c r="G552" s="57"/>
      <c r="H552" s="57"/>
      <c r="I552" s="34"/>
    </row>
    <row r="553" spans="7:9" ht="14.25" customHeight="1" x14ac:dyDescent="0.25">
      <c r="G553" s="57"/>
      <c r="H553" s="57"/>
      <c r="I553" s="34"/>
    </row>
    <row r="554" spans="7:9" ht="14.25" customHeight="1" x14ac:dyDescent="0.25">
      <c r="G554" s="57"/>
      <c r="H554" s="57"/>
      <c r="I554" s="34"/>
    </row>
    <row r="555" spans="7:9" ht="14.25" customHeight="1" x14ac:dyDescent="0.25">
      <c r="G555" s="57"/>
      <c r="H555" s="57"/>
      <c r="I555" s="34"/>
    </row>
    <row r="556" spans="7:9" ht="14.25" customHeight="1" x14ac:dyDescent="0.25">
      <c r="G556" s="57"/>
      <c r="H556" s="57"/>
      <c r="I556" s="34"/>
    </row>
    <row r="557" spans="7:9" ht="14.25" customHeight="1" x14ac:dyDescent="0.25">
      <c r="G557" s="57"/>
      <c r="H557" s="57"/>
      <c r="I557" s="34"/>
    </row>
    <row r="558" spans="7:9" ht="14.25" customHeight="1" x14ac:dyDescent="0.25">
      <c r="G558" s="57"/>
      <c r="H558" s="57"/>
      <c r="I558" s="34"/>
    </row>
    <row r="559" spans="7:9" ht="14.25" customHeight="1" x14ac:dyDescent="0.25">
      <c r="G559" s="57"/>
      <c r="H559" s="57"/>
      <c r="I559" s="34"/>
    </row>
    <row r="560" spans="7:9" ht="14.25" customHeight="1" x14ac:dyDescent="0.25">
      <c r="G560" s="57"/>
      <c r="H560" s="57"/>
      <c r="I560" s="34"/>
    </row>
    <row r="561" spans="7:9" ht="14.25" customHeight="1" x14ac:dyDescent="0.25">
      <c r="G561" s="57"/>
      <c r="H561" s="57"/>
      <c r="I561" s="34"/>
    </row>
    <row r="562" spans="7:9" ht="14.25" customHeight="1" x14ac:dyDescent="0.25">
      <c r="G562" s="57"/>
      <c r="H562" s="57"/>
      <c r="I562" s="34"/>
    </row>
    <row r="563" spans="7:9" ht="14.25" customHeight="1" x14ac:dyDescent="0.25">
      <c r="G563" s="57"/>
      <c r="H563" s="57"/>
      <c r="I563" s="34"/>
    </row>
    <row r="564" spans="7:9" ht="14.25" customHeight="1" x14ac:dyDescent="0.25">
      <c r="G564" s="57"/>
      <c r="H564" s="57"/>
      <c r="I564" s="34"/>
    </row>
    <row r="565" spans="7:9" ht="14.25" customHeight="1" x14ac:dyDescent="0.25">
      <c r="G565" s="57"/>
      <c r="H565" s="57"/>
      <c r="I565" s="34"/>
    </row>
    <row r="566" spans="7:9" ht="14.25" customHeight="1" x14ac:dyDescent="0.25">
      <c r="G566" s="57"/>
      <c r="H566" s="57"/>
      <c r="I566" s="34"/>
    </row>
    <row r="567" spans="7:9" ht="14.25" customHeight="1" x14ac:dyDescent="0.25">
      <c r="G567" s="57"/>
      <c r="H567" s="57"/>
      <c r="I567" s="34"/>
    </row>
    <row r="568" spans="7:9" ht="14.25" customHeight="1" x14ac:dyDescent="0.25">
      <c r="G568" s="57"/>
      <c r="H568" s="57"/>
      <c r="I568" s="34"/>
    </row>
    <row r="569" spans="7:9" ht="14.25" customHeight="1" x14ac:dyDescent="0.25">
      <c r="G569" s="57"/>
      <c r="H569" s="57"/>
      <c r="I569" s="34"/>
    </row>
    <row r="570" spans="7:9" ht="14.25" customHeight="1" x14ac:dyDescent="0.25">
      <c r="G570" s="57"/>
      <c r="H570" s="57"/>
      <c r="I570" s="34"/>
    </row>
    <row r="571" spans="7:9" ht="14.25" customHeight="1" x14ac:dyDescent="0.25">
      <c r="G571" s="57"/>
      <c r="H571" s="57"/>
      <c r="I571" s="34"/>
    </row>
    <row r="572" spans="7:9" ht="14.25" customHeight="1" x14ac:dyDescent="0.25">
      <c r="G572" s="57"/>
      <c r="H572" s="57"/>
      <c r="I572" s="34"/>
    </row>
    <row r="573" spans="7:9" ht="14.25" customHeight="1" x14ac:dyDescent="0.25">
      <c r="G573" s="57"/>
      <c r="H573" s="57"/>
      <c r="I573" s="34"/>
    </row>
    <row r="574" spans="7:9" ht="14.25" customHeight="1" x14ac:dyDescent="0.25">
      <c r="G574" s="57"/>
      <c r="H574" s="57"/>
      <c r="I574" s="34"/>
    </row>
    <row r="575" spans="7:9" ht="14.25" customHeight="1" x14ac:dyDescent="0.25">
      <c r="G575" s="57"/>
      <c r="H575" s="57"/>
      <c r="I575" s="34"/>
    </row>
    <row r="576" spans="7:9" ht="14.25" customHeight="1" x14ac:dyDescent="0.25">
      <c r="G576" s="57"/>
      <c r="H576" s="57"/>
      <c r="I576" s="34"/>
    </row>
    <row r="577" spans="7:9" ht="14.25" customHeight="1" x14ac:dyDescent="0.25">
      <c r="G577" s="57"/>
      <c r="H577" s="57"/>
      <c r="I577" s="34"/>
    </row>
    <row r="578" spans="7:9" ht="14.25" customHeight="1" x14ac:dyDescent="0.25">
      <c r="G578" s="57"/>
      <c r="H578" s="57"/>
      <c r="I578" s="34"/>
    </row>
    <row r="579" spans="7:9" ht="14.25" customHeight="1" x14ac:dyDescent="0.25">
      <c r="G579" s="57"/>
      <c r="H579" s="57"/>
      <c r="I579" s="34"/>
    </row>
    <row r="580" spans="7:9" ht="14.25" customHeight="1" x14ac:dyDescent="0.25">
      <c r="G580" s="57"/>
      <c r="H580" s="57"/>
      <c r="I580" s="34"/>
    </row>
    <row r="581" spans="7:9" ht="14.25" customHeight="1" x14ac:dyDescent="0.25">
      <c r="G581" s="57"/>
      <c r="H581" s="57"/>
      <c r="I581" s="34"/>
    </row>
    <row r="582" spans="7:9" ht="14.25" customHeight="1" x14ac:dyDescent="0.25">
      <c r="G582" s="57"/>
      <c r="H582" s="57"/>
      <c r="I582" s="34"/>
    </row>
    <row r="583" spans="7:9" ht="14.25" customHeight="1" x14ac:dyDescent="0.25">
      <c r="G583" s="57"/>
      <c r="H583" s="57"/>
      <c r="I583" s="34"/>
    </row>
    <row r="584" spans="7:9" ht="14.25" customHeight="1" x14ac:dyDescent="0.25">
      <c r="G584" s="57"/>
      <c r="H584" s="57"/>
      <c r="I584" s="34"/>
    </row>
    <row r="585" spans="7:9" ht="14.25" customHeight="1" x14ac:dyDescent="0.25">
      <c r="G585" s="57"/>
      <c r="H585" s="57"/>
      <c r="I585" s="34"/>
    </row>
    <row r="586" spans="7:9" ht="14.25" customHeight="1" x14ac:dyDescent="0.25">
      <c r="G586" s="57"/>
      <c r="H586" s="57"/>
      <c r="I586" s="34"/>
    </row>
    <row r="587" spans="7:9" ht="14.25" customHeight="1" x14ac:dyDescent="0.25">
      <c r="G587" s="57"/>
      <c r="H587" s="57"/>
      <c r="I587" s="34"/>
    </row>
    <row r="588" spans="7:9" ht="14.25" customHeight="1" x14ac:dyDescent="0.25">
      <c r="G588" s="57"/>
      <c r="H588" s="57"/>
      <c r="I588" s="34"/>
    </row>
    <row r="589" spans="7:9" ht="14.25" customHeight="1" x14ac:dyDescent="0.25">
      <c r="G589" s="57"/>
      <c r="H589" s="57"/>
      <c r="I589" s="34"/>
    </row>
    <row r="590" spans="7:9" ht="14.25" customHeight="1" x14ac:dyDescent="0.25">
      <c r="G590" s="57"/>
      <c r="H590" s="57"/>
      <c r="I590" s="34"/>
    </row>
    <row r="591" spans="7:9" ht="14.25" customHeight="1" x14ac:dyDescent="0.25">
      <c r="G591" s="57"/>
      <c r="H591" s="57"/>
      <c r="I591" s="34"/>
    </row>
    <row r="592" spans="7:9" ht="14.25" customHeight="1" x14ac:dyDescent="0.25">
      <c r="G592" s="57"/>
      <c r="H592" s="57"/>
      <c r="I592" s="34"/>
    </row>
    <row r="593" spans="7:9" ht="14.25" customHeight="1" x14ac:dyDescent="0.25">
      <c r="G593" s="57"/>
      <c r="H593" s="57"/>
      <c r="I593" s="34"/>
    </row>
    <row r="594" spans="7:9" ht="14.25" customHeight="1" x14ac:dyDescent="0.25">
      <c r="G594" s="57"/>
      <c r="H594" s="57"/>
      <c r="I594" s="34"/>
    </row>
    <row r="595" spans="7:9" ht="14.25" customHeight="1" x14ac:dyDescent="0.25">
      <c r="G595" s="57"/>
      <c r="H595" s="57"/>
      <c r="I595" s="34"/>
    </row>
    <row r="596" spans="7:9" ht="14.25" customHeight="1" x14ac:dyDescent="0.25">
      <c r="G596" s="57"/>
      <c r="H596" s="57"/>
      <c r="I596" s="34"/>
    </row>
    <row r="597" spans="7:9" ht="14.25" customHeight="1" x14ac:dyDescent="0.25">
      <c r="G597" s="57"/>
      <c r="H597" s="57"/>
      <c r="I597" s="34"/>
    </row>
    <row r="598" spans="7:9" ht="14.25" customHeight="1" x14ac:dyDescent="0.25">
      <c r="G598" s="57"/>
      <c r="H598" s="57"/>
      <c r="I598" s="34"/>
    </row>
    <row r="599" spans="7:9" ht="14.25" customHeight="1" x14ac:dyDescent="0.25">
      <c r="G599" s="57"/>
      <c r="H599" s="57"/>
      <c r="I599" s="34"/>
    </row>
    <row r="600" spans="7:9" ht="14.25" customHeight="1" x14ac:dyDescent="0.25">
      <c r="G600" s="57"/>
      <c r="H600" s="57"/>
      <c r="I600" s="34"/>
    </row>
    <row r="601" spans="7:9" ht="14.25" customHeight="1" x14ac:dyDescent="0.25">
      <c r="G601" s="57"/>
      <c r="H601" s="57"/>
      <c r="I601" s="34"/>
    </row>
    <row r="602" spans="7:9" ht="14.25" customHeight="1" x14ac:dyDescent="0.25">
      <c r="G602" s="57"/>
      <c r="H602" s="57"/>
      <c r="I602" s="34"/>
    </row>
    <row r="603" spans="7:9" ht="14.25" customHeight="1" x14ac:dyDescent="0.25">
      <c r="G603" s="57"/>
      <c r="H603" s="57"/>
      <c r="I603" s="34"/>
    </row>
    <row r="604" spans="7:9" ht="14.25" customHeight="1" x14ac:dyDescent="0.25">
      <c r="G604" s="57"/>
      <c r="H604" s="57"/>
      <c r="I604" s="34"/>
    </row>
    <row r="605" spans="7:9" ht="14.25" customHeight="1" x14ac:dyDescent="0.25">
      <c r="G605" s="57"/>
      <c r="H605" s="57"/>
      <c r="I605" s="34"/>
    </row>
    <row r="606" spans="7:9" ht="14.25" customHeight="1" x14ac:dyDescent="0.25">
      <c r="G606" s="57"/>
      <c r="H606" s="57"/>
      <c r="I606" s="34"/>
    </row>
    <row r="607" spans="7:9" ht="14.25" customHeight="1" x14ac:dyDescent="0.25">
      <c r="G607" s="57"/>
      <c r="H607" s="57"/>
      <c r="I607" s="34"/>
    </row>
    <row r="608" spans="7:9" ht="14.25" customHeight="1" x14ac:dyDescent="0.25">
      <c r="G608" s="57"/>
      <c r="H608" s="57"/>
      <c r="I608" s="34"/>
    </row>
    <row r="609" spans="7:9" ht="14.25" customHeight="1" x14ac:dyDescent="0.25">
      <c r="G609" s="57"/>
      <c r="H609" s="57"/>
      <c r="I609" s="34"/>
    </row>
    <row r="610" spans="7:9" ht="14.25" customHeight="1" x14ac:dyDescent="0.25">
      <c r="G610" s="57"/>
      <c r="H610" s="57"/>
      <c r="I610" s="34"/>
    </row>
    <row r="611" spans="7:9" ht="14.25" customHeight="1" x14ac:dyDescent="0.25">
      <c r="G611" s="57"/>
      <c r="H611" s="57"/>
      <c r="I611" s="34"/>
    </row>
    <row r="612" spans="7:9" ht="14.25" customHeight="1" x14ac:dyDescent="0.25">
      <c r="G612" s="57"/>
      <c r="H612" s="57"/>
      <c r="I612" s="34"/>
    </row>
    <row r="613" spans="7:9" ht="14.25" customHeight="1" x14ac:dyDescent="0.25">
      <c r="G613" s="57"/>
      <c r="H613" s="57"/>
      <c r="I613" s="34"/>
    </row>
    <row r="614" spans="7:9" ht="14.25" customHeight="1" x14ac:dyDescent="0.25">
      <c r="G614" s="57"/>
      <c r="H614" s="57"/>
      <c r="I614" s="34"/>
    </row>
    <row r="615" spans="7:9" ht="14.25" customHeight="1" x14ac:dyDescent="0.25">
      <c r="G615" s="57"/>
      <c r="H615" s="57"/>
      <c r="I615" s="34"/>
    </row>
    <row r="616" spans="7:9" ht="14.25" customHeight="1" x14ac:dyDescent="0.25">
      <c r="G616" s="57"/>
      <c r="H616" s="57"/>
      <c r="I616" s="34"/>
    </row>
    <row r="617" spans="7:9" ht="14.25" customHeight="1" x14ac:dyDescent="0.25">
      <c r="G617" s="57"/>
      <c r="H617" s="57"/>
      <c r="I617" s="34"/>
    </row>
    <row r="618" spans="7:9" ht="14.25" customHeight="1" x14ac:dyDescent="0.25">
      <c r="G618" s="57"/>
      <c r="H618" s="57"/>
      <c r="I618" s="34"/>
    </row>
    <row r="619" spans="7:9" ht="14.25" customHeight="1" x14ac:dyDescent="0.25">
      <c r="G619" s="57"/>
      <c r="H619" s="57"/>
      <c r="I619" s="34"/>
    </row>
    <row r="620" spans="7:9" ht="14.25" customHeight="1" x14ac:dyDescent="0.25">
      <c r="G620" s="57"/>
      <c r="H620" s="57"/>
      <c r="I620" s="34"/>
    </row>
    <row r="621" spans="7:9" ht="14.25" customHeight="1" x14ac:dyDescent="0.25">
      <c r="G621" s="57"/>
      <c r="H621" s="57"/>
      <c r="I621" s="34"/>
    </row>
    <row r="622" spans="7:9" ht="14.25" customHeight="1" x14ac:dyDescent="0.25">
      <c r="G622" s="57"/>
      <c r="H622" s="57"/>
      <c r="I622" s="34"/>
    </row>
    <row r="623" spans="7:9" ht="14.25" customHeight="1" x14ac:dyDescent="0.25">
      <c r="G623" s="57"/>
      <c r="H623" s="57"/>
      <c r="I623" s="34"/>
    </row>
    <row r="624" spans="7:9" ht="14.25" customHeight="1" x14ac:dyDescent="0.25">
      <c r="G624" s="57"/>
      <c r="H624" s="57"/>
      <c r="I624" s="34"/>
    </row>
    <row r="625" spans="7:9" ht="14.25" customHeight="1" x14ac:dyDescent="0.25">
      <c r="G625" s="57"/>
      <c r="H625" s="57"/>
      <c r="I625" s="34"/>
    </row>
    <row r="626" spans="7:9" ht="14.25" customHeight="1" x14ac:dyDescent="0.25">
      <c r="G626" s="57"/>
      <c r="H626" s="57"/>
      <c r="I626" s="34"/>
    </row>
    <row r="627" spans="7:9" ht="14.25" customHeight="1" x14ac:dyDescent="0.25">
      <c r="G627" s="57"/>
      <c r="H627" s="57"/>
      <c r="I627" s="34"/>
    </row>
    <row r="628" spans="7:9" ht="14.25" customHeight="1" x14ac:dyDescent="0.25">
      <c r="G628" s="57"/>
      <c r="H628" s="57"/>
      <c r="I628" s="34"/>
    </row>
    <row r="629" spans="7:9" ht="14.25" customHeight="1" x14ac:dyDescent="0.25">
      <c r="G629" s="57"/>
      <c r="H629" s="57"/>
      <c r="I629" s="34"/>
    </row>
    <row r="630" spans="7:9" ht="14.25" customHeight="1" x14ac:dyDescent="0.25">
      <c r="G630" s="57"/>
      <c r="H630" s="57"/>
      <c r="I630" s="34"/>
    </row>
    <row r="631" spans="7:9" ht="14.25" customHeight="1" x14ac:dyDescent="0.25">
      <c r="G631" s="57"/>
      <c r="H631" s="57"/>
      <c r="I631" s="34"/>
    </row>
    <row r="632" spans="7:9" ht="14.25" customHeight="1" x14ac:dyDescent="0.25">
      <c r="G632" s="57"/>
      <c r="H632" s="57"/>
      <c r="I632" s="34"/>
    </row>
    <row r="633" spans="7:9" ht="14.25" customHeight="1" x14ac:dyDescent="0.25">
      <c r="G633" s="57"/>
      <c r="H633" s="57"/>
      <c r="I633" s="34"/>
    </row>
    <row r="634" spans="7:9" ht="14.25" customHeight="1" x14ac:dyDescent="0.25">
      <c r="G634" s="57"/>
      <c r="H634" s="57"/>
      <c r="I634" s="34"/>
    </row>
    <row r="635" spans="7:9" ht="14.25" customHeight="1" x14ac:dyDescent="0.25">
      <c r="G635" s="57"/>
      <c r="H635" s="57"/>
      <c r="I635" s="34"/>
    </row>
    <row r="636" spans="7:9" ht="14.25" customHeight="1" x14ac:dyDescent="0.25">
      <c r="G636" s="57"/>
      <c r="H636" s="57"/>
      <c r="I636" s="34"/>
    </row>
    <row r="637" spans="7:9" ht="14.25" customHeight="1" x14ac:dyDescent="0.25">
      <c r="G637" s="57"/>
      <c r="H637" s="57"/>
      <c r="I637" s="34"/>
    </row>
    <row r="638" spans="7:9" ht="14.25" customHeight="1" x14ac:dyDescent="0.25">
      <c r="G638" s="57"/>
      <c r="H638" s="57"/>
      <c r="I638" s="34"/>
    </row>
    <row r="639" spans="7:9" ht="14.25" customHeight="1" x14ac:dyDescent="0.25">
      <c r="G639" s="57"/>
      <c r="H639" s="57"/>
      <c r="I639" s="34"/>
    </row>
    <row r="640" spans="7:9" ht="14.25" customHeight="1" x14ac:dyDescent="0.25">
      <c r="G640" s="57"/>
      <c r="H640" s="57"/>
      <c r="I640" s="34"/>
    </row>
    <row r="641" spans="7:9" ht="14.25" customHeight="1" x14ac:dyDescent="0.25">
      <c r="G641" s="57"/>
      <c r="H641" s="57"/>
      <c r="I641" s="34"/>
    </row>
    <row r="642" spans="7:9" ht="14.25" customHeight="1" x14ac:dyDescent="0.25">
      <c r="G642" s="57"/>
      <c r="H642" s="57"/>
      <c r="I642" s="34"/>
    </row>
    <row r="643" spans="7:9" ht="14.25" customHeight="1" x14ac:dyDescent="0.25">
      <c r="G643" s="57"/>
      <c r="H643" s="57"/>
      <c r="I643" s="34"/>
    </row>
    <row r="644" spans="7:9" ht="14.25" customHeight="1" x14ac:dyDescent="0.25">
      <c r="G644" s="57"/>
      <c r="H644" s="57"/>
      <c r="I644" s="34"/>
    </row>
    <row r="645" spans="7:9" ht="14.25" customHeight="1" x14ac:dyDescent="0.25">
      <c r="G645" s="57"/>
      <c r="H645" s="57"/>
      <c r="I645" s="34"/>
    </row>
    <row r="646" spans="7:9" ht="14.25" customHeight="1" x14ac:dyDescent="0.25">
      <c r="G646" s="57"/>
      <c r="H646" s="57"/>
      <c r="I646" s="34"/>
    </row>
    <row r="647" spans="7:9" ht="14.25" customHeight="1" x14ac:dyDescent="0.25">
      <c r="G647" s="57"/>
      <c r="H647" s="57"/>
      <c r="I647" s="34"/>
    </row>
    <row r="648" spans="7:9" ht="14.25" customHeight="1" x14ac:dyDescent="0.25">
      <c r="G648" s="57"/>
      <c r="H648" s="57"/>
      <c r="I648" s="34"/>
    </row>
    <row r="649" spans="7:9" ht="14.25" customHeight="1" x14ac:dyDescent="0.25">
      <c r="G649" s="57"/>
      <c r="H649" s="57"/>
      <c r="I649" s="34"/>
    </row>
    <row r="650" spans="7:9" ht="14.25" customHeight="1" x14ac:dyDescent="0.25">
      <c r="G650" s="57"/>
      <c r="H650" s="57"/>
      <c r="I650" s="34"/>
    </row>
    <row r="651" spans="7:9" ht="14.25" customHeight="1" x14ac:dyDescent="0.25">
      <c r="G651" s="57"/>
      <c r="H651" s="57"/>
      <c r="I651" s="34"/>
    </row>
    <row r="652" spans="7:9" ht="14.25" customHeight="1" x14ac:dyDescent="0.25">
      <c r="G652" s="57"/>
      <c r="H652" s="57"/>
      <c r="I652" s="34"/>
    </row>
    <row r="653" spans="7:9" ht="14.25" customHeight="1" x14ac:dyDescent="0.25">
      <c r="G653" s="57"/>
      <c r="H653" s="57"/>
      <c r="I653" s="34"/>
    </row>
    <row r="654" spans="7:9" ht="14.25" customHeight="1" x14ac:dyDescent="0.25">
      <c r="G654" s="57"/>
      <c r="H654" s="57"/>
      <c r="I654" s="34"/>
    </row>
    <row r="655" spans="7:9" ht="14.25" customHeight="1" x14ac:dyDescent="0.25">
      <c r="G655" s="57"/>
      <c r="H655" s="57"/>
      <c r="I655" s="34"/>
    </row>
    <row r="656" spans="7:9" ht="14.25" customHeight="1" x14ac:dyDescent="0.25">
      <c r="G656" s="57"/>
      <c r="H656" s="57"/>
      <c r="I656" s="34"/>
    </row>
    <row r="657" spans="7:9" ht="14.25" customHeight="1" x14ac:dyDescent="0.25">
      <c r="G657" s="57"/>
      <c r="H657" s="57"/>
      <c r="I657" s="34"/>
    </row>
    <row r="658" spans="7:9" ht="14.25" customHeight="1" x14ac:dyDescent="0.25">
      <c r="G658" s="57"/>
      <c r="H658" s="57"/>
      <c r="I658" s="34"/>
    </row>
    <row r="659" spans="7:9" ht="14.25" customHeight="1" x14ac:dyDescent="0.25">
      <c r="G659" s="57"/>
      <c r="H659" s="57"/>
      <c r="I659" s="34"/>
    </row>
    <row r="660" spans="7:9" ht="14.25" customHeight="1" x14ac:dyDescent="0.25">
      <c r="G660" s="57"/>
      <c r="H660" s="57"/>
      <c r="I660" s="34"/>
    </row>
    <row r="661" spans="7:9" ht="14.25" customHeight="1" x14ac:dyDescent="0.25">
      <c r="G661" s="57"/>
      <c r="H661" s="57"/>
      <c r="I661" s="34"/>
    </row>
    <row r="662" spans="7:9" ht="14.25" customHeight="1" x14ac:dyDescent="0.25">
      <c r="G662" s="57"/>
      <c r="H662" s="57"/>
      <c r="I662" s="34"/>
    </row>
    <row r="663" spans="7:9" ht="14.25" customHeight="1" x14ac:dyDescent="0.25">
      <c r="G663" s="57"/>
      <c r="H663" s="57"/>
      <c r="I663" s="34"/>
    </row>
    <row r="664" spans="7:9" ht="14.25" customHeight="1" x14ac:dyDescent="0.25">
      <c r="G664" s="57"/>
      <c r="H664" s="57"/>
      <c r="I664" s="34"/>
    </row>
    <row r="665" spans="7:9" ht="14.25" customHeight="1" x14ac:dyDescent="0.25">
      <c r="G665" s="57"/>
      <c r="H665" s="57"/>
      <c r="I665" s="34"/>
    </row>
    <row r="666" spans="7:9" ht="14.25" customHeight="1" x14ac:dyDescent="0.25">
      <c r="G666" s="57"/>
      <c r="H666" s="57"/>
      <c r="I666" s="34"/>
    </row>
    <row r="667" spans="7:9" ht="14.25" customHeight="1" x14ac:dyDescent="0.25">
      <c r="G667" s="57"/>
      <c r="H667" s="57"/>
      <c r="I667" s="34"/>
    </row>
    <row r="668" spans="7:9" ht="14.25" customHeight="1" x14ac:dyDescent="0.25">
      <c r="G668" s="57"/>
      <c r="H668" s="57"/>
      <c r="I668" s="34"/>
    </row>
    <row r="669" spans="7:9" ht="14.25" customHeight="1" x14ac:dyDescent="0.25">
      <c r="G669" s="57"/>
      <c r="H669" s="57"/>
      <c r="I669" s="34"/>
    </row>
    <row r="670" spans="7:9" ht="14.25" customHeight="1" x14ac:dyDescent="0.25">
      <c r="G670" s="57"/>
      <c r="H670" s="57"/>
      <c r="I670" s="34"/>
    </row>
    <row r="671" spans="7:9" ht="14.25" customHeight="1" x14ac:dyDescent="0.25">
      <c r="G671" s="57"/>
      <c r="H671" s="57"/>
      <c r="I671" s="34"/>
    </row>
    <row r="672" spans="7:9" ht="14.25" customHeight="1" x14ac:dyDescent="0.25">
      <c r="G672" s="57"/>
      <c r="H672" s="57"/>
      <c r="I672" s="34"/>
    </row>
    <row r="673" spans="7:9" ht="14.25" customHeight="1" x14ac:dyDescent="0.25">
      <c r="G673" s="57"/>
      <c r="H673" s="57"/>
      <c r="I673" s="34"/>
    </row>
    <row r="674" spans="7:9" ht="14.25" customHeight="1" x14ac:dyDescent="0.25">
      <c r="G674" s="57"/>
      <c r="H674" s="57"/>
      <c r="I674" s="34"/>
    </row>
    <row r="675" spans="7:9" ht="14.25" customHeight="1" x14ac:dyDescent="0.25">
      <c r="G675" s="57"/>
      <c r="H675" s="57"/>
      <c r="I675" s="34"/>
    </row>
    <row r="676" spans="7:9" ht="14.25" customHeight="1" x14ac:dyDescent="0.25">
      <c r="G676" s="57"/>
      <c r="H676" s="57"/>
      <c r="I676" s="34"/>
    </row>
    <row r="677" spans="7:9" ht="14.25" customHeight="1" x14ac:dyDescent="0.25">
      <c r="G677" s="57"/>
      <c r="H677" s="57"/>
      <c r="I677" s="34"/>
    </row>
    <row r="678" spans="7:9" ht="14.25" customHeight="1" x14ac:dyDescent="0.25">
      <c r="G678" s="57"/>
      <c r="H678" s="57"/>
      <c r="I678" s="34"/>
    </row>
    <row r="679" spans="7:9" ht="14.25" customHeight="1" x14ac:dyDescent="0.25">
      <c r="G679" s="57"/>
      <c r="H679" s="57"/>
      <c r="I679" s="34"/>
    </row>
    <row r="680" spans="7:9" ht="14.25" customHeight="1" x14ac:dyDescent="0.25">
      <c r="G680" s="57"/>
      <c r="H680" s="57"/>
      <c r="I680" s="34"/>
    </row>
    <row r="681" spans="7:9" ht="14.25" customHeight="1" x14ac:dyDescent="0.25">
      <c r="G681" s="57"/>
      <c r="H681" s="57"/>
      <c r="I681" s="34"/>
    </row>
    <row r="682" spans="7:9" ht="14.25" customHeight="1" x14ac:dyDescent="0.25">
      <c r="G682" s="57"/>
      <c r="H682" s="57"/>
      <c r="I682" s="34"/>
    </row>
    <row r="683" spans="7:9" ht="14.25" customHeight="1" x14ac:dyDescent="0.25">
      <c r="G683" s="57"/>
      <c r="H683" s="57"/>
      <c r="I683" s="34"/>
    </row>
    <row r="684" spans="7:9" ht="14.25" customHeight="1" x14ac:dyDescent="0.25">
      <c r="G684" s="57"/>
      <c r="H684" s="57"/>
      <c r="I684" s="34"/>
    </row>
    <row r="685" spans="7:9" ht="14.25" customHeight="1" x14ac:dyDescent="0.25">
      <c r="G685" s="57"/>
      <c r="H685" s="57"/>
      <c r="I685" s="34"/>
    </row>
    <row r="686" spans="7:9" ht="14.25" customHeight="1" x14ac:dyDescent="0.25">
      <c r="G686" s="57"/>
      <c r="H686" s="57"/>
      <c r="I686" s="34"/>
    </row>
    <row r="687" spans="7:9" ht="14.25" customHeight="1" x14ac:dyDescent="0.25">
      <c r="G687" s="57"/>
      <c r="H687" s="57"/>
      <c r="I687" s="34"/>
    </row>
    <row r="688" spans="7:9" ht="14.25" customHeight="1" x14ac:dyDescent="0.25">
      <c r="G688" s="57"/>
      <c r="H688" s="57"/>
      <c r="I688" s="34"/>
    </row>
    <row r="689" spans="7:9" ht="14.25" customHeight="1" x14ac:dyDescent="0.25">
      <c r="G689" s="57"/>
      <c r="H689" s="57"/>
      <c r="I689" s="34"/>
    </row>
    <row r="690" spans="7:9" ht="14.25" customHeight="1" x14ac:dyDescent="0.25">
      <c r="G690" s="57"/>
      <c r="H690" s="57"/>
      <c r="I690" s="34"/>
    </row>
    <row r="691" spans="7:9" ht="14.25" customHeight="1" x14ac:dyDescent="0.25">
      <c r="G691" s="57"/>
      <c r="H691" s="57"/>
      <c r="I691" s="34"/>
    </row>
    <row r="692" spans="7:9" ht="14.25" customHeight="1" x14ac:dyDescent="0.25">
      <c r="G692" s="57"/>
      <c r="H692" s="57"/>
      <c r="I692" s="34"/>
    </row>
    <row r="693" spans="7:9" ht="14.25" customHeight="1" x14ac:dyDescent="0.25">
      <c r="G693" s="57"/>
      <c r="H693" s="57"/>
      <c r="I693" s="34"/>
    </row>
    <row r="694" spans="7:9" ht="14.25" customHeight="1" x14ac:dyDescent="0.25">
      <c r="G694" s="57"/>
      <c r="H694" s="57"/>
      <c r="I694" s="34"/>
    </row>
    <row r="695" spans="7:9" ht="14.25" customHeight="1" x14ac:dyDescent="0.25">
      <c r="G695" s="57"/>
      <c r="H695" s="57"/>
      <c r="I695" s="34"/>
    </row>
    <row r="696" spans="7:9" ht="14.25" customHeight="1" x14ac:dyDescent="0.25">
      <c r="G696" s="57"/>
      <c r="H696" s="57"/>
      <c r="I696" s="34"/>
    </row>
    <row r="697" spans="7:9" ht="14.25" customHeight="1" x14ac:dyDescent="0.25">
      <c r="G697" s="57"/>
      <c r="H697" s="57"/>
      <c r="I697" s="34"/>
    </row>
    <row r="698" spans="7:9" ht="14.25" customHeight="1" x14ac:dyDescent="0.25">
      <c r="G698" s="57"/>
      <c r="H698" s="57"/>
      <c r="I698" s="34"/>
    </row>
    <row r="699" spans="7:9" ht="14.25" customHeight="1" x14ac:dyDescent="0.25">
      <c r="G699" s="57"/>
      <c r="H699" s="57"/>
      <c r="I699" s="34"/>
    </row>
    <row r="700" spans="7:9" ht="14.25" customHeight="1" x14ac:dyDescent="0.25">
      <c r="G700" s="57"/>
      <c r="H700" s="57"/>
      <c r="I700" s="34"/>
    </row>
    <row r="701" spans="7:9" ht="14.25" customHeight="1" x14ac:dyDescent="0.25">
      <c r="G701" s="57"/>
      <c r="H701" s="57"/>
      <c r="I701" s="34"/>
    </row>
    <row r="702" spans="7:9" ht="14.25" customHeight="1" x14ac:dyDescent="0.25">
      <c r="G702" s="57"/>
      <c r="H702" s="57"/>
      <c r="I702" s="34"/>
    </row>
    <row r="703" spans="7:9" ht="14.25" customHeight="1" x14ac:dyDescent="0.25">
      <c r="G703" s="57"/>
      <c r="H703" s="57"/>
      <c r="I703" s="34"/>
    </row>
    <row r="704" spans="7:9" ht="14.25" customHeight="1" x14ac:dyDescent="0.25">
      <c r="G704" s="57"/>
      <c r="H704" s="57"/>
      <c r="I704" s="34"/>
    </row>
    <row r="705" spans="7:9" ht="14.25" customHeight="1" x14ac:dyDescent="0.25">
      <c r="G705" s="57"/>
      <c r="H705" s="57"/>
      <c r="I705" s="34"/>
    </row>
    <row r="706" spans="7:9" ht="14.25" customHeight="1" x14ac:dyDescent="0.25">
      <c r="G706" s="57"/>
      <c r="H706" s="57"/>
      <c r="I706" s="34"/>
    </row>
    <row r="707" spans="7:9" ht="14.25" customHeight="1" x14ac:dyDescent="0.25">
      <c r="G707" s="57"/>
      <c r="H707" s="57"/>
      <c r="I707" s="34"/>
    </row>
    <row r="708" spans="7:9" ht="14.25" customHeight="1" x14ac:dyDescent="0.25">
      <c r="G708" s="57"/>
      <c r="H708" s="57"/>
      <c r="I708" s="34"/>
    </row>
    <row r="709" spans="7:9" ht="14.25" customHeight="1" x14ac:dyDescent="0.25">
      <c r="G709" s="57"/>
      <c r="H709" s="57"/>
      <c r="I709" s="34"/>
    </row>
    <row r="710" spans="7:9" ht="14.25" customHeight="1" x14ac:dyDescent="0.25">
      <c r="G710" s="57"/>
      <c r="H710" s="57"/>
      <c r="I710" s="34"/>
    </row>
    <row r="711" spans="7:9" ht="14.25" customHeight="1" x14ac:dyDescent="0.25">
      <c r="G711" s="57"/>
      <c r="H711" s="57"/>
      <c r="I711" s="34"/>
    </row>
    <row r="712" spans="7:9" ht="14.25" customHeight="1" x14ac:dyDescent="0.25">
      <c r="G712" s="57"/>
      <c r="H712" s="57"/>
      <c r="I712" s="34"/>
    </row>
    <row r="713" spans="7:9" ht="14.25" customHeight="1" x14ac:dyDescent="0.25">
      <c r="G713" s="57"/>
      <c r="H713" s="57"/>
      <c r="I713" s="34"/>
    </row>
    <row r="714" spans="7:9" ht="14.25" customHeight="1" x14ac:dyDescent="0.25">
      <c r="G714" s="57"/>
      <c r="H714" s="57"/>
      <c r="I714" s="34"/>
    </row>
    <row r="715" spans="7:9" ht="14.25" customHeight="1" x14ac:dyDescent="0.25">
      <c r="G715" s="57"/>
      <c r="H715" s="57"/>
      <c r="I715" s="34"/>
    </row>
    <row r="716" spans="7:9" ht="14.25" customHeight="1" x14ac:dyDescent="0.25">
      <c r="G716" s="57"/>
      <c r="H716" s="57"/>
      <c r="I716" s="34"/>
    </row>
    <row r="717" spans="7:9" ht="14.25" customHeight="1" x14ac:dyDescent="0.25">
      <c r="G717" s="57"/>
      <c r="H717" s="57"/>
      <c r="I717" s="34"/>
    </row>
    <row r="718" spans="7:9" ht="14.25" customHeight="1" x14ac:dyDescent="0.25">
      <c r="G718" s="57"/>
      <c r="H718" s="57"/>
      <c r="I718" s="34"/>
    </row>
    <row r="719" spans="7:9" ht="14.25" customHeight="1" x14ac:dyDescent="0.25">
      <c r="G719" s="57"/>
      <c r="H719" s="57"/>
      <c r="I719" s="34"/>
    </row>
    <row r="720" spans="7:9" ht="14.25" customHeight="1" x14ac:dyDescent="0.25">
      <c r="G720" s="57"/>
      <c r="H720" s="57"/>
      <c r="I720" s="34"/>
    </row>
    <row r="721" spans="7:9" ht="14.25" customHeight="1" x14ac:dyDescent="0.25">
      <c r="G721" s="57"/>
      <c r="H721" s="57"/>
      <c r="I721" s="34"/>
    </row>
    <row r="722" spans="7:9" ht="14.25" customHeight="1" x14ac:dyDescent="0.25">
      <c r="G722" s="57"/>
      <c r="H722" s="57"/>
      <c r="I722" s="34"/>
    </row>
    <row r="723" spans="7:9" ht="14.25" customHeight="1" x14ac:dyDescent="0.25">
      <c r="G723" s="57"/>
      <c r="H723" s="57"/>
      <c r="I723" s="34"/>
    </row>
    <row r="724" spans="7:9" ht="14.25" customHeight="1" x14ac:dyDescent="0.25">
      <c r="G724" s="57"/>
      <c r="H724" s="57"/>
      <c r="I724" s="34"/>
    </row>
    <row r="725" spans="7:9" ht="14.25" customHeight="1" x14ac:dyDescent="0.25">
      <c r="G725" s="57"/>
      <c r="H725" s="57"/>
      <c r="I725" s="34"/>
    </row>
    <row r="726" spans="7:9" ht="14.25" customHeight="1" x14ac:dyDescent="0.25">
      <c r="G726" s="57"/>
      <c r="H726" s="57"/>
      <c r="I726" s="34"/>
    </row>
    <row r="727" spans="7:9" ht="14.25" customHeight="1" x14ac:dyDescent="0.25">
      <c r="G727" s="57"/>
      <c r="H727" s="57"/>
      <c r="I727" s="34"/>
    </row>
    <row r="728" spans="7:9" ht="14.25" customHeight="1" x14ac:dyDescent="0.25">
      <c r="G728" s="57"/>
      <c r="H728" s="57"/>
      <c r="I728" s="34"/>
    </row>
    <row r="729" spans="7:9" ht="14.25" customHeight="1" x14ac:dyDescent="0.25">
      <c r="G729" s="57"/>
      <c r="H729" s="57"/>
      <c r="I729" s="34"/>
    </row>
    <row r="730" spans="7:9" ht="14.25" customHeight="1" x14ac:dyDescent="0.25">
      <c r="G730" s="57"/>
      <c r="H730" s="57"/>
      <c r="I730" s="34"/>
    </row>
    <row r="731" spans="7:9" ht="14.25" customHeight="1" x14ac:dyDescent="0.25">
      <c r="G731" s="57"/>
      <c r="H731" s="57"/>
      <c r="I731" s="34"/>
    </row>
    <row r="732" spans="7:9" ht="14.25" customHeight="1" x14ac:dyDescent="0.25">
      <c r="G732" s="57"/>
      <c r="H732" s="57"/>
      <c r="I732" s="34"/>
    </row>
    <row r="733" spans="7:9" ht="14.25" customHeight="1" x14ac:dyDescent="0.25">
      <c r="G733" s="57"/>
      <c r="H733" s="57"/>
      <c r="I733" s="34"/>
    </row>
    <row r="734" spans="7:9" ht="14.25" customHeight="1" x14ac:dyDescent="0.25">
      <c r="G734" s="57"/>
      <c r="H734" s="57"/>
      <c r="I734" s="34"/>
    </row>
    <row r="735" spans="7:9" ht="14.25" customHeight="1" x14ac:dyDescent="0.25">
      <c r="G735" s="57"/>
      <c r="H735" s="57"/>
      <c r="I735" s="34"/>
    </row>
    <row r="736" spans="7:9" ht="14.25" customHeight="1" x14ac:dyDescent="0.25">
      <c r="G736" s="57"/>
      <c r="H736" s="57"/>
      <c r="I736" s="34"/>
    </row>
    <row r="737" spans="7:9" ht="14.25" customHeight="1" x14ac:dyDescent="0.25">
      <c r="G737" s="57"/>
      <c r="H737" s="57"/>
      <c r="I737" s="34"/>
    </row>
    <row r="738" spans="7:9" ht="14.25" customHeight="1" x14ac:dyDescent="0.25">
      <c r="G738" s="57"/>
      <c r="H738" s="57"/>
      <c r="I738" s="34"/>
    </row>
    <row r="739" spans="7:9" ht="14.25" customHeight="1" x14ac:dyDescent="0.25">
      <c r="G739" s="57"/>
      <c r="H739" s="57"/>
      <c r="I739" s="34"/>
    </row>
    <row r="740" spans="7:9" ht="14.25" customHeight="1" x14ac:dyDescent="0.25">
      <c r="G740" s="57"/>
      <c r="H740" s="57"/>
      <c r="I740" s="34"/>
    </row>
    <row r="741" spans="7:9" ht="14.25" customHeight="1" x14ac:dyDescent="0.25">
      <c r="G741" s="57"/>
      <c r="H741" s="57"/>
      <c r="I741" s="34"/>
    </row>
    <row r="742" spans="7:9" ht="14.25" customHeight="1" x14ac:dyDescent="0.25">
      <c r="G742" s="57"/>
      <c r="H742" s="57"/>
      <c r="I742" s="34"/>
    </row>
    <row r="743" spans="7:9" ht="14.25" customHeight="1" x14ac:dyDescent="0.25">
      <c r="G743" s="57"/>
      <c r="H743" s="57"/>
      <c r="I743" s="34"/>
    </row>
    <row r="744" spans="7:9" ht="14.25" customHeight="1" x14ac:dyDescent="0.25">
      <c r="G744" s="57"/>
      <c r="H744" s="57"/>
      <c r="I744" s="34"/>
    </row>
    <row r="745" spans="7:9" ht="14.25" customHeight="1" x14ac:dyDescent="0.25">
      <c r="G745" s="57"/>
      <c r="H745" s="57"/>
      <c r="I745" s="34"/>
    </row>
    <row r="746" spans="7:9" ht="14.25" customHeight="1" x14ac:dyDescent="0.25">
      <c r="G746" s="57"/>
      <c r="H746" s="57"/>
      <c r="I746" s="34"/>
    </row>
    <row r="747" spans="7:9" ht="14.25" customHeight="1" x14ac:dyDescent="0.25">
      <c r="G747" s="57"/>
      <c r="H747" s="57"/>
      <c r="I747" s="34"/>
    </row>
    <row r="748" spans="7:9" ht="14.25" customHeight="1" x14ac:dyDescent="0.25">
      <c r="G748" s="57"/>
      <c r="H748" s="57"/>
      <c r="I748" s="34"/>
    </row>
    <row r="749" spans="7:9" ht="14.25" customHeight="1" x14ac:dyDescent="0.25">
      <c r="G749" s="57"/>
      <c r="H749" s="57"/>
      <c r="I749" s="34"/>
    </row>
    <row r="750" spans="7:9" ht="14.25" customHeight="1" x14ac:dyDescent="0.25">
      <c r="G750" s="57"/>
      <c r="H750" s="57"/>
      <c r="I750" s="34"/>
    </row>
    <row r="751" spans="7:9" ht="14.25" customHeight="1" x14ac:dyDescent="0.25">
      <c r="G751" s="57"/>
      <c r="H751" s="57"/>
      <c r="I751" s="34"/>
    </row>
    <row r="752" spans="7:9" ht="14.25" customHeight="1" x14ac:dyDescent="0.25">
      <c r="G752" s="57"/>
      <c r="H752" s="57"/>
      <c r="I752" s="34"/>
    </row>
    <row r="753" spans="7:9" ht="14.25" customHeight="1" x14ac:dyDescent="0.25">
      <c r="G753" s="57"/>
      <c r="H753" s="57"/>
      <c r="I753" s="34"/>
    </row>
    <row r="754" spans="7:9" ht="14.25" customHeight="1" x14ac:dyDescent="0.25">
      <c r="G754" s="57"/>
      <c r="H754" s="57"/>
      <c r="I754" s="34"/>
    </row>
    <row r="755" spans="7:9" ht="14.25" customHeight="1" x14ac:dyDescent="0.25">
      <c r="G755" s="57"/>
      <c r="H755" s="57"/>
      <c r="I755" s="34"/>
    </row>
    <row r="756" spans="7:9" ht="14.25" customHeight="1" x14ac:dyDescent="0.25">
      <c r="G756" s="57"/>
      <c r="H756" s="57"/>
      <c r="I756" s="34"/>
    </row>
    <row r="757" spans="7:9" ht="14.25" customHeight="1" x14ac:dyDescent="0.25">
      <c r="G757" s="57"/>
      <c r="H757" s="57"/>
      <c r="I757" s="34"/>
    </row>
    <row r="758" spans="7:9" ht="14.25" customHeight="1" x14ac:dyDescent="0.25">
      <c r="G758" s="57"/>
      <c r="H758" s="57"/>
      <c r="I758" s="34"/>
    </row>
    <row r="759" spans="7:9" ht="14.25" customHeight="1" x14ac:dyDescent="0.25">
      <c r="G759" s="57"/>
      <c r="H759" s="57"/>
      <c r="I759" s="34"/>
    </row>
    <row r="760" spans="7:9" ht="14.25" customHeight="1" x14ac:dyDescent="0.25">
      <c r="G760" s="57"/>
      <c r="H760" s="57"/>
      <c r="I760" s="34"/>
    </row>
    <row r="761" spans="7:9" ht="14.25" customHeight="1" x14ac:dyDescent="0.25">
      <c r="G761" s="57"/>
      <c r="H761" s="57"/>
      <c r="I761" s="34"/>
    </row>
    <row r="762" spans="7:9" ht="14.25" customHeight="1" x14ac:dyDescent="0.25">
      <c r="G762" s="57"/>
      <c r="H762" s="57"/>
      <c r="I762" s="34"/>
    </row>
    <row r="763" spans="7:9" ht="14.25" customHeight="1" x14ac:dyDescent="0.25">
      <c r="G763" s="57"/>
      <c r="H763" s="57"/>
      <c r="I763" s="34"/>
    </row>
    <row r="764" spans="7:9" ht="14.25" customHeight="1" x14ac:dyDescent="0.25">
      <c r="G764" s="57"/>
      <c r="H764" s="57"/>
      <c r="I764" s="34"/>
    </row>
    <row r="765" spans="7:9" ht="14.25" customHeight="1" x14ac:dyDescent="0.25">
      <c r="G765" s="57"/>
      <c r="H765" s="57"/>
      <c r="I765" s="34"/>
    </row>
    <row r="766" spans="7:9" ht="14.25" customHeight="1" x14ac:dyDescent="0.25">
      <c r="G766" s="57"/>
      <c r="H766" s="57"/>
      <c r="I766" s="34"/>
    </row>
    <row r="767" spans="7:9" ht="14.25" customHeight="1" x14ac:dyDescent="0.25">
      <c r="G767" s="57"/>
      <c r="H767" s="57"/>
      <c r="I767" s="34"/>
    </row>
    <row r="768" spans="7:9" ht="14.25" customHeight="1" x14ac:dyDescent="0.25">
      <c r="G768" s="57"/>
      <c r="H768" s="57"/>
      <c r="I768" s="34"/>
    </row>
    <row r="769" spans="7:9" ht="14.25" customHeight="1" x14ac:dyDescent="0.25">
      <c r="G769" s="57"/>
      <c r="H769" s="57"/>
      <c r="I769" s="34"/>
    </row>
    <row r="770" spans="7:9" ht="14.25" customHeight="1" x14ac:dyDescent="0.25">
      <c r="G770" s="57"/>
      <c r="H770" s="57"/>
      <c r="I770" s="34"/>
    </row>
    <row r="771" spans="7:9" ht="14.25" customHeight="1" x14ac:dyDescent="0.25">
      <c r="G771" s="57"/>
      <c r="H771" s="57"/>
      <c r="I771" s="34"/>
    </row>
    <row r="772" spans="7:9" ht="14.25" customHeight="1" x14ac:dyDescent="0.25">
      <c r="G772" s="57"/>
      <c r="H772" s="57"/>
      <c r="I772" s="34"/>
    </row>
    <row r="773" spans="7:9" ht="14.25" customHeight="1" x14ac:dyDescent="0.25">
      <c r="G773" s="57"/>
      <c r="H773" s="57"/>
      <c r="I773" s="34"/>
    </row>
    <row r="774" spans="7:9" ht="14.25" customHeight="1" x14ac:dyDescent="0.25">
      <c r="G774" s="57"/>
      <c r="H774" s="57"/>
      <c r="I774" s="34"/>
    </row>
    <row r="775" spans="7:9" ht="14.25" customHeight="1" x14ac:dyDescent="0.25">
      <c r="G775" s="57"/>
      <c r="H775" s="57"/>
      <c r="I775" s="34"/>
    </row>
    <row r="776" spans="7:9" ht="14.25" customHeight="1" x14ac:dyDescent="0.25">
      <c r="G776" s="57"/>
      <c r="H776" s="57"/>
      <c r="I776" s="34"/>
    </row>
    <row r="777" spans="7:9" ht="14.25" customHeight="1" x14ac:dyDescent="0.25">
      <c r="G777" s="57"/>
      <c r="H777" s="57"/>
      <c r="I777" s="34"/>
    </row>
    <row r="778" spans="7:9" ht="14.25" customHeight="1" x14ac:dyDescent="0.25">
      <c r="G778" s="57"/>
      <c r="H778" s="57"/>
      <c r="I778" s="34"/>
    </row>
    <row r="779" spans="7:9" ht="14.25" customHeight="1" x14ac:dyDescent="0.25">
      <c r="G779" s="57"/>
      <c r="H779" s="57"/>
      <c r="I779" s="34"/>
    </row>
    <row r="780" spans="7:9" ht="14.25" customHeight="1" x14ac:dyDescent="0.25">
      <c r="G780" s="57"/>
      <c r="H780" s="57"/>
      <c r="I780" s="34"/>
    </row>
    <row r="781" spans="7:9" ht="14.25" customHeight="1" x14ac:dyDescent="0.25">
      <c r="G781" s="57"/>
      <c r="H781" s="57"/>
      <c r="I781" s="34"/>
    </row>
    <row r="782" spans="7:9" ht="14.25" customHeight="1" x14ac:dyDescent="0.25">
      <c r="G782" s="57"/>
      <c r="H782" s="57"/>
      <c r="I782" s="34"/>
    </row>
    <row r="783" spans="7:9" ht="14.25" customHeight="1" x14ac:dyDescent="0.25">
      <c r="G783" s="57"/>
      <c r="H783" s="57"/>
      <c r="I783" s="34"/>
    </row>
    <row r="784" spans="7:9" ht="14.25" customHeight="1" x14ac:dyDescent="0.25">
      <c r="G784" s="57"/>
      <c r="H784" s="57"/>
      <c r="I784" s="34"/>
    </row>
    <row r="785" spans="7:9" ht="14.25" customHeight="1" x14ac:dyDescent="0.25">
      <c r="G785" s="57"/>
      <c r="H785" s="57"/>
      <c r="I785" s="34"/>
    </row>
    <row r="786" spans="7:9" ht="14.25" customHeight="1" x14ac:dyDescent="0.25">
      <c r="G786" s="57"/>
      <c r="H786" s="57"/>
      <c r="I786" s="34"/>
    </row>
    <row r="787" spans="7:9" ht="14.25" customHeight="1" x14ac:dyDescent="0.25">
      <c r="G787" s="57"/>
      <c r="H787" s="57"/>
      <c r="I787" s="34"/>
    </row>
    <row r="788" spans="7:9" ht="14.25" customHeight="1" x14ac:dyDescent="0.25">
      <c r="G788" s="57"/>
      <c r="H788" s="57"/>
      <c r="I788" s="34"/>
    </row>
    <row r="789" spans="7:9" ht="14.25" customHeight="1" x14ac:dyDescent="0.25">
      <c r="G789" s="57"/>
      <c r="H789" s="57"/>
      <c r="I789" s="34"/>
    </row>
    <row r="790" spans="7:9" ht="14.25" customHeight="1" x14ac:dyDescent="0.25">
      <c r="G790" s="57"/>
      <c r="H790" s="57"/>
      <c r="I790" s="34"/>
    </row>
    <row r="791" spans="7:9" ht="14.25" customHeight="1" x14ac:dyDescent="0.25">
      <c r="G791" s="57"/>
      <c r="H791" s="57"/>
      <c r="I791" s="34"/>
    </row>
    <row r="792" spans="7:9" ht="14.25" customHeight="1" x14ac:dyDescent="0.25">
      <c r="G792" s="57"/>
      <c r="H792" s="57"/>
      <c r="I792" s="34"/>
    </row>
    <row r="793" spans="7:9" ht="14.25" customHeight="1" x14ac:dyDescent="0.25">
      <c r="G793" s="57"/>
      <c r="H793" s="57"/>
      <c r="I793" s="34"/>
    </row>
    <row r="794" spans="7:9" ht="14.25" customHeight="1" x14ac:dyDescent="0.25">
      <c r="G794" s="57"/>
      <c r="H794" s="57"/>
      <c r="I794" s="34"/>
    </row>
    <row r="795" spans="7:9" ht="14.25" customHeight="1" x14ac:dyDescent="0.25">
      <c r="G795" s="57"/>
      <c r="H795" s="57"/>
      <c r="I795" s="34"/>
    </row>
    <row r="796" spans="7:9" ht="14.25" customHeight="1" x14ac:dyDescent="0.25">
      <c r="G796" s="57"/>
      <c r="H796" s="57"/>
      <c r="I796" s="34"/>
    </row>
    <row r="797" spans="7:9" ht="14.25" customHeight="1" x14ac:dyDescent="0.25">
      <c r="G797" s="57"/>
      <c r="H797" s="57"/>
      <c r="I797" s="34"/>
    </row>
    <row r="798" spans="7:9" ht="14.25" customHeight="1" x14ac:dyDescent="0.25">
      <c r="G798" s="57"/>
      <c r="H798" s="57"/>
      <c r="I798" s="34"/>
    </row>
    <row r="799" spans="7:9" ht="14.25" customHeight="1" x14ac:dyDescent="0.25">
      <c r="G799" s="57"/>
      <c r="H799" s="57"/>
      <c r="I799" s="34"/>
    </row>
    <row r="800" spans="7:9" ht="14.25" customHeight="1" x14ac:dyDescent="0.25">
      <c r="G800" s="57"/>
      <c r="H800" s="57"/>
      <c r="I800" s="34"/>
    </row>
    <row r="801" spans="7:9" ht="14.25" customHeight="1" x14ac:dyDescent="0.25">
      <c r="G801" s="57"/>
      <c r="H801" s="57"/>
      <c r="I801" s="34"/>
    </row>
    <row r="802" spans="7:9" ht="14.25" customHeight="1" x14ac:dyDescent="0.25">
      <c r="G802" s="57"/>
      <c r="H802" s="57"/>
      <c r="I802" s="34"/>
    </row>
    <row r="803" spans="7:9" ht="14.25" customHeight="1" x14ac:dyDescent="0.25">
      <c r="G803" s="57"/>
      <c r="H803" s="57"/>
      <c r="I803" s="34"/>
    </row>
    <row r="804" spans="7:9" ht="14.25" customHeight="1" x14ac:dyDescent="0.25">
      <c r="G804" s="57"/>
      <c r="H804" s="57"/>
      <c r="I804" s="34"/>
    </row>
    <row r="805" spans="7:9" ht="14.25" customHeight="1" x14ac:dyDescent="0.25">
      <c r="G805" s="57"/>
      <c r="H805" s="57"/>
      <c r="I805" s="34"/>
    </row>
    <row r="806" spans="7:9" ht="14.25" customHeight="1" x14ac:dyDescent="0.25">
      <c r="G806" s="57"/>
      <c r="H806" s="57"/>
      <c r="I806" s="34"/>
    </row>
    <row r="807" spans="7:9" ht="14.25" customHeight="1" x14ac:dyDescent="0.25">
      <c r="G807" s="57"/>
      <c r="H807" s="57"/>
      <c r="I807" s="34"/>
    </row>
    <row r="808" spans="7:9" ht="14.25" customHeight="1" x14ac:dyDescent="0.25">
      <c r="G808" s="57"/>
      <c r="H808" s="57"/>
      <c r="I808" s="34"/>
    </row>
    <row r="809" spans="7:9" ht="14.25" customHeight="1" x14ac:dyDescent="0.25">
      <c r="G809" s="57"/>
      <c r="H809" s="57"/>
      <c r="I809" s="34"/>
    </row>
    <row r="810" spans="7:9" ht="14.25" customHeight="1" x14ac:dyDescent="0.25">
      <c r="G810" s="57"/>
      <c r="H810" s="57"/>
      <c r="I810" s="34"/>
    </row>
    <row r="811" spans="7:9" ht="14.25" customHeight="1" x14ac:dyDescent="0.25">
      <c r="G811" s="57"/>
      <c r="H811" s="57"/>
      <c r="I811" s="34"/>
    </row>
    <row r="812" spans="7:9" ht="14.25" customHeight="1" x14ac:dyDescent="0.25">
      <c r="G812" s="57"/>
      <c r="H812" s="57"/>
      <c r="I812" s="34"/>
    </row>
    <row r="813" spans="7:9" ht="14.25" customHeight="1" x14ac:dyDescent="0.25">
      <c r="G813" s="57"/>
      <c r="H813" s="57"/>
      <c r="I813" s="34"/>
    </row>
    <row r="814" spans="7:9" ht="14.25" customHeight="1" x14ac:dyDescent="0.25">
      <c r="G814" s="57"/>
      <c r="H814" s="57"/>
      <c r="I814" s="34"/>
    </row>
    <row r="815" spans="7:9" ht="14.25" customHeight="1" x14ac:dyDescent="0.25">
      <c r="G815" s="57"/>
      <c r="H815" s="57"/>
      <c r="I815" s="34"/>
    </row>
    <row r="816" spans="7:9" ht="14.25" customHeight="1" x14ac:dyDescent="0.25">
      <c r="G816" s="57"/>
      <c r="H816" s="57"/>
      <c r="I816" s="34"/>
    </row>
    <row r="817" spans="7:9" ht="14.25" customHeight="1" x14ac:dyDescent="0.25">
      <c r="G817" s="57"/>
      <c r="H817" s="57"/>
      <c r="I817" s="34"/>
    </row>
    <row r="818" spans="7:9" ht="14.25" customHeight="1" x14ac:dyDescent="0.25">
      <c r="G818" s="57"/>
      <c r="H818" s="57"/>
      <c r="I818" s="34"/>
    </row>
    <row r="819" spans="7:9" ht="14.25" customHeight="1" x14ac:dyDescent="0.25">
      <c r="G819" s="57"/>
      <c r="H819" s="57"/>
      <c r="I819" s="34"/>
    </row>
    <row r="820" spans="7:9" ht="14.25" customHeight="1" x14ac:dyDescent="0.25">
      <c r="G820" s="57"/>
      <c r="H820" s="57"/>
      <c r="I820" s="34"/>
    </row>
    <row r="821" spans="7:9" ht="14.25" customHeight="1" x14ac:dyDescent="0.25">
      <c r="G821" s="57"/>
      <c r="H821" s="57"/>
      <c r="I821" s="34"/>
    </row>
    <row r="822" spans="7:9" ht="14.25" customHeight="1" x14ac:dyDescent="0.25">
      <c r="G822" s="57"/>
      <c r="H822" s="57"/>
      <c r="I822" s="34"/>
    </row>
    <row r="823" spans="7:9" ht="14.25" customHeight="1" x14ac:dyDescent="0.25">
      <c r="G823" s="57"/>
      <c r="H823" s="57"/>
      <c r="I823" s="34"/>
    </row>
    <row r="824" spans="7:9" ht="14.25" customHeight="1" x14ac:dyDescent="0.25">
      <c r="G824" s="57"/>
      <c r="H824" s="57"/>
      <c r="I824" s="34"/>
    </row>
    <row r="825" spans="7:9" ht="14.25" customHeight="1" x14ac:dyDescent="0.25">
      <c r="G825" s="57"/>
      <c r="H825" s="57"/>
      <c r="I825" s="34"/>
    </row>
    <row r="826" spans="7:9" ht="14.25" customHeight="1" x14ac:dyDescent="0.25">
      <c r="G826" s="57"/>
      <c r="H826" s="57"/>
      <c r="I826" s="34"/>
    </row>
    <row r="827" spans="7:9" ht="14.25" customHeight="1" x14ac:dyDescent="0.25">
      <c r="G827" s="57"/>
      <c r="H827" s="57"/>
      <c r="I827" s="34"/>
    </row>
    <row r="828" spans="7:9" ht="14.25" customHeight="1" x14ac:dyDescent="0.25">
      <c r="G828" s="57"/>
      <c r="H828" s="57"/>
      <c r="I828" s="34"/>
    </row>
    <row r="829" spans="7:9" ht="14.25" customHeight="1" x14ac:dyDescent="0.25">
      <c r="G829" s="57"/>
      <c r="H829" s="57"/>
      <c r="I829" s="34"/>
    </row>
    <row r="830" spans="7:9" ht="14.25" customHeight="1" x14ac:dyDescent="0.25">
      <c r="G830" s="57"/>
      <c r="H830" s="57"/>
      <c r="I830" s="34"/>
    </row>
    <row r="831" spans="7:9" ht="14.25" customHeight="1" x14ac:dyDescent="0.25">
      <c r="G831" s="57"/>
      <c r="H831" s="57"/>
      <c r="I831" s="34"/>
    </row>
    <row r="832" spans="7:9" ht="14.25" customHeight="1" x14ac:dyDescent="0.25">
      <c r="G832" s="57"/>
      <c r="H832" s="57"/>
      <c r="I832" s="34"/>
    </row>
    <row r="833" spans="7:9" ht="14.25" customHeight="1" x14ac:dyDescent="0.25">
      <c r="G833" s="57"/>
      <c r="H833" s="57"/>
      <c r="I833" s="34"/>
    </row>
    <row r="834" spans="7:9" ht="14.25" customHeight="1" x14ac:dyDescent="0.25">
      <c r="G834" s="57"/>
      <c r="H834" s="57"/>
      <c r="I834" s="34"/>
    </row>
    <row r="835" spans="7:9" ht="14.25" customHeight="1" x14ac:dyDescent="0.25">
      <c r="G835" s="57"/>
      <c r="H835" s="57"/>
      <c r="I835" s="34"/>
    </row>
    <row r="836" spans="7:9" ht="14.25" customHeight="1" x14ac:dyDescent="0.25">
      <c r="G836" s="57"/>
      <c r="H836" s="57"/>
      <c r="I836" s="34"/>
    </row>
    <row r="837" spans="7:9" ht="14.25" customHeight="1" x14ac:dyDescent="0.25">
      <c r="G837" s="57"/>
      <c r="H837" s="57"/>
      <c r="I837" s="34"/>
    </row>
    <row r="838" spans="7:9" ht="14.25" customHeight="1" x14ac:dyDescent="0.25">
      <c r="G838" s="57"/>
      <c r="H838" s="57"/>
      <c r="I838" s="34"/>
    </row>
    <row r="839" spans="7:9" ht="14.25" customHeight="1" x14ac:dyDescent="0.25">
      <c r="G839" s="57"/>
      <c r="H839" s="57"/>
      <c r="I839" s="34"/>
    </row>
    <row r="840" spans="7:9" ht="14.25" customHeight="1" x14ac:dyDescent="0.25">
      <c r="G840" s="57"/>
      <c r="H840" s="57"/>
      <c r="I840" s="34"/>
    </row>
    <row r="841" spans="7:9" ht="14.25" customHeight="1" x14ac:dyDescent="0.25">
      <c r="G841" s="57"/>
      <c r="H841" s="57"/>
      <c r="I841" s="34"/>
    </row>
    <row r="842" spans="7:9" ht="14.25" customHeight="1" x14ac:dyDescent="0.25">
      <c r="G842" s="57"/>
      <c r="H842" s="57"/>
      <c r="I842" s="34"/>
    </row>
    <row r="843" spans="7:9" ht="14.25" customHeight="1" x14ac:dyDescent="0.25">
      <c r="G843" s="57"/>
      <c r="H843" s="57"/>
      <c r="I843" s="34"/>
    </row>
    <row r="844" spans="7:9" ht="14.25" customHeight="1" x14ac:dyDescent="0.25">
      <c r="G844" s="57"/>
      <c r="H844" s="57"/>
      <c r="I844" s="34"/>
    </row>
    <row r="845" spans="7:9" ht="14.25" customHeight="1" x14ac:dyDescent="0.25">
      <c r="G845" s="57"/>
      <c r="H845" s="57"/>
      <c r="I845" s="34"/>
    </row>
    <row r="846" spans="7:9" ht="14.25" customHeight="1" x14ac:dyDescent="0.25">
      <c r="G846" s="57"/>
      <c r="H846" s="57"/>
      <c r="I846" s="34"/>
    </row>
    <row r="847" spans="7:9" ht="14.25" customHeight="1" x14ac:dyDescent="0.25">
      <c r="G847" s="57"/>
      <c r="H847" s="57"/>
      <c r="I847" s="34"/>
    </row>
    <row r="848" spans="7:9" ht="14.25" customHeight="1" x14ac:dyDescent="0.25">
      <c r="G848" s="57"/>
      <c r="H848" s="57"/>
      <c r="I848" s="34"/>
    </row>
    <row r="849" spans="7:9" ht="14.25" customHeight="1" x14ac:dyDescent="0.25">
      <c r="G849" s="57"/>
      <c r="H849" s="57"/>
      <c r="I849" s="34"/>
    </row>
    <row r="850" spans="7:9" ht="14.25" customHeight="1" x14ac:dyDescent="0.25">
      <c r="G850" s="57"/>
      <c r="H850" s="57"/>
      <c r="I850" s="34"/>
    </row>
    <row r="851" spans="7:9" ht="14.25" customHeight="1" x14ac:dyDescent="0.25">
      <c r="G851" s="57"/>
      <c r="H851" s="57"/>
      <c r="I851" s="34"/>
    </row>
    <row r="852" spans="7:9" ht="14.25" customHeight="1" x14ac:dyDescent="0.25">
      <c r="G852" s="57"/>
      <c r="H852" s="57"/>
      <c r="I852" s="34"/>
    </row>
    <row r="853" spans="7:9" ht="14.25" customHeight="1" x14ac:dyDescent="0.25">
      <c r="G853" s="57"/>
      <c r="H853" s="57"/>
      <c r="I853" s="34"/>
    </row>
    <row r="854" spans="7:9" ht="14.25" customHeight="1" x14ac:dyDescent="0.25">
      <c r="G854" s="57"/>
      <c r="H854" s="57"/>
      <c r="I854" s="34"/>
    </row>
    <row r="855" spans="7:9" ht="14.25" customHeight="1" x14ac:dyDescent="0.25">
      <c r="G855" s="57"/>
      <c r="H855" s="57"/>
      <c r="I855" s="34"/>
    </row>
    <row r="856" spans="7:9" ht="14.25" customHeight="1" x14ac:dyDescent="0.25">
      <c r="G856" s="57"/>
      <c r="H856" s="57"/>
      <c r="I856" s="34"/>
    </row>
    <row r="857" spans="7:9" ht="14.25" customHeight="1" x14ac:dyDescent="0.25">
      <c r="G857" s="57"/>
      <c r="H857" s="57"/>
      <c r="I857" s="34"/>
    </row>
    <row r="858" spans="7:9" ht="14.25" customHeight="1" x14ac:dyDescent="0.25">
      <c r="G858" s="57"/>
      <c r="H858" s="57"/>
      <c r="I858" s="34"/>
    </row>
    <row r="859" spans="7:9" ht="14.25" customHeight="1" x14ac:dyDescent="0.25">
      <c r="G859" s="57"/>
      <c r="H859" s="57"/>
      <c r="I859" s="34"/>
    </row>
    <row r="860" spans="7:9" ht="14.25" customHeight="1" x14ac:dyDescent="0.25">
      <c r="G860" s="57"/>
      <c r="H860" s="57"/>
      <c r="I860" s="34"/>
    </row>
    <row r="861" spans="7:9" ht="14.25" customHeight="1" x14ac:dyDescent="0.25">
      <c r="G861" s="57"/>
      <c r="H861" s="57"/>
      <c r="I861" s="34"/>
    </row>
    <row r="862" spans="7:9" ht="14.25" customHeight="1" x14ac:dyDescent="0.25">
      <c r="G862" s="57"/>
      <c r="H862" s="57"/>
      <c r="I862" s="34"/>
    </row>
    <row r="863" spans="7:9" ht="14.25" customHeight="1" x14ac:dyDescent="0.25">
      <c r="G863" s="57"/>
      <c r="H863" s="57"/>
      <c r="I863" s="34"/>
    </row>
    <row r="864" spans="7:9" ht="14.25" customHeight="1" x14ac:dyDescent="0.25">
      <c r="G864" s="57"/>
      <c r="H864" s="57"/>
      <c r="I864" s="34"/>
    </row>
    <row r="865" spans="7:9" ht="14.25" customHeight="1" x14ac:dyDescent="0.25">
      <c r="G865" s="57"/>
      <c r="H865" s="57"/>
      <c r="I865" s="34"/>
    </row>
    <row r="866" spans="7:9" ht="14.25" customHeight="1" x14ac:dyDescent="0.25">
      <c r="G866" s="57"/>
      <c r="H866" s="57"/>
      <c r="I866" s="34"/>
    </row>
    <row r="867" spans="7:9" ht="14.25" customHeight="1" x14ac:dyDescent="0.25">
      <c r="G867" s="57"/>
      <c r="H867" s="57"/>
      <c r="I867" s="34"/>
    </row>
    <row r="868" spans="7:9" ht="14.25" customHeight="1" x14ac:dyDescent="0.25">
      <c r="G868" s="57"/>
      <c r="H868" s="57"/>
      <c r="I868" s="34"/>
    </row>
    <row r="869" spans="7:9" ht="14.25" customHeight="1" x14ac:dyDescent="0.25">
      <c r="G869" s="57"/>
      <c r="H869" s="57"/>
      <c r="I869" s="34"/>
    </row>
    <row r="870" spans="7:9" ht="14.25" customHeight="1" x14ac:dyDescent="0.25">
      <c r="G870" s="57"/>
      <c r="H870" s="57"/>
      <c r="I870" s="34"/>
    </row>
    <row r="871" spans="7:9" ht="14.25" customHeight="1" x14ac:dyDescent="0.25">
      <c r="G871" s="57"/>
      <c r="H871" s="57"/>
      <c r="I871" s="34"/>
    </row>
    <row r="872" spans="7:9" ht="14.25" customHeight="1" x14ac:dyDescent="0.25">
      <c r="G872" s="57"/>
      <c r="H872" s="57"/>
      <c r="I872" s="34"/>
    </row>
    <row r="873" spans="7:9" ht="14.25" customHeight="1" x14ac:dyDescent="0.25">
      <c r="G873" s="57"/>
      <c r="H873" s="57"/>
      <c r="I873" s="34"/>
    </row>
    <row r="874" spans="7:9" ht="14.25" customHeight="1" x14ac:dyDescent="0.25">
      <c r="G874" s="57"/>
      <c r="H874" s="57"/>
      <c r="I874" s="34"/>
    </row>
    <row r="875" spans="7:9" ht="14.25" customHeight="1" x14ac:dyDescent="0.25">
      <c r="G875" s="57"/>
      <c r="H875" s="57"/>
      <c r="I875" s="34"/>
    </row>
    <row r="876" spans="7:9" ht="14.25" customHeight="1" x14ac:dyDescent="0.25">
      <c r="G876" s="57"/>
      <c r="H876" s="57"/>
      <c r="I876" s="34"/>
    </row>
    <row r="877" spans="7:9" ht="14.25" customHeight="1" x14ac:dyDescent="0.25">
      <c r="G877" s="57"/>
      <c r="H877" s="57"/>
      <c r="I877" s="34"/>
    </row>
    <row r="878" spans="7:9" ht="14.25" customHeight="1" x14ac:dyDescent="0.25">
      <c r="G878" s="57"/>
      <c r="H878" s="57"/>
      <c r="I878" s="34"/>
    </row>
    <row r="879" spans="7:9" ht="14.25" customHeight="1" x14ac:dyDescent="0.25">
      <c r="G879" s="57"/>
      <c r="H879" s="57"/>
      <c r="I879" s="34"/>
    </row>
    <row r="880" spans="7:9" ht="14.25" customHeight="1" x14ac:dyDescent="0.25">
      <c r="G880" s="57"/>
      <c r="H880" s="57"/>
      <c r="I880" s="34"/>
    </row>
    <row r="881" spans="7:9" ht="14.25" customHeight="1" x14ac:dyDescent="0.25">
      <c r="G881" s="57"/>
      <c r="H881" s="57"/>
      <c r="I881" s="34"/>
    </row>
    <row r="882" spans="7:9" ht="14.25" customHeight="1" x14ac:dyDescent="0.25">
      <c r="G882" s="57"/>
      <c r="H882" s="57"/>
      <c r="I882" s="34"/>
    </row>
    <row r="883" spans="7:9" ht="14.25" customHeight="1" x14ac:dyDescent="0.25">
      <c r="G883" s="57"/>
      <c r="H883" s="57"/>
      <c r="I883" s="34"/>
    </row>
    <row r="884" spans="7:9" ht="14.25" customHeight="1" x14ac:dyDescent="0.25">
      <c r="G884" s="57"/>
      <c r="H884" s="57"/>
      <c r="I884" s="34"/>
    </row>
    <row r="885" spans="7:9" ht="14.25" customHeight="1" x14ac:dyDescent="0.25">
      <c r="G885" s="57"/>
      <c r="H885" s="57"/>
      <c r="I885" s="34"/>
    </row>
    <row r="886" spans="7:9" ht="14.25" customHeight="1" x14ac:dyDescent="0.25">
      <c r="G886" s="57"/>
      <c r="H886" s="57"/>
      <c r="I886" s="34"/>
    </row>
    <row r="887" spans="7:9" ht="14.25" customHeight="1" x14ac:dyDescent="0.25">
      <c r="G887" s="57"/>
      <c r="H887" s="57"/>
      <c r="I887" s="34"/>
    </row>
    <row r="888" spans="7:9" ht="14.25" customHeight="1" x14ac:dyDescent="0.25">
      <c r="G888" s="57"/>
      <c r="H888" s="57"/>
      <c r="I888" s="34"/>
    </row>
    <row r="889" spans="7:9" ht="14.25" customHeight="1" x14ac:dyDescent="0.25">
      <c r="G889" s="57"/>
      <c r="H889" s="57"/>
      <c r="I889" s="34"/>
    </row>
    <row r="890" spans="7:9" ht="14.25" customHeight="1" x14ac:dyDescent="0.25">
      <c r="G890" s="57"/>
      <c r="H890" s="57"/>
      <c r="I890" s="34"/>
    </row>
    <row r="891" spans="7:9" ht="14.25" customHeight="1" x14ac:dyDescent="0.25">
      <c r="G891" s="57"/>
      <c r="H891" s="57"/>
      <c r="I891" s="34"/>
    </row>
    <row r="892" spans="7:9" ht="14.25" customHeight="1" x14ac:dyDescent="0.25">
      <c r="G892" s="57"/>
      <c r="H892" s="57"/>
      <c r="I892" s="34"/>
    </row>
    <row r="893" spans="7:9" ht="14.25" customHeight="1" x14ac:dyDescent="0.25">
      <c r="G893" s="57"/>
      <c r="H893" s="57"/>
      <c r="I893" s="34"/>
    </row>
    <row r="894" spans="7:9" ht="14.25" customHeight="1" x14ac:dyDescent="0.25">
      <c r="G894" s="57"/>
      <c r="H894" s="57"/>
      <c r="I894" s="34"/>
    </row>
    <row r="895" spans="7:9" ht="14.25" customHeight="1" x14ac:dyDescent="0.25">
      <c r="G895" s="57"/>
      <c r="H895" s="57"/>
      <c r="I895" s="34"/>
    </row>
    <row r="896" spans="7:9" ht="14.25" customHeight="1" x14ac:dyDescent="0.25">
      <c r="G896" s="57"/>
      <c r="H896" s="57"/>
      <c r="I896" s="34"/>
    </row>
    <row r="897" spans="7:9" ht="14.25" customHeight="1" x14ac:dyDescent="0.25">
      <c r="G897" s="57"/>
      <c r="H897" s="57"/>
      <c r="I897" s="34"/>
    </row>
    <row r="898" spans="7:9" ht="14.25" customHeight="1" x14ac:dyDescent="0.25">
      <c r="G898" s="57"/>
      <c r="H898" s="57"/>
      <c r="I898" s="34"/>
    </row>
    <row r="899" spans="7:9" ht="14.25" customHeight="1" x14ac:dyDescent="0.25">
      <c r="G899" s="57"/>
      <c r="H899" s="57"/>
      <c r="I899" s="34"/>
    </row>
    <row r="900" spans="7:9" ht="14.25" customHeight="1" x14ac:dyDescent="0.25">
      <c r="G900" s="57"/>
      <c r="H900" s="57"/>
      <c r="I900" s="34"/>
    </row>
    <row r="901" spans="7:9" ht="14.25" customHeight="1" x14ac:dyDescent="0.25">
      <c r="G901" s="57"/>
      <c r="H901" s="57"/>
      <c r="I901" s="34"/>
    </row>
    <row r="902" spans="7:9" ht="14.25" customHeight="1" x14ac:dyDescent="0.25">
      <c r="G902" s="57"/>
      <c r="H902" s="57"/>
      <c r="I902" s="34"/>
    </row>
    <row r="903" spans="7:9" ht="14.25" customHeight="1" x14ac:dyDescent="0.25">
      <c r="G903" s="57"/>
      <c r="H903" s="57"/>
      <c r="I903" s="34"/>
    </row>
    <row r="904" spans="7:9" ht="14.25" customHeight="1" x14ac:dyDescent="0.25">
      <c r="G904" s="57"/>
      <c r="H904" s="57"/>
      <c r="I904" s="34"/>
    </row>
    <row r="905" spans="7:9" ht="14.25" customHeight="1" x14ac:dyDescent="0.25">
      <c r="G905" s="57"/>
      <c r="H905" s="57"/>
      <c r="I905" s="34"/>
    </row>
    <row r="906" spans="7:9" ht="14.25" customHeight="1" x14ac:dyDescent="0.25">
      <c r="G906" s="57"/>
      <c r="H906" s="57"/>
      <c r="I906" s="34"/>
    </row>
    <row r="907" spans="7:9" ht="14.25" customHeight="1" x14ac:dyDescent="0.25">
      <c r="G907" s="57"/>
      <c r="H907" s="57"/>
      <c r="I907" s="34"/>
    </row>
    <row r="908" spans="7:9" ht="14.25" customHeight="1" x14ac:dyDescent="0.25">
      <c r="G908" s="57"/>
      <c r="H908" s="57"/>
      <c r="I908" s="34"/>
    </row>
    <row r="909" spans="7:9" ht="14.25" customHeight="1" x14ac:dyDescent="0.25">
      <c r="G909" s="57"/>
      <c r="H909" s="57"/>
      <c r="I909" s="34"/>
    </row>
    <row r="910" spans="7:9" ht="14.25" customHeight="1" x14ac:dyDescent="0.25">
      <c r="G910" s="57"/>
      <c r="H910" s="57"/>
      <c r="I910" s="34"/>
    </row>
    <row r="911" spans="7:9" ht="14.25" customHeight="1" x14ac:dyDescent="0.25">
      <c r="G911" s="57"/>
      <c r="H911" s="57"/>
      <c r="I911" s="34"/>
    </row>
    <row r="912" spans="7:9" ht="14.25" customHeight="1" x14ac:dyDescent="0.25">
      <c r="G912" s="57"/>
      <c r="H912" s="57"/>
      <c r="I912" s="34"/>
    </row>
    <row r="913" spans="7:9" ht="14.25" customHeight="1" x14ac:dyDescent="0.25">
      <c r="G913" s="57"/>
      <c r="H913" s="57"/>
      <c r="I913" s="34"/>
    </row>
    <row r="914" spans="7:9" ht="14.25" customHeight="1" x14ac:dyDescent="0.25">
      <c r="G914" s="57"/>
      <c r="H914" s="57"/>
      <c r="I914" s="34"/>
    </row>
    <row r="915" spans="7:9" ht="14.25" customHeight="1" x14ac:dyDescent="0.25">
      <c r="G915" s="57"/>
      <c r="H915" s="57"/>
      <c r="I915" s="34"/>
    </row>
    <row r="916" spans="7:9" ht="14.25" customHeight="1" x14ac:dyDescent="0.25">
      <c r="G916" s="57"/>
      <c r="H916" s="57"/>
      <c r="I916" s="34"/>
    </row>
    <row r="917" spans="7:9" ht="14.25" customHeight="1" x14ac:dyDescent="0.25">
      <c r="G917" s="57"/>
      <c r="H917" s="57"/>
      <c r="I917" s="34"/>
    </row>
    <row r="918" spans="7:9" ht="14.25" customHeight="1" x14ac:dyDescent="0.25">
      <c r="G918" s="57"/>
      <c r="H918" s="57"/>
      <c r="I918" s="34"/>
    </row>
    <row r="919" spans="7:9" ht="14.25" customHeight="1" x14ac:dyDescent="0.25">
      <c r="G919" s="57"/>
      <c r="H919" s="57"/>
      <c r="I919" s="34"/>
    </row>
    <row r="920" spans="7:9" ht="14.25" customHeight="1" x14ac:dyDescent="0.25">
      <c r="G920" s="57"/>
      <c r="H920" s="57"/>
      <c r="I920" s="34"/>
    </row>
    <row r="921" spans="7:9" ht="14.25" customHeight="1" x14ac:dyDescent="0.25">
      <c r="G921" s="57"/>
      <c r="H921" s="57"/>
      <c r="I921" s="34"/>
    </row>
    <row r="922" spans="7:9" ht="14.25" customHeight="1" x14ac:dyDescent="0.25">
      <c r="G922" s="57"/>
      <c r="H922" s="57"/>
      <c r="I922" s="34"/>
    </row>
    <row r="923" spans="7:9" ht="14.25" customHeight="1" x14ac:dyDescent="0.25">
      <c r="G923" s="57"/>
      <c r="H923" s="57"/>
      <c r="I923" s="34"/>
    </row>
    <row r="924" spans="7:9" ht="14.25" customHeight="1" x14ac:dyDescent="0.25">
      <c r="G924" s="57"/>
      <c r="H924" s="57"/>
      <c r="I924" s="34"/>
    </row>
    <row r="925" spans="7:9" ht="14.25" customHeight="1" x14ac:dyDescent="0.25">
      <c r="G925" s="57"/>
      <c r="H925" s="57"/>
      <c r="I925" s="34"/>
    </row>
    <row r="926" spans="7:9" ht="14.25" customHeight="1" x14ac:dyDescent="0.25">
      <c r="G926" s="57"/>
      <c r="H926" s="57"/>
      <c r="I926" s="34"/>
    </row>
    <row r="927" spans="7:9" ht="14.25" customHeight="1" x14ac:dyDescent="0.25">
      <c r="G927" s="57"/>
      <c r="H927" s="57"/>
      <c r="I927" s="34"/>
    </row>
    <row r="928" spans="7:9" ht="14.25" customHeight="1" x14ac:dyDescent="0.25">
      <c r="G928" s="57"/>
      <c r="H928" s="57"/>
      <c r="I928" s="34"/>
    </row>
    <row r="929" spans="7:9" ht="14.25" customHeight="1" x14ac:dyDescent="0.25">
      <c r="G929" s="57"/>
      <c r="H929" s="57"/>
      <c r="I929" s="34"/>
    </row>
    <row r="930" spans="7:9" ht="14.25" customHeight="1" x14ac:dyDescent="0.25">
      <c r="G930" s="57"/>
      <c r="H930" s="57"/>
      <c r="I930" s="34"/>
    </row>
    <row r="931" spans="7:9" ht="14.25" customHeight="1" x14ac:dyDescent="0.25">
      <c r="G931" s="57"/>
      <c r="H931" s="57"/>
      <c r="I931" s="34"/>
    </row>
    <row r="932" spans="7:9" ht="14.25" customHeight="1" x14ac:dyDescent="0.25">
      <c r="G932" s="57"/>
      <c r="H932" s="57"/>
      <c r="I932" s="34"/>
    </row>
    <row r="933" spans="7:9" ht="14.25" customHeight="1" x14ac:dyDescent="0.25">
      <c r="G933" s="57"/>
      <c r="H933" s="57"/>
      <c r="I933" s="34"/>
    </row>
    <row r="934" spans="7:9" ht="14.25" customHeight="1" x14ac:dyDescent="0.25">
      <c r="G934" s="57"/>
      <c r="H934" s="57"/>
      <c r="I934" s="34"/>
    </row>
    <row r="935" spans="7:9" ht="14.25" customHeight="1" x14ac:dyDescent="0.25">
      <c r="G935" s="57"/>
      <c r="H935" s="57"/>
      <c r="I935" s="34"/>
    </row>
    <row r="936" spans="7:9" ht="14.25" customHeight="1" x14ac:dyDescent="0.25">
      <c r="G936" s="57"/>
      <c r="H936" s="57"/>
      <c r="I936" s="34"/>
    </row>
    <row r="937" spans="7:9" ht="14.25" customHeight="1" x14ac:dyDescent="0.25">
      <c r="G937" s="57"/>
      <c r="H937" s="57"/>
      <c r="I937" s="34"/>
    </row>
    <row r="938" spans="7:9" ht="14.25" customHeight="1" x14ac:dyDescent="0.25">
      <c r="G938" s="57"/>
      <c r="H938" s="57"/>
      <c r="I938" s="34"/>
    </row>
    <row r="939" spans="7:9" ht="14.25" customHeight="1" x14ac:dyDescent="0.25">
      <c r="G939" s="57"/>
      <c r="H939" s="57"/>
      <c r="I939" s="34"/>
    </row>
    <row r="940" spans="7:9" ht="14.25" customHeight="1" x14ac:dyDescent="0.25">
      <c r="G940" s="57"/>
      <c r="H940" s="57"/>
      <c r="I940" s="34"/>
    </row>
    <row r="941" spans="7:9" ht="14.25" customHeight="1" x14ac:dyDescent="0.25">
      <c r="G941" s="57"/>
      <c r="H941" s="57"/>
      <c r="I941" s="34"/>
    </row>
    <row r="942" spans="7:9" ht="14.25" customHeight="1" x14ac:dyDescent="0.25">
      <c r="G942" s="57"/>
      <c r="H942" s="57"/>
      <c r="I942" s="34"/>
    </row>
    <row r="943" spans="7:9" ht="14.25" customHeight="1" x14ac:dyDescent="0.25">
      <c r="G943" s="57"/>
      <c r="H943" s="57"/>
      <c r="I943" s="34"/>
    </row>
    <row r="944" spans="7:9" ht="14.25" customHeight="1" x14ac:dyDescent="0.25">
      <c r="G944" s="57"/>
      <c r="H944" s="57"/>
      <c r="I944" s="34"/>
    </row>
    <row r="945" spans="7:9" ht="14.25" customHeight="1" x14ac:dyDescent="0.25">
      <c r="G945" s="57"/>
      <c r="H945" s="57"/>
      <c r="I945" s="34"/>
    </row>
    <row r="946" spans="7:9" ht="14.25" customHeight="1" x14ac:dyDescent="0.25">
      <c r="G946" s="57"/>
      <c r="H946" s="57"/>
      <c r="I946" s="34"/>
    </row>
    <row r="947" spans="7:9" ht="14.25" customHeight="1" x14ac:dyDescent="0.25">
      <c r="G947" s="57"/>
      <c r="H947" s="57"/>
      <c r="I947" s="34"/>
    </row>
    <row r="948" spans="7:9" ht="14.25" customHeight="1" x14ac:dyDescent="0.25">
      <c r="G948" s="57"/>
      <c r="H948" s="57"/>
      <c r="I948" s="34"/>
    </row>
    <row r="949" spans="7:9" ht="14.25" customHeight="1" x14ac:dyDescent="0.25">
      <c r="G949" s="57"/>
      <c r="H949" s="57"/>
      <c r="I949" s="34"/>
    </row>
    <row r="950" spans="7:9" ht="14.25" customHeight="1" x14ac:dyDescent="0.25">
      <c r="G950" s="57"/>
      <c r="H950" s="57"/>
      <c r="I950" s="34"/>
    </row>
    <row r="951" spans="7:9" ht="14.25" customHeight="1" x14ac:dyDescent="0.25">
      <c r="G951" s="57"/>
      <c r="H951" s="57"/>
      <c r="I951" s="34"/>
    </row>
    <row r="952" spans="7:9" ht="14.25" customHeight="1" x14ac:dyDescent="0.25">
      <c r="G952" s="57"/>
      <c r="H952" s="57"/>
      <c r="I952" s="34"/>
    </row>
    <row r="953" spans="7:9" ht="14.25" customHeight="1" x14ac:dyDescent="0.25">
      <c r="G953" s="57"/>
      <c r="H953" s="57"/>
      <c r="I953" s="34"/>
    </row>
    <row r="954" spans="7:9" ht="14.25" customHeight="1" x14ac:dyDescent="0.25">
      <c r="G954" s="57"/>
      <c r="H954" s="57"/>
      <c r="I954" s="34"/>
    </row>
    <row r="955" spans="7:9" ht="14.25" customHeight="1" x14ac:dyDescent="0.25">
      <c r="G955" s="57"/>
      <c r="H955" s="57"/>
      <c r="I955" s="34"/>
    </row>
    <row r="956" spans="7:9" ht="14.25" customHeight="1" x14ac:dyDescent="0.25">
      <c r="G956" s="57"/>
      <c r="H956" s="57"/>
      <c r="I956" s="34"/>
    </row>
    <row r="957" spans="7:9" ht="14.25" customHeight="1" x14ac:dyDescent="0.25">
      <c r="G957" s="57"/>
      <c r="H957" s="57"/>
      <c r="I957" s="34"/>
    </row>
    <row r="958" spans="7:9" ht="14.25" customHeight="1" x14ac:dyDescent="0.25">
      <c r="G958" s="57"/>
      <c r="H958" s="57"/>
      <c r="I958" s="34"/>
    </row>
    <row r="959" spans="7:9" ht="14.25" customHeight="1" x14ac:dyDescent="0.25">
      <c r="G959" s="57"/>
      <c r="H959" s="57"/>
      <c r="I959" s="34"/>
    </row>
    <row r="960" spans="7:9" ht="14.25" customHeight="1" x14ac:dyDescent="0.25">
      <c r="G960" s="57"/>
      <c r="H960" s="57"/>
      <c r="I960" s="34"/>
    </row>
    <row r="961" spans="7:9" ht="14.25" customHeight="1" x14ac:dyDescent="0.25">
      <c r="G961" s="57"/>
      <c r="H961" s="57"/>
      <c r="I961" s="34"/>
    </row>
    <row r="962" spans="7:9" ht="14.25" customHeight="1" x14ac:dyDescent="0.25">
      <c r="G962" s="57"/>
      <c r="H962" s="57"/>
      <c r="I962" s="34"/>
    </row>
    <row r="963" spans="7:9" ht="14.25" customHeight="1" x14ac:dyDescent="0.25">
      <c r="G963" s="57"/>
      <c r="H963" s="57"/>
      <c r="I963" s="34"/>
    </row>
    <row r="964" spans="7:9" ht="14.25" customHeight="1" x14ac:dyDescent="0.25">
      <c r="G964" s="57"/>
      <c r="H964" s="57"/>
      <c r="I964" s="34"/>
    </row>
    <row r="965" spans="7:9" ht="14.25" customHeight="1" x14ac:dyDescent="0.25">
      <c r="G965" s="57"/>
      <c r="H965" s="57"/>
      <c r="I965" s="34"/>
    </row>
    <row r="966" spans="7:9" ht="14.25" customHeight="1" x14ac:dyDescent="0.25">
      <c r="G966" s="57"/>
      <c r="H966" s="57"/>
      <c r="I966" s="34"/>
    </row>
    <row r="967" spans="7:9" ht="14.25" customHeight="1" x14ac:dyDescent="0.25">
      <c r="G967" s="57"/>
      <c r="H967" s="57"/>
      <c r="I967" s="34"/>
    </row>
    <row r="968" spans="7:9" ht="14.25" customHeight="1" x14ac:dyDescent="0.25">
      <c r="G968" s="57"/>
      <c r="H968" s="57"/>
      <c r="I968" s="34"/>
    </row>
    <row r="969" spans="7:9" ht="14.25" customHeight="1" x14ac:dyDescent="0.25">
      <c r="G969" s="57"/>
      <c r="H969" s="57"/>
      <c r="I969" s="34"/>
    </row>
    <row r="970" spans="7:9" ht="14.25" customHeight="1" x14ac:dyDescent="0.25">
      <c r="G970" s="57"/>
      <c r="H970" s="57"/>
      <c r="I970" s="34"/>
    </row>
    <row r="971" spans="7:9" ht="14.25" customHeight="1" x14ac:dyDescent="0.25">
      <c r="G971" s="57"/>
      <c r="H971" s="57"/>
      <c r="I971" s="34"/>
    </row>
    <row r="972" spans="7:9" ht="14.25" customHeight="1" x14ac:dyDescent="0.25">
      <c r="G972" s="57"/>
      <c r="H972" s="57"/>
      <c r="I972" s="34"/>
    </row>
    <row r="973" spans="7:9" ht="14.25" customHeight="1" x14ac:dyDescent="0.25">
      <c r="G973" s="57"/>
      <c r="H973" s="57"/>
      <c r="I973" s="34"/>
    </row>
    <row r="974" spans="7:9" ht="14.25" customHeight="1" x14ac:dyDescent="0.25">
      <c r="G974" s="57"/>
      <c r="H974" s="57"/>
      <c r="I974" s="34"/>
    </row>
    <row r="975" spans="7:9" ht="14.25" customHeight="1" x14ac:dyDescent="0.25">
      <c r="G975" s="57"/>
      <c r="H975" s="57"/>
      <c r="I975" s="34"/>
    </row>
    <row r="976" spans="7:9" ht="14.25" customHeight="1" x14ac:dyDescent="0.25">
      <c r="G976" s="57"/>
      <c r="H976" s="57"/>
      <c r="I976" s="34"/>
    </row>
    <row r="977" spans="7:9" ht="14.25" customHeight="1" x14ac:dyDescent="0.25">
      <c r="G977" s="57"/>
      <c r="H977" s="57"/>
      <c r="I977" s="34"/>
    </row>
    <row r="978" spans="7:9" ht="14.25" customHeight="1" x14ac:dyDescent="0.25">
      <c r="G978" s="57"/>
      <c r="H978" s="57"/>
      <c r="I978" s="34"/>
    </row>
    <row r="979" spans="7:9" ht="14.25" customHeight="1" x14ac:dyDescent="0.25">
      <c r="G979" s="57"/>
      <c r="H979" s="57"/>
      <c r="I979" s="34"/>
    </row>
    <row r="980" spans="7:9" ht="14.25" customHeight="1" x14ac:dyDescent="0.25">
      <c r="G980" s="57"/>
      <c r="H980" s="57"/>
      <c r="I980" s="34"/>
    </row>
    <row r="981" spans="7:9" ht="14.25" customHeight="1" x14ac:dyDescent="0.25">
      <c r="G981" s="57"/>
      <c r="H981" s="57"/>
      <c r="I981" s="34"/>
    </row>
    <row r="982" spans="7:9" ht="14.25" customHeight="1" x14ac:dyDescent="0.25">
      <c r="G982" s="57"/>
      <c r="H982" s="57"/>
      <c r="I982" s="34"/>
    </row>
    <row r="983" spans="7:9" ht="14.25" customHeight="1" x14ac:dyDescent="0.25">
      <c r="G983" s="57"/>
      <c r="H983" s="57"/>
      <c r="I983" s="34"/>
    </row>
    <row r="984" spans="7:9" ht="14.25" customHeight="1" x14ac:dyDescent="0.25">
      <c r="G984" s="57"/>
      <c r="H984" s="57"/>
      <c r="I984" s="34"/>
    </row>
    <row r="985" spans="7:9" ht="14.25" customHeight="1" x14ac:dyDescent="0.25">
      <c r="G985" s="57"/>
      <c r="H985" s="57"/>
      <c r="I985" s="34"/>
    </row>
    <row r="986" spans="7:9" ht="14.25" customHeight="1" x14ac:dyDescent="0.25">
      <c r="G986" s="57"/>
      <c r="H986" s="57"/>
      <c r="I986" s="34"/>
    </row>
    <row r="987" spans="7:9" ht="14.25" customHeight="1" x14ac:dyDescent="0.25">
      <c r="G987" s="57"/>
      <c r="H987" s="57"/>
      <c r="I987" s="34"/>
    </row>
    <row r="988" spans="7:9" ht="14.25" customHeight="1" x14ac:dyDescent="0.25">
      <c r="G988" s="57"/>
      <c r="H988" s="57"/>
      <c r="I988" s="34"/>
    </row>
    <row r="989" spans="7:9" ht="14.25" customHeight="1" x14ac:dyDescent="0.25">
      <c r="G989" s="57"/>
      <c r="H989" s="57"/>
      <c r="I989" s="34"/>
    </row>
    <row r="990" spans="7:9" ht="14.25" customHeight="1" x14ac:dyDescent="0.25">
      <c r="G990" s="57"/>
      <c r="H990" s="57"/>
      <c r="I990" s="34"/>
    </row>
    <row r="991" spans="7:9" ht="14.25" customHeight="1" x14ac:dyDescent="0.25">
      <c r="G991" s="57"/>
      <c r="H991" s="57"/>
      <c r="I991" s="34"/>
    </row>
    <row r="992" spans="7:9" ht="14.25" customHeight="1" x14ac:dyDescent="0.25">
      <c r="G992" s="57"/>
      <c r="H992" s="57"/>
      <c r="I992" s="34"/>
    </row>
    <row r="993" spans="7:9" ht="14.25" customHeight="1" x14ac:dyDescent="0.25">
      <c r="G993" s="57"/>
      <c r="H993" s="57"/>
      <c r="I993" s="34"/>
    </row>
    <row r="994" spans="7:9" ht="14.25" customHeight="1" x14ac:dyDescent="0.25">
      <c r="G994" s="57"/>
      <c r="H994" s="57"/>
      <c r="I994" s="34"/>
    </row>
    <row r="995" spans="7:9" ht="14.25" customHeight="1" x14ac:dyDescent="0.25">
      <c r="G995" s="57"/>
      <c r="H995" s="57"/>
      <c r="I995" s="34"/>
    </row>
    <row r="996" spans="7:9" ht="14.25" customHeight="1" x14ac:dyDescent="0.25">
      <c r="G996" s="57"/>
      <c r="H996" s="57"/>
      <c r="I996" s="34"/>
    </row>
    <row r="997" spans="7:9" ht="14.25" customHeight="1" x14ac:dyDescent="0.25">
      <c r="G997" s="57"/>
      <c r="H997" s="57"/>
      <c r="I997" s="34"/>
    </row>
    <row r="998" spans="7:9" ht="14.25" customHeight="1" x14ac:dyDescent="0.25">
      <c r="G998" s="57"/>
      <c r="H998" s="57"/>
      <c r="I998" s="34"/>
    </row>
    <row r="999" spans="7:9" ht="14.25" customHeight="1" x14ac:dyDescent="0.25">
      <c r="G999" s="57"/>
      <c r="H999" s="57"/>
      <c r="I999" s="34"/>
    </row>
    <row r="1000" spans="7:9" ht="14.25" customHeight="1" x14ac:dyDescent="0.25">
      <c r="G1000" s="57"/>
      <c r="H1000" s="57"/>
      <c r="I1000" s="34"/>
    </row>
  </sheetData>
  <autoFilter ref="C3:I3" xr:uid="{00000000-0009-0000-0000-000008000000}">
    <sortState xmlns:xlrd2="http://schemas.microsoft.com/office/spreadsheetml/2017/richdata2" ref="C3:I3">
      <sortCondition ref="D3"/>
    </sortState>
  </autoFilter>
  <mergeCells count="1">
    <mergeCell ref="D2:I2"/>
  </mergeCells>
  <conditionalFormatting sqref="C21">
    <cfRule type="expression" dxfId="17" priority="1">
      <formula>AND(C21&gt;TODAY(), C21-TODAY()&gt;=WEEKDAY(C21), C21-TODAY()&lt;WEEKDAY(C21)+7)</formula>
    </cfRule>
    <cfRule type="expression" dxfId="16" priority="2">
      <formula>OR(AND(C21&lt;=TODAY(), TODAY()-C21&lt;WEEKDAY(TODAY())), AND(TODAY()&lt;C21, C21-TODAY()&lt;WEEKDAY(C21)))</formula>
    </cfRule>
  </conditionalFormatting>
  <conditionalFormatting sqref="D43:D45 E65:E71">
    <cfRule type="expression" dxfId="15" priority="3" stopIfTrue="1">
      <formula>AND(COUNTIF(#REF!, D43)+COUNTIF($C:$C, D43)&gt;1,NOT(ISBLANK(D43)))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G10" sqref="G10"/>
    </sheetView>
  </sheetViews>
  <sheetFormatPr defaultColWidth="12.5703125" defaultRowHeight="15" customHeight="1" x14ac:dyDescent="0.25"/>
  <cols>
    <col min="1" max="1" width="15" customWidth="1"/>
    <col min="2" max="2" width="14.5703125" customWidth="1"/>
    <col min="3" max="3" width="17" customWidth="1"/>
    <col min="4" max="4" width="31.28515625" bestFit="1" customWidth="1"/>
    <col min="5" max="5" width="17.5703125" customWidth="1"/>
    <col min="6" max="6" width="15.140625" customWidth="1"/>
    <col min="7" max="7" width="21.140625" customWidth="1"/>
    <col min="8" max="8" width="17.42578125" customWidth="1"/>
    <col min="9" max="9" width="22.42578125" customWidth="1"/>
    <col min="10" max="26" width="8.5703125" customWidth="1"/>
  </cols>
  <sheetData>
    <row r="1" spans="1:9" ht="14.25" customHeight="1" x14ac:dyDescent="0.25">
      <c r="A1" s="28" t="s">
        <v>219</v>
      </c>
      <c r="B1" s="28" t="s">
        <v>220</v>
      </c>
      <c r="C1" s="28" t="s">
        <v>1</v>
      </c>
      <c r="D1" s="28" t="s">
        <v>2</v>
      </c>
      <c r="E1" s="28" t="s">
        <v>3</v>
      </c>
      <c r="F1" s="28" t="s">
        <v>4</v>
      </c>
      <c r="G1" s="29" t="s">
        <v>5</v>
      </c>
      <c r="H1" s="29" t="s">
        <v>6</v>
      </c>
      <c r="I1" s="38" t="s">
        <v>233</v>
      </c>
    </row>
    <row r="2" spans="1:9" ht="14.25" customHeight="1" x14ac:dyDescent="0.25">
      <c r="A2" s="61">
        <v>46141</v>
      </c>
      <c r="B2" s="31">
        <v>46148</v>
      </c>
      <c r="C2" s="32" t="s">
        <v>310</v>
      </c>
      <c r="D2" s="32" t="s">
        <v>311</v>
      </c>
      <c r="E2" s="32" t="s">
        <v>86</v>
      </c>
      <c r="F2" s="32">
        <v>22</v>
      </c>
      <c r="G2" s="62">
        <v>363</v>
      </c>
      <c r="H2" s="62">
        <v>132</v>
      </c>
      <c r="I2" s="51"/>
    </row>
    <row r="3" spans="1:9" ht="14.25" customHeight="1" x14ac:dyDescent="0.25">
      <c r="A3" s="61">
        <v>46141</v>
      </c>
      <c r="B3" s="31">
        <v>46148</v>
      </c>
      <c r="C3" s="32" t="s">
        <v>312</v>
      </c>
      <c r="D3" s="32" t="s">
        <v>313</v>
      </c>
      <c r="E3" s="32" t="s">
        <v>86</v>
      </c>
      <c r="F3" s="32">
        <v>22</v>
      </c>
      <c r="G3" s="62">
        <v>363</v>
      </c>
      <c r="H3" s="62">
        <v>132</v>
      </c>
      <c r="I3" s="51"/>
    </row>
    <row r="4" spans="1:9" ht="14.25" customHeight="1" x14ac:dyDescent="0.25">
      <c r="A4" s="61">
        <v>46141</v>
      </c>
      <c r="B4" s="31">
        <v>46148</v>
      </c>
      <c r="C4" s="32" t="s">
        <v>314</v>
      </c>
      <c r="D4" s="32" t="s">
        <v>315</v>
      </c>
      <c r="E4" s="32" t="s">
        <v>86</v>
      </c>
      <c r="F4" s="32">
        <v>22</v>
      </c>
      <c r="G4" s="62">
        <v>363</v>
      </c>
      <c r="H4" s="62"/>
      <c r="I4" s="51"/>
    </row>
    <row r="5" spans="1:9" ht="14.25" customHeight="1" x14ac:dyDescent="0.25">
      <c r="A5" s="61">
        <v>46148</v>
      </c>
      <c r="B5" s="31">
        <v>46148</v>
      </c>
      <c r="C5" s="32" t="s">
        <v>316</v>
      </c>
      <c r="D5" s="32" t="s">
        <v>317</v>
      </c>
      <c r="E5" s="32" t="s">
        <v>32</v>
      </c>
      <c r="F5" s="32">
        <v>18</v>
      </c>
      <c r="G5" s="62">
        <v>297</v>
      </c>
      <c r="H5" s="62">
        <v>98.1</v>
      </c>
      <c r="I5" s="51"/>
    </row>
    <row r="6" spans="1:9" ht="14.25" customHeight="1" x14ac:dyDescent="0.25">
      <c r="A6" s="51"/>
      <c r="B6" s="31">
        <v>46161</v>
      </c>
      <c r="C6" s="32" t="s">
        <v>318</v>
      </c>
      <c r="D6" s="32" t="s">
        <v>319</v>
      </c>
      <c r="E6" s="32" t="s">
        <v>23</v>
      </c>
      <c r="F6" s="32">
        <v>8</v>
      </c>
      <c r="G6" s="8">
        <f t="shared" ref="G6:G9" si="0">F6*16.5</f>
        <v>132</v>
      </c>
      <c r="H6" s="51" t="s">
        <v>241</v>
      </c>
      <c r="I6" s="51"/>
    </row>
    <row r="7" spans="1:9" ht="14.25" customHeight="1" x14ac:dyDescent="0.25">
      <c r="A7" s="51"/>
      <c r="B7" s="31">
        <v>46161</v>
      </c>
      <c r="C7" s="32" t="s">
        <v>320</v>
      </c>
      <c r="D7" s="32" t="s">
        <v>321</v>
      </c>
      <c r="E7" s="32" t="s">
        <v>47</v>
      </c>
      <c r="F7" s="32">
        <v>8</v>
      </c>
      <c r="G7" s="8">
        <f t="shared" si="0"/>
        <v>132</v>
      </c>
      <c r="H7" s="63">
        <v>48</v>
      </c>
      <c r="I7" s="51"/>
    </row>
    <row r="8" spans="1:9" ht="14.25" customHeight="1" x14ac:dyDescent="0.25">
      <c r="A8" s="51"/>
      <c r="B8" s="31">
        <v>46161</v>
      </c>
      <c r="C8" s="32" t="s">
        <v>322</v>
      </c>
      <c r="D8" s="32" t="s">
        <v>323</v>
      </c>
      <c r="E8" s="32" t="s">
        <v>65</v>
      </c>
      <c r="F8" s="32">
        <v>8</v>
      </c>
      <c r="G8" s="8">
        <f t="shared" si="0"/>
        <v>132</v>
      </c>
      <c r="H8" s="51" t="s">
        <v>241</v>
      </c>
      <c r="I8" s="51"/>
    </row>
    <row r="9" spans="1:9" ht="14.25" customHeight="1" x14ac:dyDescent="0.25">
      <c r="B9" s="30"/>
      <c r="C9" s="64" t="s">
        <v>324</v>
      </c>
      <c r="D9" s="64" t="s">
        <v>325</v>
      </c>
      <c r="E9" s="64" t="s">
        <v>326</v>
      </c>
      <c r="F9" s="64">
        <v>13</v>
      </c>
      <c r="G9" s="8">
        <f t="shared" si="0"/>
        <v>214.5</v>
      </c>
    </row>
    <row r="10" spans="1:9" ht="14.25" customHeight="1" x14ac:dyDescent="0.25">
      <c r="B10" s="30"/>
    </row>
    <row r="11" spans="1:9" ht="14.25" customHeight="1" x14ac:dyDescent="0.25">
      <c r="B11" s="30"/>
    </row>
    <row r="12" spans="1:9" ht="14.25" customHeight="1" x14ac:dyDescent="0.25">
      <c r="B12" s="30"/>
    </row>
    <row r="13" spans="1:9" ht="14.25" customHeight="1" x14ac:dyDescent="0.25">
      <c r="B13" s="30"/>
    </row>
    <row r="14" spans="1:9" ht="14.25" customHeight="1" x14ac:dyDescent="0.25">
      <c r="B14" s="30"/>
    </row>
    <row r="15" spans="1:9" ht="14.25" customHeight="1" x14ac:dyDescent="0.25">
      <c r="B15" s="30"/>
    </row>
    <row r="16" spans="1:9" ht="14.25" customHeight="1" x14ac:dyDescent="0.25">
      <c r="B16" s="30"/>
    </row>
    <row r="17" spans="2:2" ht="14.25" customHeight="1" x14ac:dyDescent="0.25">
      <c r="B17" s="30"/>
    </row>
    <row r="18" spans="2:2" ht="14.25" customHeight="1" x14ac:dyDescent="0.25">
      <c r="B18" s="30"/>
    </row>
    <row r="19" spans="2:2" ht="14.25" customHeight="1" x14ac:dyDescent="0.25">
      <c r="B19" s="30"/>
    </row>
    <row r="20" spans="2:2" ht="14.25" customHeight="1" x14ac:dyDescent="0.25">
      <c r="B20" s="30"/>
    </row>
    <row r="21" spans="2:2" ht="14.25" customHeight="1" x14ac:dyDescent="0.25">
      <c r="B21" s="30"/>
    </row>
    <row r="22" spans="2:2" ht="14.25" customHeight="1" x14ac:dyDescent="0.25">
      <c r="B22" s="30"/>
    </row>
    <row r="23" spans="2:2" ht="14.25" customHeight="1" x14ac:dyDescent="0.25">
      <c r="B23" s="30"/>
    </row>
    <row r="24" spans="2:2" ht="14.25" customHeight="1" x14ac:dyDescent="0.25">
      <c r="B24" s="30"/>
    </row>
    <row r="25" spans="2:2" ht="14.25" customHeight="1" x14ac:dyDescent="0.25">
      <c r="B25" s="30"/>
    </row>
    <row r="26" spans="2:2" ht="14.25" customHeight="1" x14ac:dyDescent="0.25">
      <c r="B26" s="30"/>
    </row>
    <row r="27" spans="2:2" ht="14.25" customHeight="1" x14ac:dyDescent="0.25">
      <c r="B27" s="30"/>
    </row>
    <row r="28" spans="2:2" ht="14.25" customHeight="1" x14ac:dyDescent="0.25">
      <c r="B28" s="30"/>
    </row>
    <row r="29" spans="2:2" ht="14.25" customHeight="1" x14ac:dyDescent="0.25">
      <c r="B29" s="30"/>
    </row>
    <row r="30" spans="2:2" ht="14.25" customHeight="1" x14ac:dyDescent="0.25">
      <c r="B30" s="30"/>
    </row>
    <row r="31" spans="2:2" ht="14.25" customHeight="1" x14ac:dyDescent="0.25">
      <c r="B31" s="30"/>
    </row>
    <row r="32" spans="2:2" ht="14.25" customHeight="1" x14ac:dyDescent="0.25">
      <c r="B32" s="30"/>
    </row>
    <row r="33" spans="2:2" ht="14.25" customHeight="1" x14ac:dyDescent="0.25">
      <c r="B33" s="30"/>
    </row>
    <row r="34" spans="2:2" ht="14.25" customHeight="1" x14ac:dyDescent="0.25">
      <c r="B34" s="30"/>
    </row>
    <row r="35" spans="2:2" ht="14.25" customHeight="1" x14ac:dyDescent="0.25">
      <c r="B35" s="30"/>
    </row>
    <row r="36" spans="2:2" ht="14.25" customHeight="1" x14ac:dyDescent="0.25">
      <c r="B36" s="30"/>
    </row>
    <row r="37" spans="2:2" ht="14.25" customHeight="1" x14ac:dyDescent="0.25">
      <c r="B37" s="30"/>
    </row>
    <row r="38" spans="2:2" ht="14.25" customHeight="1" x14ac:dyDescent="0.25">
      <c r="B38" s="30"/>
    </row>
    <row r="39" spans="2:2" ht="14.25" customHeight="1" x14ac:dyDescent="0.25">
      <c r="B39" s="30"/>
    </row>
    <row r="40" spans="2:2" ht="14.25" customHeight="1" x14ac:dyDescent="0.25">
      <c r="B40" s="30"/>
    </row>
    <row r="41" spans="2:2" ht="14.25" customHeight="1" x14ac:dyDescent="0.25">
      <c r="B41" s="30"/>
    </row>
    <row r="42" spans="2:2" ht="14.25" customHeight="1" x14ac:dyDescent="0.25">
      <c r="B42" s="30"/>
    </row>
    <row r="43" spans="2:2" ht="14.25" customHeight="1" x14ac:dyDescent="0.25">
      <c r="B43" s="30"/>
    </row>
    <row r="44" spans="2:2" ht="14.25" customHeight="1" x14ac:dyDescent="0.25">
      <c r="B44" s="30"/>
    </row>
    <row r="45" spans="2:2" ht="14.25" customHeight="1" x14ac:dyDescent="0.25">
      <c r="B45" s="30"/>
    </row>
    <row r="46" spans="2:2" ht="14.25" customHeight="1" x14ac:dyDescent="0.25">
      <c r="B46" s="30"/>
    </row>
    <row r="47" spans="2:2" ht="14.25" customHeight="1" x14ac:dyDescent="0.25">
      <c r="B47" s="30"/>
    </row>
    <row r="48" spans="2:2" ht="14.25" customHeight="1" x14ac:dyDescent="0.25">
      <c r="B48" s="30"/>
    </row>
    <row r="49" spans="2:2" ht="14.25" customHeight="1" x14ac:dyDescent="0.25">
      <c r="B49" s="30"/>
    </row>
    <row r="50" spans="2:2" ht="14.25" customHeight="1" x14ac:dyDescent="0.25">
      <c r="B50" s="30"/>
    </row>
    <row r="51" spans="2:2" ht="14.25" customHeight="1" x14ac:dyDescent="0.25">
      <c r="B51" s="30"/>
    </row>
    <row r="52" spans="2:2" ht="14.25" customHeight="1" x14ac:dyDescent="0.25">
      <c r="B52" s="30"/>
    </row>
    <row r="53" spans="2:2" ht="14.25" customHeight="1" x14ac:dyDescent="0.25">
      <c r="B53" s="30"/>
    </row>
    <row r="54" spans="2:2" ht="14.25" customHeight="1" x14ac:dyDescent="0.25">
      <c r="B54" s="30"/>
    </row>
    <row r="55" spans="2:2" ht="14.25" customHeight="1" x14ac:dyDescent="0.25">
      <c r="B55" s="30"/>
    </row>
    <row r="56" spans="2:2" ht="14.25" customHeight="1" x14ac:dyDescent="0.25">
      <c r="B56" s="30"/>
    </row>
    <row r="57" spans="2:2" ht="14.25" customHeight="1" x14ac:dyDescent="0.25">
      <c r="B57" s="30"/>
    </row>
    <row r="58" spans="2:2" ht="14.25" customHeight="1" x14ac:dyDescent="0.25">
      <c r="B58" s="30"/>
    </row>
    <row r="59" spans="2:2" ht="14.25" customHeight="1" x14ac:dyDescent="0.25">
      <c r="B59" s="30"/>
    </row>
    <row r="60" spans="2:2" ht="14.25" customHeight="1" x14ac:dyDescent="0.25">
      <c r="B60" s="30"/>
    </row>
    <row r="61" spans="2:2" ht="14.25" customHeight="1" x14ac:dyDescent="0.25">
      <c r="B61" s="30"/>
    </row>
    <row r="62" spans="2:2" ht="14.25" customHeight="1" x14ac:dyDescent="0.25">
      <c r="B62" s="30"/>
    </row>
    <row r="63" spans="2:2" ht="14.25" customHeight="1" x14ac:dyDescent="0.25">
      <c r="B63" s="30"/>
    </row>
    <row r="64" spans="2:2" ht="14.25" customHeight="1" x14ac:dyDescent="0.25">
      <c r="B64" s="30"/>
    </row>
    <row r="65" spans="2:2" ht="14.25" customHeight="1" x14ac:dyDescent="0.25">
      <c r="B65" s="30"/>
    </row>
    <row r="66" spans="2:2" ht="14.25" customHeight="1" x14ac:dyDescent="0.25">
      <c r="B66" s="30"/>
    </row>
    <row r="67" spans="2:2" ht="14.25" customHeight="1" x14ac:dyDescent="0.25">
      <c r="B67" s="30"/>
    </row>
    <row r="68" spans="2:2" ht="14.25" customHeight="1" x14ac:dyDescent="0.25">
      <c r="B68" s="30"/>
    </row>
    <row r="69" spans="2:2" ht="14.25" customHeight="1" x14ac:dyDescent="0.25">
      <c r="B69" s="30"/>
    </row>
    <row r="70" spans="2:2" ht="14.25" customHeight="1" x14ac:dyDescent="0.25">
      <c r="B70" s="30"/>
    </row>
    <row r="71" spans="2:2" ht="14.25" customHeight="1" x14ac:dyDescent="0.25">
      <c r="B71" s="30"/>
    </row>
    <row r="72" spans="2:2" ht="14.25" customHeight="1" x14ac:dyDescent="0.25">
      <c r="B72" s="30"/>
    </row>
    <row r="73" spans="2:2" ht="14.25" customHeight="1" x14ac:dyDescent="0.25">
      <c r="B73" s="30"/>
    </row>
    <row r="74" spans="2:2" ht="14.25" customHeight="1" x14ac:dyDescent="0.25">
      <c r="B74" s="30"/>
    </row>
    <row r="75" spans="2:2" ht="14.25" customHeight="1" x14ac:dyDescent="0.25">
      <c r="B75" s="30"/>
    </row>
    <row r="76" spans="2:2" ht="14.25" customHeight="1" x14ac:dyDescent="0.25">
      <c r="B76" s="30"/>
    </row>
    <row r="77" spans="2:2" ht="14.25" customHeight="1" x14ac:dyDescent="0.25">
      <c r="B77" s="30"/>
    </row>
    <row r="78" spans="2:2" ht="14.25" customHeight="1" x14ac:dyDescent="0.25">
      <c r="B78" s="30"/>
    </row>
    <row r="79" spans="2:2" ht="14.25" customHeight="1" x14ac:dyDescent="0.25">
      <c r="B79" s="30"/>
    </row>
    <row r="80" spans="2:2" ht="14.25" customHeight="1" x14ac:dyDescent="0.25">
      <c r="B80" s="30"/>
    </row>
    <row r="81" spans="2:2" ht="14.25" customHeight="1" x14ac:dyDescent="0.25">
      <c r="B81" s="30"/>
    </row>
    <row r="82" spans="2:2" ht="14.25" customHeight="1" x14ac:dyDescent="0.25">
      <c r="B82" s="30"/>
    </row>
    <row r="83" spans="2:2" ht="14.25" customHeight="1" x14ac:dyDescent="0.25">
      <c r="B83" s="30"/>
    </row>
    <row r="84" spans="2:2" ht="14.25" customHeight="1" x14ac:dyDescent="0.25">
      <c r="B84" s="30"/>
    </row>
    <row r="85" spans="2:2" ht="14.25" customHeight="1" x14ac:dyDescent="0.25">
      <c r="B85" s="30"/>
    </row>
    <row r="86" spans="2:2" ht="14.25" customHeight="1" x14ac:dyDescent="0.25">
      <c r="B86" s="30"/>
    </row>
    <row r="87" spans="2:2" ht="14.25" customHeight="1" x14ac:dyDescent="0.25">
      <c r="B87" s="30"/>
    </row>
    <row r="88" spans="2:2" ht="14.25" customHeight="1" x14ac:dyDescent="0.25">
      <c r="B88" s="30"/>
    </row>
    <row r="89" spans="2:2" ht="14.25" customHeight="1" x14ac:dyDescent="0.25">
      <c r="B89" s="30"/>
    </row>
    <row r="90" spans="2:2" ht="14.25" customHeight="1" x14ac:dyDescent="0.25">
      <c r="B90" s="30"/>
    </row>
    <row r="91" spans="2:2" ht="14.25" customHeight="1" x14ac:dyDescent="0.25">
      <c r="B91" s="30"/>
    </row>
    <row r="92" spans="2:2" ht="14.25" customHeight="1" x14ac:dyDescent="0.25">
      <c r="B92" s="30"/>
    </row>
    <row r="93" spans="2:2" ht="14.25" customHeight="1" x14ac:dyDescent="0.25">
      <c r="B93" s="30"/>
    </row>
    <row r="94" spans="2:2" ht="14.25" customHeight="1" x14ac:dyDescent="0.25">
      <c r="B94" s="30"/>
    </row>
    <row r="95" spans="2:2" ht="14.25" customHeight="1" x14ac:dyDescent="0.25">
      <c r="B95" s="30"/>
    </row>
    <row r="96" spans="2:2" ht="14.25" customHeight="1" x14ac:dyDescent="0.25">
      <c r="B96" s="30"/>
    </row>
    <row r="97" spans="2:2" ht="14.25" customHeight="1" x14ac:dyDescent="0.25">
      <c r="B97" s="30"/>
    </row>
    <row r="98" spans="2:2" ht="14.25" customHeight="1" x14ac:dyDescent="0.25">
      <c r="B98" s="30"/>
    </row>
    <row r="99" spans="2:2" ht="14.25" customHeight="1" x14ac:dyDescent="0.25">
      <c r="B99" s="30"/>
    </row>
    <row r="100" spans="2:2" ht="14.25" customHeight="1" x14ac:dyDescent="0.25">
      <c r="B100" s="30"/>
    </row>
    <row r="101" spans="2:2" ht="14.25" customHeight="1" x14ac:dyDescent="0.25">
      <c r="B101" s="30"/>
    </row>
    <row r="102" spans="2:2" ht="14.25" customHeight="1" x14ac:dyDescent="0.25">
      <c r="B102" s="30"/>
    </row>
    <row r="103" spans="2:2" ht="14.25" customHeight="1" x14ac:dyDescent="0.25">
      <c r="B103" s="30"/>
    </row>
    <row r="104" spans="2:2" ht="14.25" customHeight="1" x14ac:dyDescent="0.25">
      <c r="B104" s="30"/>
    </row>
    <row r="105" spans="2:2" ht="14.25" customHeight="1" x14ac:dyDescent="0.25">
      <c r="B105" s="30"/>
    </row>
    <row r="106" spans="2:2" ht="14.25" customHeight="1" x14ac:dyDescent="0.25">
      <c r="B106" s="30"/>
    </row>
    <row r="107" spans="2:2" ht="14.25" customHeight="1" x14ac:dyDescent="0.25">
      <c r="B107" s="30"/>
    </row>
    <row r="108" spans="2:2" ht="14.25" customHeight="1" x14ac:dyDescent="0.25">
      <c r="B108" s="30"/>
    </row>
    <row r="109" spans="2:2" ht="14.25" customHeight="1" x14ac:dyDescent="0.25">
      <c r="B109" s="30"/>
    </row>
    <row r="110" spans="2:2" ht="14.25" customHeight="1" x14ac:dyDescent="0.25">
      <c r="B110" s="30"/>
    </row>
    <row r="111" spans="2:2" ht="14.25" customHeight="1" x14ac:dyDescent="0.25">
      <c r="B111" s="30"/>
    </row>
    <row r="112" spans="2:2" ht="14.25" customHeight="1" x14ac:dyDescent="0.25">
      <c r="B112" s="30"/>
    </row>
    <row r="113" spans="2:2" ht="14.25" customHeight="1" x14ac:dyDescent="0.25">
      <c r="B113" s="30"/>
    </row>
    <row r="114" spans="2:2" ht="14.25" customHeight="1" x14ac:dyDescent="0.25">
      <c r="B114" s="30"/>
    </row>
    <row r="115" spans="2:2" ht="14.25" customHeight="1" x14ac:dyDescent="0.25">
      <c r="B115" s="30"/>
    </row>
    <row r="116" spans="2:2" ht="14.25" customHeight="1" x14ac:dyDescent="0.25">
      <c r="B116" s="30"/>
    </row>
    <row r="117" spans="2:2" ht="14.25" customHeight="1" x14ac:dyDescent="0.25">
      <c r="B117" s="30"/>
    </row>
    <row r="118" spans="2:2" ht="14.25" customHeight="1" x14ac:dyDescent="0.25">
      <c r="B118" s="30"/>
    </row>
    <row r="119" spans="2:2" ht="14.25" customHeight="1" x14ac:dyDescent="0.25">
      <c r="B119" s="30"/>
    </row>
    <row r="120" spans="2:2" ht="14.25" customHeight="1" x14ac:dyDescent="0.25">
      <c r="B120" s="30"/>
    </row>
    <row r="121" spans="2:2" ht="14.25" customHeight="1" x14ac:dyDescent="0.25">
      <c r="B121" s="30"/>
    </row>
    <row r="122" spans="2:2" ht="14.25" customHeight="1" x14ac:dyDescent="0.25">
      <c r="B122" s="30"/>
    </row>
    <row r="123" spans="2:2" ht="14.25" customHeight="1" x14ac:dyDescent="0.25">
      <c r="B123" s="30"/>
    </row>
    <row r="124" spans="2:2" ht="14.25" customHeight="1" x14ac:dyDescent="0.25">
      <c r="B124" s="30"/>
    </row>
    <row r="125" spans="2:2" ht="14.25" customHeight="1" x14ac:dyDescent="0.25">
      <c r="B125" s="30"/>
    </row>
    <row r="126" spans="2:2" ht="14.25" customHeight="1" x14ac:dyDescent="0.25">
      <c r="B126" s="30"/>
    </row>
    <row r="127" spans="2:2" ht="14.25" customHeight="1" x14ac:dyDescent="0.25">
      <c r="B127" s="30"/>
    </row>
    <row r="128" spans="2:2" ht="14.25" customHeight="1" x14ac:dyDescent="0.25">
      <c r="B128" s="30"/>
    </row>
    <row r="129" spans="2:2" ht="14.25" customHeight="1" x14ac:dyDescent="0.25">
      <c r="B129" s="30"/>
    </row>
    <row r="130" spans="2:2" ht="14.25" customHeight="1" x14ac:dyDescent="0.25">
      <c r="B130" s="30"/>
    </row>
    <row r="131" spans="2:2" ht="14.25" customHeight="1" x14ac:dyDescent="0.25">
      <c r="B131" s="30"/>
    </row>
    <row r="132" spans="2:2" ht="14.25" customHeight="1" x14ac:dyDescent="0.25">
      <c r="B132" s="30"/>
    </row>
    <row r="133" spans="2:2" ht="14.25" customHeight="1" x14ac:dyDescent="0.25">
      <c r="B133" s="30"/>
    </row>
    <row r="134" spans="2:2" ht="14.25" customHeight="1" x14ac:dyDescent="0.25">
      <c r="B134" s="30"/>
    </row>
    <row r="135" spans="2:2" ht="14.25" customHeight="1" x14ac:dyDescent="0.25">
      <c r="B135" s="30"/>
    </row>
    <row r="136" spans="2:2" ht="14.25" customHeight="1" x14ac:dyDescent="0.25">
      <c r="B136" s="30"/>
    </row>
    <row r="137" spans="2:2" ht="14.25" customHeight="1" x14ac:dyDescent="0.25">
      <c r="B137" s="30"/>
    </row>
    <row r="138" spans="2:2" ht="14.25" customHeight="1" x14ac:dyDescent="0.25">
      <c r="B138" s="30"/>
    </row>
    <row r="139" spans="2:2" ht="14.25" customHeight="1" x14ac:dyDescent="0.25">
      <c r="B139" s="30"/>
    </row>
    <row r="140" spans="2:2" ht="14.25" customHeight="1" x14ac:dyDescent="0.25">
      <c r="B140" s="30"/>
    </row>
    <row r="141" spans="2:2" ht="14.25" customHeight="1" x14ac:dyDescent="0.25">
      <c r="B141" s="30"/>
    </row>
    <row r="142" spans="2:2" ht="14.25" customHeight="1" x14ac:dyDescent="0.25">
      <c r="B142" s="30"/>
    </row>
    <row r="143" spans="2:2" ht="14.25" customHeight="1" x14ac:dyDescent="0.25">
      <c r="B143" s="30"/>
    </row>
    <row r="144" spans="2:2" ht="14.25" customHeight="1" x14ac:dyDescent="0.25">
      <c r="B144" s="30"/>
    </row>
    <row r="145" spans="2:2" ht="14.25" customHeight="1" x14ac:dyDescent="0.25">
      <c r="B145" s="30"/>
    </row>
    <row r="146" spans="2:2" ht="14.25" customHeight="1" x14ac:dyDescent="0.25">
      <c r="B146" s="30"/>
    </row>
    <row r="147" spans="2:2" ht="14.25" customHeight="1" x14ac:dyDescent="0.25">
      <c r="B147" s="30"/>
    </row>
    <row r="148" spans="2:2" ht="14.25" customHeight="1" x14ac:dyDescent="0.25">
      <c r="B148" s="30"/>
    </row>
    <row r="149" spans="2:2" ht="14.25" customHeight="1" x14ac:dyDescent="0.25">
      <c r="B149" s="30"/>
    </row>
    <row r="150" spans="2:2" ht="14.25" customHeight="1" x14ac:dyDescent="0.25">
      <c r="B150" s="30"/>
    </row>
    <row r="151" spans="2:2" ht="14.25" customHeight="1" x14ac:dyDescent="0.25">
      <c r="B151" s="30"/>
    </row>
    <row r="152" spans="2:2" ht="14.25" customHeight="1" x14ac:dyDescent="0.25">
      <c r="B152" s="30"/>
    </row>
    <row r="153" spans="2:2" ht="14.25" customHeight="1" x14ac:dyDescent="0.25">
      <c r="B153" s="30"/>
    </row>
    <row r="154" spans="2:2" ht="14.25" customHeight="1" x14ac:dyDescent="0.25">
      <c r="B154" s="30"/>
    </row>
    <row r="155" spans="2:2" ht="14.25" customHeight="1" x14ac:dyDescent="0.25">
      <c r="B155" s="30"/>
    </row>
    <row r="156" spans="2:2" ht="14.25" customHeight="1" x14ac:dyDescent="0.25">
      <c r="B156" s="30"/>
    </row>
    <row r="157" spans="2:2" ht="14.25" customHeight="1" x14ac:dyDescent="0.25">
      <c r="B157" s="30"/>
    </row>
    <row r="158" spans="2:2" ht="14.25" customHeight="1" x14ac:dyDescent="0.25">
      <c r="B158" s="30"/>
    </row>
    <row r="159" spans="2:2" ht="14.25" customHeight="1" x14ac:dyDescent="0.25">
      <c r="B159" s="30"/>
    </row>
    <row r="160" spans="2:2" ht="14.25" customHeight="1" x14ac:dyDescent="0.25">
      <c r="B160" s="30"/>
    </row>
    <row r="161" spans="2:2" ht="14.25" customHeight="1" x14ac:dyDescent="0.25">
      <c r="B161" s="30"/>
    </row>
    <row r="162" spans="2:2" ht="14.25" customHeight="1" x14ac:dyDescent="0.25">
      <c r="B162" s="30"/>
    </row>
    <row r="163" spans="2:2" ht="14.25" customHeight="1" x14ac:dyDescent="0.25">
      <c r="B163" s="30"/>
    </row>
    <row r="164" spans="2:2" ht="14.25" customHeight="1" x14ac:dyDescent="0.25">
      <c r="B164" s="30"/>
    </row>
    <row r="165" spans="2:2" ht="14.25" customHeight="1" x14ac:dyDescent="0.25">
      <c r="B165" s="30"/>
    </row>
    <row r="166" spans="2:2" ht="14.25" customHeight="1" x14ac:dyDescent="0.25">
      <c r="B166" s="30"/>
    </row>
    <row r="167" spans="2:2" ht="14.25" customHeight="1" x14ac:dyDescent="0.25">
      <c r="B167" s="30"/>
    </row>
    <row r="168" spans="2:2" ht="14.25" customHeight="1" x14ac:dyDescent="0.25">
      <c r="B168" s="30"/>
    </row>
    <row r="169" spans="2:2" ht="14.25" customHeight="1" x14ac:dyDescent="0.25">
      <c r="B169" s="30"/>
    </row>
    <row r="170" spans="2:2" ht="14.25" customHeight="1" x14ac:dyDescent="0.25">
      <c r="B170" s="30"/>
    </row>
    <row r="171" spans="2:2" ht="14.25" customHeight="1" x14ac:dyDescent="0.25">
      <c r="B171" s="30"/>
    </row>
    <row r="172" spans="2:2" ht="14.25" customHeight="1" x14ac:dyDescent="0.25">
      <c r="B172" s="30"/>
    </row>
    <row r="173" spans="2:2" ht="14.25" customHeight="1" x14ac:dyDescent="0.25">
      <c r="B173" s="30"/>
    </row>
    <row r="174" spans="2:2" ht="14.25" customHeight="1" x14ac:dyDescent="0.25">
      <c r="B174" s="30"/>
    </row>
    <row r="175" spans="2:2" ht="14.25" customHeight="1" x14ac:dyDescent="0.25">
      <c r="B175" s="30"/>
    </row>
    <row r="176" spans="2:2" ht="14.25" customHeight="1" x14ac:dyDescent="0.25">
      <c r="B176" s="30"/>
    </row>
    <row r="177" spans="2:2" ht="14.25" customHeight="1" x14ac:dyDescent="0.25">
      <c r="B177" s="30"/>
    </row>
    <row r="178" spans="2:2" ht="14.25" customHeight="1" x14ac:dyDescent="0.25">
      <c r="B178" s="30"/>
    </row>
    <row r="179" spans="2:2" ht="14.25" customHeight="1" x14ac:dyDescent="0.25">
      <c r="B179" s="30"/>
    </row>
    <row r="180" spans="2:2" ht="14.25" customHeight="1" x14ac:dyDescent="0.25">
      <c r="B180" s="30"/>
    </row>
    <row r="181" spans="2:2" ht="14.25" customHeight="1" x14ac:dyDescent="0.25">
      <c r="B181" s="30"/>
    </row>
    <row r="182" spans="2:2" ht="14.25" customHeight="1" x14ac:dyDescent="0.25">
      <c r="B182" s="30"/>
    </row>
    <row r="183" spans="2:2" ht="14.25" customHeight="1" x14ac:dyDescent="0.25">
      <c r="B183" s="30"/>
    </row>
    <row r="184" spans="2:2" ht="14.25" customHeight="1" x14ac:dyDescent="0.25">
      <c r="B184" s="30"/>
    </row>
    <row r="185" spans="2:2" ht="14.25" customHeight="1" x14ac:dyDescent="0.25">
      <c r="B185" s="30"/>
    </row>
    <row r="186" spans="2:2" ht="14.25" customHeight="1" x14ac:dyDescent="0.25">
      <c r="B186" s="30"/>
    </row>
    <row r="187" spans="2:2" ht="14.25" customHeight="1" x14ac:dyDescent="0.25">
      <c r="B187" s="30"/>
    </row>
    <row r="188" spans="2:2" ht="14.25" customHeight="1" x14ac:dyDescent="0.25">
      <c r="B188" s="30"/>
    </row>
    <row r="189" spans="2:2" ht="14.25" customHeight="1" x14ac:dyDescent="0.25">
      <c r="B189" s="30"/>
    </row>
    <row r="190" spans="2:2" ht="14.25" customHeight="1" x14ac:dyDescent="0.25">
      <c r="B190" s="30"/>
    </row>
    <row r="191" spans="2:2" ht="14.25" customHeight="1" x14ac:dyDescent="0.25">
      <c r="B191" s="30"/>
    </row>
    <row r="192" spans="2:2" ht="14.25" customHeight="1" x14ac:dyDescent="0.25">
      <c r="B192" s="30"/>
    </row>
    <row r="193" spans="2:2" ht="14.25" customHeight="1" x14ac:dyDescent="0.25">
      <c r="B193" s="30"/>
    </row>
    <row r="194" spans="2:2" ht="14.25" customHeight="1" x14ac:dyDescent="0.25">
      <c r="B194" s="30"/>
    </row>
    <row r="195" spans="2:2" ht="14.25" customHeight="1" x14ac:dyDescent="0.25">
      <c r="B195" s="30"/>
    </row>
    <row r="196" spans="2:2" ht="14.25" customHeight="1" x14ac:dyDescent="0.25">
      <c r="B196" s="30"/>
    </row>
    <row r="197" spans="2:2" ht="14.25" customHeight="1" x14ac:dyDescent="0.25">
      <c r="B197" s="30"/>
    </row>
    <row r="198" spans="2:2" ht="14.25" customHeight="1" x14ac:dyDescent="0.25">
      <c r="B198" s="30"/>
    </row>
    <row r="199" spans="2:2" ht="14.25" customHeight="1" x14ac:dyDescent="0.25">
      <c r="B199" s="30"/>
    </row>
    <row r="200" spans="2:2" ht="14.25" customHeight="1" x14ac:dyDescent="0.25">
      <c r="B200" s="30"/>
    </row>
    <row r="201" spans="2:2" ht="14.25" customHeight="1" x14ac:dyDescent="0.25">
      <c r="B201" s="30"/>
    </row>
    <row r="202" spans="2:2" ht="14.25" customHeight="1" x14ac:dyDescent="0.25">
      <c r="B202" s="30"/>
    </row>
    <row r="203" spans="2:2" ht="14.25" customHeight="1" x14ac:dyDescent="0.25">
      <c r="B203" s="30"/>
    </row>
    <row r="204" spans="2:2" ht="14.25" customHeight="1" x14ac:dyDescent="0.25">
      <c r="B204" s="30"/>
    </row>
    <row r="205" spans="2:2" ht="14.25" customHeight="1" x14ac:dyDescent="0.25">
      <c r="B205" s="30"/>
    </row>
    <row r="206" spans="2:2" ht="14.25" customHeight="1" x14ac:dyDescent="0.25">
      <c r="B206" s="30"/>
    </row>
    <row r="207" spans="2:2" ht="14.25" customHeight="1" x14ac:dyDescent="0.25">
      <c r="B207" s="30"/>
    </row>
    <row r="208" spans="2:2" ht="14.25" customHeight="1" x14ac:dyDescent="0.25">
      <c r="B208" s="30"/>
    </row>
    <row r="209" spans="2:2" ht="14.25" customHeight="1" x14ac:dyDescent="0.25">
      <c r="B209" s="30"/>
    </row>
    <row r="210" spans="2:2" ht="14.25" customHeight="1" x14ac:dyDescent="0.25">
      <c r="B210" s="30"/>
    </row>
    <row r="211" spans="2:2" ht="14.25" customHeight="1" x14ac:dyDescent="0.25">
      <c r="B211" s="30"/>
    </row>
    <row r="212" spans="2:2" ht="14.25" customHeight="1" x14ac:dyDescent="0.25">
      <c r="B212" s="30"/>
    </row>
    <row r="213" spans="2:2" ht="14.25" customHeight="1" x14ac:dyDescent="0.25">
      <c r="B213" s="30"/>
    </row>
    <row r="214" spans="2:2" ht="14.25" customHeight="1" x14ac:dyDescent="0.25">
      <c r="B214" s="30"/>
    </row>
    <row r="215" spans="2:2" ht="14.25" customHeight="1" x14ac:dyDescent="0.25">
      <c r="B215" s="30"/>
    </row>
    <row r="216" spans="2:2" ht="14.25" customHeight="1" x14ac:dyDescent="0.25">
      <c r="B216" s="30"/>
    </row>
    <row r="217" spans="2:2" ht="14.25" customHeight="1" x14ac:dyDescent="0.25">
      <c r="B217" s="30"/>
    </row>
    <row r="218" spans="2:2" ht="14.25" customHeight="1" x14ac:dyDescent="0.25">
      <c r="B218" s="30"/>
    </row>
    <row r="219" spans="2:2" ht="14.25" customHeight="1" x14ac:dyDescent="0.25">
      <c r="B219" s="30"/>
    </row>
    <row r="220" spans="2:2" ht="14.25" customHeight="1" x14ac:dyDescent="0.25">
      <c r="B220" s="30"/>
    </row>
    <row r="221" spans="2:2" ht="14.25" customHeight="1" x14ac:dyDescent="0.25">
      <c r="B221" s="30"/>
    </row>
    <row r="222" spans="2:2" ht="14.25" customHeight="1" x14ac:dyDescent="0.25">
      <c r="B222" s="30"/>
    </row>
    <row r="223" spans="2:2" ht="14.25" customHeight="1" x14ac:dyDescent="0.25">
      <c r="B223" s="30"/>
    </row>
    <row r="224" spans="2:2" ht="14.25" customHeight="1" x14ac:dyDescent="0.25">
      <c r="B224" s="30"/>
    </row>
    <row r="225" spans="2:2" ht="14.25" customHeight="1" x14ac:dyDescent="0.25">
      <c r="B225" s="30"/>
    </row>
    <row r="226" spans="2:2" ht="14.25" customHeight="1" x14ac:dyDescent="0.25">
      <c r="B226" s="30"/>
    </row>
    <row r="227" spans="2:2" ht="14.25" customHeight="1" x14ac:dyDescent="0.25">
      <c r="B227" s="30"/>
    </row>
    <row r="228" spans="2:2" ht="14.25" customHeight="1" x14ac:dyDescent="0.25">
      <c r="B228" s="30"/>
    </row>
    <row r="229" spans="2:2" ht="14.25" customHeight="1" x14ac:dyDescent="0.25">
      <c r="B229" s="30"/>
    </row>
    <row r="230" spans="2:2" ht="14.25" customHeight="1" x14ac:dyDescent="0.25">
      <c r="B230" s="30"/>
    </row>
    <row r="231" spans="2:2" ht="14.25" customHeight="1" x14ac:dyDescent="0.25">
      <c r="B231" s="30"/>
    </row>
    <row r="232" spans="2:2" ht="14.25" customHeight="1" x14ac:dyDescent="0.25">
      <c r="B232" s="30"/>
    </row>
    <row r="233" spans="2:2" ht="14.25" customHeight="1" x14ac:dyDescent="0.25">
      <c r="B233" s="30"/>
    </row>
    <row r="234" spans="2:2" ht="14.25" customHeight="1" x14ac:dyDescent="0.25">
      <c r="B234" s="30"/>
    </row>
    <row r="235" spans="2:2" ht="14.25" customHeight="1" x14ac:dyDescent="0.25">
      <c r="B235" s="30"/>
    </row>
    <row r="236" spans="2:2" ht="14.25" customHeight="1" x14ac:dyDescent="0.25">
      <c r="B236" s="30"/>
    </row>
    <row r="237" spans="2:2" ht="14.25" customHeight="1" x14ac:dyDescent="0.25">
      <c r="B237" s="30"/>
    </row>
    <row r="238" spans="2:2" ht="14.25" customHeight="1" x14ac:dyDescent="0.25">
      <c r="B238" s="30"/>
    </row>
    <row r="239" spans="2:2" ht="14.25" customHeight="1" x14ac:dyDescent="0.25">
      <c r="B239" s="30"/>
    </row>
    <row r="240" spans="2:2" ht="14.25" customHeight="1" x14ac:dyDescent="0.25">
      <c r="B240" s="30"/>
    </row>
    <row r="241" spans="2:2" ht="14.25" customHeight="1" x14ac:dyDescent="0.25">
      <c r="B241" s="30"/>
    </row>
    <row r="242" spans="2:2" ht="14.25" customHeight="1" x14ac:dyDescent="0.25">
      <c r="B242" s="30"/>
    </row>
    <row r="243" spans="2:2" ht="14.25" customHeight="1" x14ac:dyDescent="0.25">
      <c r="B243" s="30"/>
    </row>
    <row r="244" spans="2:2" ht="14.25" customHeight="1" x14ac:dyDescent="0.25">
      <c r="B244" s="30"/>
    </row>
    <row r="245" spans="2:2" ht="14.25" customHeight="1" x14ac:dyDescent="0.25">
      <c r="B245" s="30"/>
    </row>
    <row r="246" spans="2:2" ht="14.25" customHeight="1" x14ac:dyDescent="0.25">
      <c r="B246" s="30"/>
    </row>
    <row r="247" spans="2:2" ht="14.25" customHeight="1" x14ac:dyDescent="0.25">
      <c r="B247" s="30"/>
    </row>
    <row r="248" spans="2:2" ht="14.25" customHeight="1" x14ac:dyDescent="0.25">
      <c r="B248" s="30"/>
    </row>
    <row r="249" spans="2:2" ht="14.25" customHeight="1" x14ac:dyDescent="0.25">
      <c r="B249" s="30"/>
    </row>
    <row r="250" spans="2:2" ht="14.25" customHeight="1" x14ac:dyDescent="0.25">
      <c r="B250" s="30"/>
    </row>
    <row r="251" spans="2:2" ht="14.25" customHeight="1" x14ac:dyDescent="0.25">
      <c r="B251" s="30"/>
    </row>
    <row r="252" spans="2:2" ht="14.25" customHeight="1" x14ac:dyDescent="0.25">
      <c r="B252" s="30"/>
    </row>
    <row r="253" spans="2:2" ht="14.25" customHeight="1" x14ac:dyDescent="0.25">
      <c r="B253" s="30"/>
    </row>
    <row r="254" spans="2:2" ht="14.25" customHeight="1" x14ac:dyDescent="0.25">
      <c r="B254" s="30"/>
    </row>
    <row r="255" spans="2:2" ht="14.25" customHeight="1" x14ac:dyDescent="0.25">
      <c r="B255" s="30"/>
    </row>
    <row r="256" spans="2:2" ht="14.25" customHeight="1" x14ac:dyDescent="0.25">
      <c r="B256" s="30"/>
    </row>
    <row r="257" spans="2:2" ht="14.25" customHeight="1" x14ac:dyDescent="0.25">
      <c r="B257" s="30"/>
    </row>
    <row r="258" spans="2:2" ht="14.25" customHeight="1" x14ac:dyDescent="0.25">
      <c r="B258" s="30"/>
    </row>
    <row r="259" spans="2:2" ht="14.25" customHeight="1" x14ac:dyDescent="0.25">
      <c r="B259" s="30"/>
    </row>
    <row r="260" spans="2:2" ht="14.25" customHeight="1" x14ac:dyDescent="0.25">
      <c r="B260" s="30"/>
    </row>
    <row r="261" spans="2:2" ht="14.25" customHeight="1" x14ac:dyDescent="0.25">
      <c r="B261" s="30"/>
    </row>
    <row r="262" spans="2:2" ht="14.25" customHeight="1" x14ac:dyDescent="0.25">
      <c r="B262" s="30"/>
    </row>
    <row r="263" spans="2:2" ht="14.25" customHeight="1" x14ac:dyDescent="0.25">
      <c r="B263" s="30"/>
    </row>
    <row r="264" spans="2:2" ht="14.25" customHeight="1" x14ac:dyDescent="0.25">
      <c r="B264" s="30"/>
    </row>
    <row r="265" spans="2:2" ht="14.25" customHeight="1" x14ac:dyDescent="0.25">
      <c r="B265" s="30"/>
    </row>
    <row r="266" spans="2:2" ht="14.25" customHeight="1" x14ac:dyDescent="0.25">
      <c r="B266" s="30"/>
    </row>
    <row r="267" spans="2:2" ht="14.25" customHeight="1" x14ac:dyDescent="0.25">
      <c r="B267" s="30"/>
    </row>
    <row r="268" spans="2:2" ht="14.25" customHeight="1" x14ac:dyDescent="0.25">
      <c r="B268" s="30"/>
    </row>
    <row r="269" spans="2:2" ht="14.25" customHeight="1" x14ac:dyDescent="0.25">
      <c r="B269" s="30"/>
    </row>
    <row r="270" spans="2:2" ht="14.25" customHeight="1" x14ac:dyDescent="0.25">
      <c r="B270" s="30"/>
    </row>
    <row r="271" spans="2:2" ht="14.25" customHeight="1" x14ac:dyDescent="0.25">
      <c r="B271" s="30"/>
    </row>
    <row r="272" spans="2:2" ht="14.25" customHeight="1" x14ac:dyDescent="0.25">
      <c r="B272" s="30"/>
    </row>
    <row r="273" spans="2:2" ht="14.25" customHeight="1" x14ac:dyDescent="0.25">
      <c r="B273" s="30"/>
    </row>
    <row r="274" spans="2:2" ht="14.25" customHeight="1" x14ac:dyDescent="0.25">
      <c r="B274" s="30"/>
    </row>
    <row r="275" spans="2:2" ht="14.25" customHeight="1" x14ac:dyDescent="0.25">
      <c r="B275" s="30"/>
    </row>
    <row r="276" spans="2:2" ht="14.25" customHeight="1" x14ac:dyDescent="0.25">
      <c r="B276" s="30"/>
    </row>
    <row r="277" spans="2:2" ht="14.25" customHeight="1" x14ac:dyDescent="0.25">
      <c r="B277" s="30"/>
    </row>
    <row r="278" spans="2:2" ht="14.25" customHeight="1" x14ac:dyDescent="0.25">
      <c r="B278" s="30"/>
    </row>
    <row r="279" spans="2:2" ht="14.25" customHeight="1" x14ac:dyDescent="0.25">
      <c r="B279" s="30"/>
    </row>
    <row r="280" spans="2:2" ht="14.25" customHeight="1" x14ac:dyDescent="0.25">
      <c r="B280" s="30"/>
    </row>
    <row r="281" spans="2:2" ht="14.25" customHeight="1" x14ac:dyDescent="0.25">
      <c r="B281" s="30"/>
    </row>
    <row r="282" spans="2:2" ht="14.25" customHeight="1" x14ac:dyDescent="0.25">
      <c r="B282" s="30"/>
    </row>
    <row r="283" spans="2:2" ht="14.25" customHeight="1" x14ac:dyDescent="0.25">
      <c r="B283" s="30"/>
    </row>
    <row r="284" spans="2:2" ht="14.25" customHeight="1" x14ac:dyDescent="0.25">
      <c r="B284" s="30"/>
    </row>
    <row r="285" spans="2:2" ht="14.25" customHeight="1" x14ac:dyDescent="0.25">
      <c r="B285" s="30"/>
    </row>
    <row r="286" spans="2:2" ht="14.25" customHeight="1" x14ac:dyDescent="0.25">
      <c r="B286" s="30"/>
    </row>
    <row r="287" spans="2:2" ht="14.25" customHeight="1" x14ac:dyDescent="0.25">
      <c r="B287" s="30"/>
    </row>
    <row r="288" spans="2:2" ht="14.25" customHeight="1" x14ac:dyDescent="0.25">
      <c r="B288" s="30"/>
    </row>
    <row r="289" spans="2:2" ht="14.25" customHeight="1" x14ac:dyDescent="0.25">
      <c r="B289" s="30"/>
    </row>
    <row r="290" spans="2:2" ht="14.25" customHeight="1" x14ac:dyDescent="0.25">
      <c r="B290" s="30"/>
    </row>
    <row r="291" spans="2:2" ht="14.25" customHeight="1" x14ac:dyDescent="0.25">
      <c r="B291" s="30"/>
    </row>
    <row r="292" spans="2:2" ht="14.25" customHeight="1" x14ac:dyDescent="0.25">
      <c r="B292" s="30"/>
    </row>
    <row r="293" spans="2:2" ht="14.25" customHeight="1" x14ac:dyDescent="0.25">
      <c r="B293" s="30"/>
    </row>
    <row r="294" spans="2:2" ht="14.25" customHeight="1" x14ac:dyDescent="0.25">
      <c r="B294" s="30"/>
    </row>
    <row r="295" spans="2:2" ht="14.25" customHeight="1" x14ac:dyDescent="0.25">
      <c r="B295" s="30"/>
    </row>
    <row r="296" spans="2:2" ht="14.25" customHeight="1" x14ac:dyDescent="0.25">
      <c r="B296" s="30"/>
    </row>
    <row r="297" spans="2:2" ht="14.25" customHeight="1" x14ac:dyDescent="0.25">
      <c r="B297" s="30"/>
    </row>
    <row r="298" spans="2:2" ht="14.25" customHeight="1" x14ac:dyDescent="0.25">
      <c r="B298" s="30"/>
    </row>
    <row r="299" spans="2:2" ht="14.25" customHeight="1" x14ac:dyDescent="0.25">
      <c r="B299" s="30"/>
    </row>
    <row r="300" spans="2:2" ht="14.25" customHeight="1" x14ac:dyDescent="0.25">
      <c r="B300" s="30"/>
    </row>
    <row r="301" spans="2:2" ht="14.25" customHeight="1" x14ac:dyDescent="0.25">
      <c r="B301" s="30"/>
    </row>
    <row r="302" spans="2:2" ht="14.25" customHeight="1" x14ac:dyDescent="0.25">
      <c r="B302" s="30"/>
    </row>
    <row r="303" spans="2:2" ht="14.25" customHeight="1" x14ac:dyDescent="0.25">
      <c r="B303" s="30"/>
    </row>
    <row r="304" spans="2:2" ht="14.25" customHeight="1" x14ac:dyDescent="0.25">
      <c r="B304" s="30"/>
    </row>
    <row r="305" spans="2:2" ht="14.25" customHeight="1" x14ac:dyDescent="0.25">
      <c r="B305" s="30"/>
    </row>
    <row r="306" spans="2:2" ht="14.25" customHeight="1" x14ac:dyDescent="0.25">
      <c r="B306" s="30"/>
    </row>
    <row r="307" spans="2:2" ht="14.25" customHeight="1" x14ac:dyDescent="0.25">
      <c r="B307" s="30"/>
    </row>
    <row r="308" spans="2:2" ht="14.25" customHeight="1" x14ac:dyDescent="0.25">
      <c r="B308" s="30"/>
    </row>
    <row r="309" spans="2:2" ht="14.25" customHeight="1" x14ac:dyDescent="0.25">
      <c r="B309" s="30"/>
    </row>
    <row r="310" spans="2:2" ht="14.25" customHeight="1" x14ac:dyDescent="0.25">
      <c r="B310" s="30"/>
    </row>
    <row r="311" spans="2:2" ht="14.25" customHeight="1" x14ac:dyDescent="0.25">
      <c r="B311" s="30"/>
    </row>
    <row r="312" spans="2:2" ht="14.25" customHeight="1" x14ac:dyDescent="0.25">
      <c r="B312" s="30"/>
    </row>
    <row r="313" spans="2:2" ht="14.25" customHeight="1" x14ac:dyDescent="0.25">
      <c r="B313" s="30"/>
    </row>
    <row r="314" spans="2:2" ht="14.25" customHeight="1" x14ac:dyDescent="0.25">
      <c r="B314" s="30"/>
    </row>
    <row r="315" spans="2:2" ht="14.25" customHeight="1" x14ac:dyDescent="0.25">
      <c r="B315" s="30"/>
    </row>
    <row r="316" spans="2:2" ht="14.25" customHeight="1" x14ac:dyDescent="0.25">
      <c r="B316" s="30"/>
    </row>
    <row r="317" spans="2:2" ht="14.25" customHeight="1" x14ac:dyDescent="0.25">
      <c r="B317" s="30"/>
    </row>
    <row r="318" spans="2:2" ht="14.25" customHeight="1" x14ac:dyDescent="0.25">
      <c r="B318" s="30"/>
    </row>
    <row r="319" spans="2:2" ht="14.25" customHeight="1" x14ac:dyDescent="0.25">
      <c r="B319" s="30"/>
    </row>
    <row r="320" spans="2:2" ht="14.25" customHeight="1" x14ac:dyDescent="0.25">
      <c r="B320" s="30"/>
    </row>
    <row r="321" spans="2:2" ht="14.25" customHeight="1" x14ac:dyDescent="0.25">
      <c r="B321" s="30"/>
    </row>
    <row r="322" spans="2:2" ht="14.25" customHeight="1" x14ac:dyDescent="0.25">
      <c r="B322" s="30"/>
    </row>
    <row r="323" spans="2:2" ht="14.25" customHeight="1" x14ac:dyDescent="0.25">
      <c r="B323" s="30"/>
    </row>
    <row r="324" spans="2:2" ht="14.25" customHeight="1" x14ac:dyDescent="0.25">
      <c r="B324" s="30"/>
    </row>
    <row r="325" spans="2:2" ht="14.25" customHeight="1" x14ac:dyDescent="0.25">
      <c r="B325" s="30"/>
    </row>
    <row r="326" spans="2:2" ht="14.25" customHeight="1" x14ac:dyDescent="0.25">
      <c r="B326" s="30"/>
    </row>
    <row r="327" spans="2:2" ht="14.25" customHeight="1" x14ac:dyDescent="0.25">
      <c r="B327" s="30"/>
    </row>
    <row r="328" spans="2:2" ht="14.25" customHeight="1" x14ac:dyDescent="0.25">
      <c r="B328" s="30"/>
    </row>
    <row r="329" spans="2:2" ht="14.25" customHeight="1" x14ac:dyDescent="0.25">
      <c r="B329" s="30"/>
    </row>
    <row r="330" spans="2:2" ht="14.25" customHeight="1" x14ac:dyDescent="0.25">
      <c r="B330" s="30"/>
    </row>
    <row r="331" spans="2:2" ht="14.25" customHeight="1" x14ac:dyDescent="0.25">
      <c r="B331" s="30"/>
    </row>
    <row r="332" spans="2:2" ht="14.25" customHeight="1" x14ac:dyDescent="0.25">
      <c r="B332" s="30"/>
    </row>
    <row r="333" spans="2:2" ht="14.25" customHeight="1" x14ac:dyDescent="0.25">
      <c r="B333" s="30"/>
    </row>
    <row r="334" spans="2:2" ht="14.25" customHeight="1" x14ac:dyDescent="0.25">
      <c r="B334" s="30"/>
    </row>
    <row r="335" spans="2:2" ht="14.25" customHeight="1" x14ac:dyDescent="0.25">
      <c r="B335" s="30"/>
    </row>
    <row r="336" spans="2:2" ht="14.25" customHeight="1" x14ac:dyDescent="0.25">
      <c r="B336" s="30"/>
    </row>
    <row r="337" spans="2:2" ht="14.25" customHeight="1" x14ac:dyDescent="0.25">
      <c r="B337" s="30"/>
    </row>
    <row r="338" spans="2:2" ht="14.25" customHeight="1" x14ac:dyDescent="0.25">
      <c r="B338" s="30"/>
    </row>
    <row r="339" spans="2:2" ht="14.25" customHeight="1" x14ac:dyDescent="0.25">
      <c r="B339" s="30"/>
    </row>
    <row r="340" spans="2:2" ht="14.25" customHeight="1" x14ac:dyDescent="0.25">
      <c r="B340" s="30"/>
    </row>
    <row r="341" spans="2:2" ht="14.25" customHeight="1" x14ac:dyDescent="0.25">
      <c r="B341" s="30"/>
    </row>
    <row r="342" spans="2:2" ht="14.25" customHeight="1" x14ac:dyDescent="0.25">
      <c r="B342" s="30"/>
    </row>
    <row r="343" spans="2:2" ht="14.25" customHeight="1" x14ac:dyDescent="0.25">
      <c r="B343" s="30"/>
    </row>
    <row r="344" spans="2:2" ht="14.25" customHeight="1" x14ac:dyDescent="0.25">
      <c r="B344" s="30"/>
    </row>
    <row r="345" spans="2:2" ht="14.25" customHeight="1" x14ac:dyDescent="0.25">
      <c r="B345" s="30"/>
    </row>
    <row r="346" spans="2:2" ht="14.25" customHeight="1" x14ac:dyDescent="0.25">
      <c r="B346" s="30"/>
    </row>
    <row r="347" spans="2:2" ht="14.25" customHeight="1" x14ac:dyDescent="0.25">
      <c r="B347" s="30"/>
    </row>
    <row r="348" spans="2:2" ht="14.25" customHeight="1" x14ac:dyDescent="0.25">
      <c r="B348" s="30"/>
    </row>
    <row r="349" spans="2:2" ht="14.25" customHeight="1" x14ac:dyDescent="0.25">
      <c r="B349" s="30"/>
    </row>
    <row r="350" spans="2:2" ht="14.25" customHeight="1" x14ac:dyDescent="0.25">
      <c r="B350" s="30"/>
    </row>
    <row r="351" spans="2:2" ht="14.25" customHeight="1" x14ac:dyDescent="0.25">
      <c r="B351" s="30"/>
    </row>
    <row r="352" spans="2:2" ht="14.25" customHeight="1" x14ac:dyDescent="0.25">
      <c r="B352" s="30"/>
    </row>
    <row r="353" spans="2:2" ht="14.25" customHeight="1" x14ac:dyDescent="0.25">
      <c r="B353" s="30"/>
    </row>
    <row r="354" spans="2:2" ht="14.25" customHeight="1" x14ac:dyDescent="0.25">
      <c r="B354" s="30"/>
    </row>
    <row r="355" spans="2:2" ht="14.25" customHeight="1" x14ac:dyDescent="0.25">
      <c r="B355" s="30"/>
    </row>
    <row r="356" spans="2:2" ht="14.25" customHeight="1" x14ac:dyDescent="0.25">
      <c r="B356" s="30"/>
    </row>
    <row r="357" spans="2:2" ht="14.25" customHeight="1" x14ac:dyDescent="0.25">
      <c r="B357" s="30"/>
    </row>
    <row r="358" spans="2:2" ht="14.25" customHeight="1" x14ac:dyDescent="0.25">
      <c r="B358" s="30"/>
    </row>
    <row r="359" spans="2:2" ht="14.25" customHeight="1" x14ac:dyDescent="0.25">
      <c r="B359" s="30"/>
    </row>
    <row r="360" spans="2:2" ht="14.25" customHeight="1" x14ac:dyDescent="0.25">
      <c r="B360" s="30"/>
    </row>
    <row r="361" spans="2:2" ht="14.25" customHeight="1" x14ac:dyDescent="0.25">
      <c r="B361" s="30"/>
    </row>
    <row r="362" spans="2:2" ht="14.25" customHeight="1" x14ac:dyDescent="0.25">
      <c r="B362" s="30"/>
    </row>
    <row r="363" spans="2:2" ht="14.25" customHeight="1" x14ac:dyDescent="0.25">
      <c r="B363" s="30"/>
    </row>
    <row r="364" spans="2:2" ht="14.25" customHeight="1" x14ac:dyDescent="0.25">
      <c r="B364" s="30"/>
    </row>
    <row r="365" spans="2:2" ht="14.25" customHeight="1" x14ac:dyDescent="0.25">
      <c r="B365" s="30"/>
    </row>
    <row r="366" spans="2:2" ht="14.25" customHeight="1" x14ac:dyDescent="0.25">
      <c r="B366" s="30"/>
    </row>
    <row r="367" spans="2:2" ht="14.25" customHeight="1" x14ac:dyDescent="0.25">
      <c r="B367" s="30"/>
    </row>
    <row r="368" spans="2:2" ht="14.25" customHeight="1" x14ac:dyDescent="0.25">
      <c r="B368" s="30"/>
    </row>
    <row r="369" spans="2:2" ht="14.25" customHeight="1" x14ac:dyDescent="0.25">
      <c r="B369" s="30"/>
    </row>
    <row r="370" spans="2:2" ht="14.25" customHeight="1" x14ac:dyDescent="0.25">
      <c r="B370" s="30"/>
    </row>
    <row r="371" spans="2:2" ht="14.25" customHeight="1" x14ac:dyDescent="0.25">
      <c r="B371" s="30"/>
    </row>
    <row r="372" spans="2:2" ht="14.25" customHeight="1" x14ac:dyDescent="0.25">
      <c r="B372" s="30"/>
    </row>
    <row r="373" spans="2:2" ht="14.25" customHeight="1" x14ac:dyDescent="0.25">
      <c r="B373" s="30"/>
    </row>
    <row r="374" spans="2:2" ht="14.25" customHeight="1" x14ac:dyDescent="0.25">
      <c r="B374" s="30"/>
    </row>
    <row r="375" spans="2:2" ht="14.25" customHeight="1" x14ac:dyDescent="0.25">
      <c r="B375" s="30"/>
    </row>
    <row r="376" spans="2:2" ht="14.25" customHeight="1" x14ac:dyDescent="0.25">
      <c r="B376" s="30"/>
    </row>
    <row r="377" spans="2:2" ht="14.25" customHeight="1" x14ac:dyDescent="0.25">
      <c r="B377" s="30"/>
    </row>
    <row r="378" spans="2:2" ht="14.25" customHeight="1" x14ac:dyDescent="0.25">
      <c r="B378" s="30"/>
    </row>
    <row r="379" spans="2:2" ht="14.25" customHeight="1" x14ac:dyDescent="0.25">
      <c r="B379" s="30"/>
    </row>
    <row r="380" spans="2:2" ht="14.25" customHeight="1" x14ac:dyDescent="0.25">
      <c r="B380" s="30"/>
    </row>
    <row r="381" spans="2:2" ht="14.25" customHeight="1" x14ac:dyDescent="0.25">
      <c r="B381" s="30"/>
    </row>
    <row r="382" spans="2:2" ht="14.25" customHeight="1" x14ac:dyDescent="0.25">
      <c r="B382" s="30"/>
    </row>
    <row r="383" spans="2:2" ht="14.25" customHeight="1" x14ac:dyDescent="0.25">
      <c r="B383" s="30"/>
    </row>
    <row r="384" spans="2:2" ht="14.25" customHeight="1" x14ac:dyDescent="0.25">
      <c r="B384" s="30"/>
    </row>
    <row r="385" spans="2:2" ht="14.25" customHeight="1" x14ac:dyDescent="0.25">
      <c r="B385" s="30"/>
    </row>
    <row r="386" spans="2:2" ht="14.25" customHeight="1" x14ac:dyDescent="0.25">
      <c r="B386" s="30"/>
    </row>
    <row r="387" spans="2:2" ht="14.25" customHeight="1" x14ac:dyDescent="0.25">
      <c r="B387" s="30"/>
    </row>
    <row r="388" spans="2:2" ht="14.25" customHeight="1" x14ac:dyDescent="0.25">
      <c r="B388" s="30"/>
    </row>
    <row r="389" spans="2:2" ht="14.25" customHeight="1" x14ac:dyDescent="0.25">
      <c r="B389" s="30"/>
    </row>
    <row r="390" spans="2:2" ht="14.25" customHeight="1" x14ac:dyDescent="0.25">
      <c r="B390" s="30"/>
    </row>
    <row r="391" spans="2:2" ht="14.25" customHeight="1" x14ac:dyDescent="0.25">
      <c r="B391" s="30"/>
    </row>
    <row r="392" spans="2:2" ht="14.25" customHeight="1" x14ac:dyDescent="0.25">
      <c r="B392" s="30"/>
    </row>
    <row r="393" spans="2:2" ht="14.25" customHeight="1" x14ac:dyDescent="0.25">
      <c r="B393" s="30"/>
    </row>
    <row r="394" spans="2:2" ht="14.25" customHeight="1" x14ac:dyDescent="0.25">
      <c r="B394" s="30"/>
    </row>
    <row r="395" spans="2:2" ht="14.25" customHeight="1" x14ac:dyDescent="0.25">
      <c r="B395" s="30"/>
    </row>
    <row r="396" spans="2:2" ht="14.25" customHeight="1" x14ac:dyDescent="0.25">
      <c r="B396" s="30"/>
    </row>
    <row r="397" spans="2:2" ht="14.25" customHeight="1" x14ac:dyDescent="0.25">
      <c r="B397" s="30"/>
    </row>
    <row r="398" spans="2:2" ht="14.25" customHeight="1" x14ac:dyDescent="0.25">
      <c r="B398" s="30"/>
    </row>
    <row r="399" spans="2:2" ht="14.25" customHeight="1" x14ac:dyDescent="0.25">
      <c r="B399" s="30"/>
    </row>
    <row r="400" spans="2:2" ht="14.25" customHeight="1" x14ac:dyDescent="0.25">
      <c r="B400" s="30"/>
    </row>
    <row r="401" spans="2:2" ht="14.25" customHeight="1" x14ac:dyDescent="0.25">
      <c r="B401" s="30"/>
    </row>
    <row r="402" spans="2:2" ht="14.25" customHeight="1" x14ac:dyDescent="0.25">
      <c r="B402" s="30"/>
    </row>
    <row r="403" spans="2:2" ht="14.25" customHeight="1" x14ac:dyDescent="0.25">
      <c r="B403" s="30"/>
    </row>
    <row r="404" spans="2:2" ht="14.25" customHeight="1" x14ac:dyDescent="0.25">
      <c r="B404" s="30"/>
    </row>
    <row r="405" spans="2:2" ht="14.25" customHeight="1" x14ac:dyDescent="0.25">
      <c r="B405" s="30"/>
    </row>
    <row r="406" spans="2:2" ht="14.25" customHeight="1" x14ac:dyDescent="0.25">
      <c r="B406" s="30"/>
    </row>
    <row r="407" spans="2:2" ht="14.25" customHeight="1" x14ac:dyDescent="0.25">
      <c r="B407" s="30"/>
    </row>
    <row r="408" spans="2:2" ht="14.25" customHeight="1" x14ac:dyDescent="0.25">
      <c r="B408" s="30"/>
    </row>
    <row r="409" spans="2:2" ht="14.25" customHeight="1" x14ac:dyDescent="0.25">
      <c r="B409" s="30"/>
    </row>
    <row r="410" spans="2:2" ht="14.25" customHeight="1" x14ac:dyDescent="0.25">
      <c r="B410" s="30"/>
    </row>
    <row r="411" spans="2:2" ht="14.25" customHeight="1" x14ac:dyDescent="0.25">
      <c r="B411" s="30"/>
    </row>
    <row r="412" spans="2:2" ht="14.25" customHeight="1" x14ac:dyDescent="0.25">
      <c r="B412" s="30"/>
    </row>
    <row r="413" spans="2:2" ht="14.25" customHeight="1" x14ac:dyDescent="0.25">
      <c r="B413" s="30"/>
    </row>
    <row r="414" spans="2:2" ht="14.25" customHeight="1" x14ac:dyDescent="0.25">
      <c r="B414" s="30"/>
    </row>
    <row r="415" spans="2:2" ht="14.25" customHeight="1" x14ac:dyDescent="0.25">
      <c r="B415" s="30"/>
    </row>
    <row r="416" spans="2:2" ht="14.25" customHeight="1" x14ac:dyDescent="0.25">
      <c r="B416" s="30"/>
    </row>
    <row r="417" spans="2:2" ht="14.25" customHeight="1" x14ac:dyDescent="0.25">
      <c r="B417" s="30"/>
    </row>
    <row r="418" spans="2:2" ht="14.25" customHeight="1" x14ac:dyDescent="0.25">
      <c r="B418" s="30"/>
    </row>
    <row r="419" spans="2:2" ht="14.25" customHeight="1" x14ac:dyDescent="0.25">
      <c r="B419" s="30"/>
    </row>
    <row r="420" spans="2:2" ht="14.25" customHeight="1" x14ac:dyDescent="0.25">
      <c r="B420" s="30"/>
    </row>
    <row r="421" spans="2:2" ht="14.25" customHeight="1" x14ac:dyDescent="0.25">
      <c r="B421" s="30"/>
    </row>
    <row r="422" spans="2:2" ht="14.25" customHeight="1" x14ac:dyDescent="0.25">
      <c r="B422" s="30"/>
    </row>
    <row r="423" spans="2:2" ht="14.25" customHeight="1" x14ac:dyDescent="0.25">
      <c r="B423" s="30"/>
    </row>
    <row r="424" spans="2:2" ht="14.25" customHeight="1" x14ac:dyDescent="0.25">
      <c r="B424" s="30"/>
    </row>
    <row r="425" spans="2:2" ht="14.25" customHeight="1" x14ac:dyDescent="0.25">
      <c r="B425" s="30"/>
    </row>
    <row r="426" spans="2:2" ht="14.25" customHeight="1" x14ac:dyDescent="0.25">
      <c r="B426" s="30"/>
    </row>
    <row r="427" spans="2:2" ht="14.25" customHeight="1" x14ac:dyDescent="0.25">
      <c r="B427" s="30"/>
    </row>
    <row r="428" spans="2:2" ht="14.25" customHeight="1" x14ac:dyDescent="0.25">
      <c r="B428" s="30"/>
    </row>
    <row r="429" spans="2:2" ht="14.25" customHeight="1" x14ac:dyDescent="0.25">
      <c r="B429" s="30"/>
    </row>
    <row r="430" spans="2:2" ht="14.25" customHeight="1" x14ac:dyDescent="0.25">
      <c r="B430" s="30"/>
    </row>
    <row r="431" spans="2:2" ht="14.25" customHeight="1" x14ac:dyDescent="0.25">
      <c r="B431" s="30"/>
    </row>
    <row r="432" spans="2:2" ht="14.25" customHeight="1" x14ac:dyDescent="0.25">
      <c r="B432" s="30"/>
    </row>
    <row r="433" spans="2:2" ht="14.25" customHeight="1" x14ac:dyDescent="0.25">
      <c r="B433" s="30"/>
    </row>
    <row r="434" spans="2:2" ht="14.25" customHeight="1" x14ac:dyDescent="0.25">
      <c r="B434" s="30"/>
    </row>
    <row r="435" spans="2:2" ht="14.25" customHeight="1" x14ac:dyDescent="0.25">
      <c r="B435" s="30"/>
    </row>
    <row r="436" spans="2:2" ht="14.25" customHeight="1" x14ac:dyDescent="0.25">
      <c r="B436" s="30"/>
    </row>
    <row r="437" spans="2:2" ht="14.25" customHeight="1" x14ac:dyDescent="0.25">
      <c r="B437" s="30"/>
    </row>
    <row r="438" spans="2:2" ht="14.25" customHeight="1" x14ac:dyDescent="0.25">
      <c r="B438" s="30"/>
    </row>
    <row r="439" spans="2:2" ht="14.25" customHeight="1" x14ac:dyDescent="0.25">
      <c r="B439" s="30"/>
    </row>
    <row r="440" spans="2:2" ht="14.25" customHeight="1" x14ac:dyDescent="0.25">
      <c r="B440" s="30"/>
    </row>
    <row r="441" spans="2:2" ht="14.25" customHeight="1" x14ac:dyDescent="0.25">
      <c r="B441" s="30"/>
    </row>
    <row r="442" spans="2:2" ht="14.25" customHeight="1" x14ac:dyDescent="0.25">
      <c r="B442" s="30"/>
    </row>
    <row r="443" spans="2:2" ht="14.25" customHeight="1" x14ac:dyDescent="0.25">
      <c r="B443" s="30"/>
    </row>
    <row r="444" spans="2:2" ht="14.25" customHeight="1" x14ac:dyDescent="0.25">
      <c r="B444" s="30"/>
    </row>
    <row r="445" spans="2:2" ht="14.25" customHeight="1" x14ac:dyDescent="0.25">
      <c r="B445" s="30"/>
    </row>
    <row r="446" spans="2:2" ht="14.25" customHeight="1" x14ac:dyDescent="0.25">
      <c r="B446" s="30"/>
    </row>
    <row r="447" spans="2:2" ht="14.25" customHeight="1" x14ac:dyDescent="0.25">
      <c r="B447" s="30"/>
    </row>
    <row r="448" spans="2:2" ht="14.25" customHeight="1" x14ac:dyDescent="0.25">
      <c r="B448" s="30"/>
    </row>
    <row r="449" spans="2:2" ht="14.25" customHeight="1" x14ac:dyDescent="0.25">
      <c r="B449" s="30"/>
    </row>
    <row r="450" spans="2:2" ht="14.25" customHeight="1" x14ac:dyDescent="0.25">
      <c r="B450" s="30"/>
    </row>
    <row r="451" spans="2:2" ht="14.25" customHeight="1" x14ac:dyDescent="0.25">
      <c r="B451" s="30"/>
    </row>
    <row r="452" spans="2:2" ht="14.25" customHeight="1" x14ac:dyDescent="0.25">
      <c r="B452" s="30"/>
    </row>
    <row r="453" spans="2:2" ht="14.25" customHeight="1" x14ac:dyDescent="0.25">
      <c r="B453" s="30"/>
    </row>
    <row r="454" spans="2:2" ht="14.25" customHeight="1" x14ac:dyDescent="0.25">
      <c r="B454" s="30"/>
    </row>
    <row r="455" spans="2:2" ht="14.25" customHeight="1" x14ac:dyDescent="0.25">
      <c r="B455" s="30"/>
    </row>
    <row r="456" spans="2:2" ht="14.25" customHeight="1" x14ac:dyDescent="0.25">
      <c r="B456" s="30"/>
    </row>
    <row r="457" spans="2:2" ht="14.25" customHeight="1" x14ac:dyDescent="0.25">
      <c r="B457" s="30"/>
    </row>
    <row r="458" spans="2:2" ht="14.25" customHeight="1" x14ac:dyDescent="0.25">
      <c r="B458" s="30"/>
    </row>
    <row r="459" spans="2:2" ht="14.25" customHeight="1" x14ac:dyDescent="0.25">
      <c r="B459" s="30"/>
    </row>
    <row r="460" spans="2:2" ht="14.25" customHeight="1" x14ac:dyDescent="0.25">
      <c r="B460" s="30"/>
    </row>
    <row r="461" spans="2:2" ht="14.25" customHeight="1" x14ac:dyDescent="0.25">
      <c r="B461" s="30"/>
    </row>
    <row r="462" spans="2:2" ht="14.25" customHeight="1" x14ac:dyDescent="0.25">
      <c r="B462" s="30"/>
    </row>
    <row r="463" spans="2:2" ht="14.25" customHeight="1" x14ac:dyDescent="0.25">
      <c r="B463" s="30"/>
    </row>
    <row r="464" spans="2:2" ht="14.25" customHeight="1" x14ac:dyDescent="0.25">
      <c r="B464" s="30"/>
    </row>
    <row r="465" spans="2:2" ht="14.25" customHeight="1" x14ac:dyDescent="0.25">
      <c r="B465" s="30"/>
    </row>
    <row r="466" spans="2:2" ht="14.25" customHeight="1" x14ac:dyDescent="0.25">
      <c r="B466" s="30"/>
    </row>
    <row r="467" spans="2:2" ht="14.25" customHeight="1" x14ac:dyDescent="0.25">
      <c r="B467" s="30"/>
    </row>
    <row r="468" spans="2:2" ht="14.25" customHeight="1" x14ac:dyDescent="0.25">
      <c r="B468" s="30"/>
    </row>
    <row r="469" spans="2:2" ht="14.25" customHeight="1" x14ac:dyDescent="0.25">
      <c r="B469" s="30"/>
    </row>
    <row r="470" spans="2:2" ht="14.25" customHeight="1" x14ac:dyDescent="0.25">
      <c r="B470" s="30"/>
    </row>
    <row r="471" spans="2:2" ht="14.25" customHeight="1" x14ac:dyDescent="0.25">
      <c r="B471" s="30"/>
    </row>
    <row r="472" spans="2:2" ht="14.25" customHeight="1" x14ac:dyDescent="0.25">
      <c r="B472" s="30"/>
    </row>
    <row r="473" spans="2:2" ht="14.25" customHeight="1" x14ac:dyDescent="0.25">
      <c r="B473" s="30"/>
    </row>
    <row r="474" spans="2:2" ht="14.25" customHeight="1" x14ac:dyDescent="0.25">
      <c r="B474" s="30"/>
    </row>
    <row r="475" spans="2:2" ht="14.25" customHeight="1" x14ac:dyDescent="0.25">
      <c r="B475" s="30"/>
    </row>
    <row r="476" spans="2:2" ht="14.25" customHeight="1" x14ac:dyDescent="0.25">
      <c r="B476" s="30"/>
    </row>
    <row r="477" spans="2:2" ht="14.25" customHeight="1" x14ac:dyDescent="0.25">
      <c r="B477" s="30"/>
    </row>
    <row r="478" spans="2:2" ht="14.25" customHeight="1" x14ac:dyDescent="0.25">
      <c r="B478" s="30"/>
    </row>
    <row r="479" spans="2:2" ht="14.25" customHeight="1" x14ac:dyDescent="0.25">
      <c r="B479" s="30"/>
    </row>
    <row r="480" spans="2:2" ht="14.25" customHeight="1" x14ac:dyDescent="0.25">
      <c r="B480" s="30"/>
    </row>
    <row r="481" spans="2:2" ht="14.25" customHeight="1" x14ac:dyDescent="0.25">
      <c r="B481" s="30"/>
    </row>
    <row r="482" spans="2:2" ht="14.25" customHeight="1" x14ac:dyDescent="0.25">
      <c r="B482" s="30"/>
    </row>
    <row r="483" spans="2:2" ht="14.25" customHeight="1" x14ac:dyDescent="0.25">
      <c r="B483" s="30"/>
    </row>
    <row r="484" spans="2:2" ht="14.25" customHeight="1" x14ac:dyDescent="0.25">
      <c r="B484" s="30"/>
    </row>
    <row r="485" spans="2:2" ht="14.25" customHeight="1" x14ac:dyDescent="0.25">
      <c r="B485" s="30"/>
    </row>
    <row r="486" spans="2:2" ht="14.25" customHeight="1" x14ac:dyDescent="0.25">
      <c r="B486" s="30"/>
    </row>
    <row r="487" spans="2:2" ht="14.25" customHeight="1" x14ac:dyDescent="0.25">
      <c r="B487" s="30"/>
    </row>
    <row r="488" spans="2:2" ht="14.25" customHeight="1" x14ac:dyDescent="0.25">
      <c r="B488" s="30"/>
    </row>
    <row r="489" spans="2:2" ht="14.25" customHeight="1" x14ac:dyDescent="0.25">
      <c r="B489" s="30"/>
    </row>
    <row r="490" spans="2:2" ht="14.25" customHeight="1" x14ac:dyDescent="0.25">
      <c r="B490" s="30"/>
    </row>
    <row r="491" spans="2:2" ht="14.25" customHeight="1" x14ac:dyDescent="0.25">
      <c r="B491" s="30"/>
    </row>
    <row r="492" spans="2:2" ht="14.25" customHeight="1" x14ac:dyDescent="0.25">
      <c r="B492" s="30"/>
    </row>
    <row r="493" spans="2:2" ht="14.25" customHeight="1" x14ac:dyDescent="0.25">
      <c r="B493" s="30"/>
    </row>
    <row r="494" spans="2:2" ht="14.25" customHeight="1" x14ac:dyDescent="0.25">
      <c r="B494" s="30"/>
    </row>
    <row r="495" spans="2:2" ht="14.25" customHeight="1" x14ac:dyDescent="0.25">
      <c r="B495" s="30"/>
    </row>
    <row r="496" spans="2:2" ht="14.25" customHeight="1" x14ac:dyDescent="0.25">
      <c r="B496" s="30"/>
    </row>
    <row r="497" spans="2:2" ht="14.25" customHeight="1" x14ac:dyDescent="0.25">
      <c r="B497" s="30"/>
    </row>
    <row r="498" spans="2:2" ht="14.25" customHeight="1" x14ac:dyDescent="0.25">
      <c r="B498" s="30"/>
    </row>
    <row r="499" spans="2:2" ht="14.25" customHeight="1" x14ac:dyDescent="0.25">
      <c r="B499" s="30"/>
    </row>
    <row r="500" spans="2:2" ht="14.25" customHeight="1" x14ac:dyDescent="0.25">
      <c r="B500" s="30"/>
    </row>
    <row r="501" spans="2:2" ht="14.25" customHeight="1" x14ac:dyDescent="0.25">
      <c r="B501" s="30"/>
    </row>
    <row r="502" spans="2:2" ht="14.25" customHeight="1" x14ac:dyDescent="0.25">
      <c r="B502" s="30"/>
    </row>
    <row r="503" spans="2:2" ht="14.25" customHeight="1" x14ac:dyDescent="0.25">
      <c r="B503" s="30"/>
    </row>
    <row r="504" spans="2:2" ht="14.25" customHeight="1" x14ac:dyDescent="0.25">
      <c r="B504" s="30"/>
    </row>
    <row r="505" spans="2:2" ht="14.25" customHeight="1" x14ac:dyDescent="0.25">
      <c r="B505" s="30"/>
    </row>
    <row r="506" spans="2:2" ht="14.25" customHeight="1" x14ac:dyDescent="0.25">
      <c r="B506" s="30"/>
    </row>
    <row r="507" spans="2:2" ht="14.25" customHeight="1" x14ac:dyDescent="0.25">
      <c r="B507" s="30"/>
    </row>
    <row r="508" spans="2:2" ht="14.25" customHeight="1" x14ac:dyDescent="0.25">
      <c r="B508" s="30"/>
    </row>
    <row r="509" spans="2:2" ht="14.25" customHeight="1" x14ac:dyDescent="0.25">
      <c r="B509" s="30"/>
    </row>
    <row r="510" spans="2:2" ht="14.25" customHeight="1" x14ac:dyDescent="0.25">
      <c r="B510" s="30"/>
    </row>
    <row r="511" spans="2:2" ht="14.25" customHeight="1" x14ac:dyDescent="0.25">
      <c r="B511" s="30"/>
    </row>
    <row r="512" spans="2:2" ht="14.25" customHeight="1" x14ac:dyDescent="0.25">
      <c r="B512" s="30"/>
    </row>
    <row r="513" spans="2:2" ht="14.25" customHeight="1" x14ac:dyDescent="0.25">
      <c r="B513" s="30"/>
    </row>
    <row r="514" spans="2:2" ht="14.25" customHeight="1" x14ac:dyDescent="0.25">
      <c r="B514" s="30"/>
    </row>
    <row r="515" spans="2:2" ht="14.25" customHeight="1" x14ac:dyDescent="0.25">
      <c r="B515" s="30"/>
    </row>
    <row r="516" spans="2:2" ht="14.25" customHeight="1" x14ac:dyDescent="0.25">
      <c r="B516" s="30"/>
    </row>
    <row r="517" spans="2:2" ht="14.25" customHeight="1" x14ac:dyDescent="0.25">
      <c r="B517" s="30"/>
    </row>
    <row r="518" spans="2:2" ht="14.25" customHeight="1" x14ac:dyDescent="0.25">
      <c r="B518" s="30"/>
    </row>
    <row r="519" spans="2:2" ht="14.25" customHeight="1" x14ac:dyDescent="0.25">
      <c r="B519" s="30"/>
    </row>
    <row r="520" spans="2:2" ht="14.25" customHeight="1" x14ac:dyDescent="0.25">
      <c r="B520" s="30"/>
    </row>
    <row r="521" spans="2:2" ht="14.25" customHeight="1" x14ac:dyDescent="0.25">
      <c r="B521" s="30"/>
    </row>
    <row r="522" spans="2:2" ht="14.25" customHeight="1" x14ac:dyDescent="0.25">
      <c r="B522" s="30"/>
    </row>
    <row r="523" spans="2:2" ht="14.25" customHeight="1" x14ac:dyDescent="0.25">
      <c r="B523" s="30"/>
    </row>
    <row r="524" spans="2:2" ht="14.25" customHeight="1" x14ac:dyDescent="0.25">
      <c r="B524" s="30"/>
    </row>
    <row r="525" spans="2:2" ht="14.25" customHeight="1" x14ac:dyDescent="0.25">
      <c r="B525" s="30"/>
    </row>
    <row r="526" spans="2:2" ht="14.25" customHeight="1" x14ac:dyDescent="0.25">
      <c r="B526" s="30"/>
    </row>
    <row r="527" spans="2:2" ht="14.25" customHeight="1" x14ac:dyDescent="0.25">
      <c r="B527" s="30"/>
    </row>
    <row r="528" spans="2:2" ht="14.25" customHeight="1" x14ac:dyDescent="0.25">
      <c r="B528" s="30"/>
    </row>
    <row r="529" spans="2:2" ht="14.25" customHeight="1" x14ac:dyDescent="0.25">
      <c r="B529" s="30"/>
    </row>
    <row r="530" spans="2:2" ht="14.25" customHeight="1" x14ac:dyDescent="0.25">
      <c r="B530" s="30"/>
    </row>
    <row r="531" spans="2:2" ht="14.25" customHeight="1" x14ac:dyDescent="0.25">
      <c r="B531" s="30"/>
    </row>
    <row r="532" spans="2:2" ht="14.25" customHeight="1" x14ac:dyDescent="0.25">
      <c r="B532" s="30"/>
    </row>
    <row r="533" spans="2:2" ht="14.25" customHeight="1" x14ac:dyDescent="0.25">
      <c r="B533" s="30"/>
    </row>
    <row r="534" spans="2:2" ht="14.25" customHeight="1" x14ac:dyDescent="0.25">
      <c r="B534" s="30"/>
    </row>
    <row r="535" spans="2:2" ht="14.25" customHeight="1" x14ac:dyDescent="0.25">
      <c r="B535" s="30"/>
    </row>
    <row r="536" spans="2:2" ht="14.25" customHeight="1" x14ac:dyDescent="0.25">
      <c r="B536" s="30"/>
    </row>
    <row r="537" spans="2:2" ht="14.25" customHeight="1" x14ac:dyDescent="0.25">
      <c r="B537" s="30"/>
    </row>
    <row r="538" spans="2:2" ht="14.25" customHeight="1" x14ac:dyDescent="0.25">
      <c r="B538" s="30"/>
    </row>
    <row r="539" spans="2:2" ht="14.25" customHeight="1" x14ac:dyDescent="0.25">
      <c r="B539" s="30"/>
    </row>
    <row r="540" spans="2:2" ht="14.25" customHeight="1" x14ac:dyDescent="0.25">
      <c r="B540" s="30"/>
    </row>
    <row r="541" spans="2:2" ht="14.25" customHeight="1" x14ac:dyDescent="0.25">
      <c r="B541" s="30"/>
    </row>
    <row r="542" spans="2:2" ht="14.25" customHeight="1" x14ac:dyDescent="0.25">
      <c r="B542" s="30"/>
    </row>
    <row r="543" spans="2:2" ht="14.25" customHeight="1" x14ac:dyDescent="0.25">
      <c r="B543" s="30"/>
    </row>
    <row r="544" spans="2:2" ht="14.25" customHeight="1" x14ac:dyDescent="0.25">
      <c r="B544" s="30"/>
    </row>
    <row r="545" spans="2:2" ht="14.25" customHeight="1" x14ac:dyDescent="0.25">
      <c r="B545" s="30"/>
    </row>
    <row r="546" spans="2:2" ht="14.25" customHeight="1" x14ac:dyDescent="0.25">
      <c r="B546" s="30"/>
    </row>
    <row r="547" spans="2:2" ht="14.25" customHeight="1" x14ac:dyDescent="0.25">
      <c r="B547" s="30"/>
    </row>
    <row r="548" spans="2:2" ht="14.25" customHeight="1" x14ac:dyDescent="0.25">
      <c r="B548" s="30"/>
    </row>
    <row r="549" spans="2:2" ht="14.25" customHeight="1" x14ac:dyDescent="0.25">
      <c r="B549" s="30"/>
    </row>
    <row r="550" spans="2:2" ht="14.25" customHeight="1" x14ac:dyDescent="0.25">
      <c r="B550" s="30"/>
    </row>
    <row r="551" spans="2:2" ht="14.25" customHeight="1" x14ac:dyDescent="0.25">
      <c r="B551" s="30"/>
    </row>
    <row r="552" spans="2:2" ht="14.25" customHeight="1" x14ac:dyDescent="0.25">
      <c r="B552" s="30"/>
    </row>
    <row r="553" spans="2:2" ht="14.25" customHeight="1" x14ac:dyDescent="0.25">
      <c r="B553" s="30"/>
    </row>
    <row r="554" spans="2:2" ht="14.25" customHeight="1" x14ac:dyDescent="0.25">
      <c r="B554" s="30"/>
    </row>
    <row r="555" spans="2:2" ht="14.25" customHeight="1" x14ac:dyDescent="0.25">
      <c r="B555" s="30"/>
    </row>
    <row r="556" spans="2:2" ht="14.25" customHeight="1" x14ac:dyDescent="0.25">
      <c r="B556" s="30"/>
    </row>
    <row r="557" spans="2:2" ht="14.25" customHeight="1" x14ac:dyDescent="0.25">
      <c r="B557" s="30"/>
    </row>
    <row r="558" spans="2:2" ht="14.25" customHeight="1" x14ac:dyDescent="0.25">
      <c r="B558" s="30"/>
    </row>
    <row r="559" spans="2:2" ht="14.25" customHeight="1" x14ac:dyDescent="0.25">
      <c r="B559" s="30"/>
    </row>
    <row r="560" spans="2:2" ht="14.25" customHeight="1" x14ac:dyDescent="0.25">
      <c r="B560" s="30"/>
    </row>
    <row r="561" spans="2:2" ht="14.25" customHeight="1" x14ac:dyDescent="0.25">
      <c r="B561" s="30"/>
    </row>
    <row r="562" spans="2:2" ht="14.25" customHeight="1" x14ac:dyDescent="0.25">
      <c r="B562" s="30"/>
    </row>
    <row r="563" spans="2:2" ht="14.25" customHeight="1" x14ac:dyDescent="0.25">
      <c r="B563" s="30"/>
    </row>
    <row r="564" spans="2:2" ht="14.25" customHeight="1" x14ac:dyDescent="0.25">
      <c r="B564" s="30"/>
    </row>
    <row r="565" spans="2:2" ht="14.25" customHeight="1" x14ac:dyDescent="0.25">
      <c r="B565" s="30"/>
    </row>
    <row r="566" spans="2:2" ht="14.25" customHeight="1" x14ac:dyDescent="0.25">
      <c r="B566" s="30"/>
    </row>
    <row r="567" spans="2:2" ht="14.25" customHeight="1" x14ac:dyDescent="0.25">
      <c r="B567" s="30"/>
    </row>
    <row r="568" spans="2:2" ht="14.25" customHeight="1" x14ac:dyDescent="0.25">
      <c r="B568" s="30"/>
    </row>
    <row r="569" spans="2:2" ht="14.25" customHeight="1" x14ac:dyDescent="0.25">
      <c r="B569" s="30"/>
    </row>
    <row r="570" spans="2:2" ht="14.25" customHeight="1" x14ac:dyDescent="0.25">
      <c r="B570" s="30"/>
    </row>
    <row r="571" spans="2:2" ht="14.25" customHeight="1" x14ac:dyDescent="0.25">
      <c r="B571" s="30"/>
    </row>
    <row r="572" spans="2:2" ht="14.25" customHeight="1" x14ac:dyDescent="0.25">
      <c r="B572" s="30"/>
    </row>
    <row r="573" spans="2:2" ht="14.25" customHeight="1" x14ac:dyDescent="0.25">
      <c r="B573" s="30"/>
    </row>
    <row r="574" spans="2:2" ht="14.25" customHeight="1" x14ac:dyDescent="0.25">
      <c r="B574" s="30"/>
    </row>
    <row r="575" spans="2:2" ht="14.25" customHeight="1" x14ac:dyDescent="0.25">
      <c r="B575" s="30"/>
    </row>
    <row r="576" spans="2:2" ht="14.25" customHeight="1" x14ac:dyDescent="0.25">
      <c r="B576" s="30"/>
    </row>
    <row r="577" spans="2:2" ht="14.25" customHeight="1" x14ac:dyDescent="0.25">
      <c r="B577" s="30"/>
    </row>
    <row r="578" spans="2:2" ht="14.25" customHeight="1" x14ac:dyDescent="0.25">
      <c r="B578" s="30"/>
    </row>
    <row r="579" spans="2:2" ht="14.25" customHeight="1" x14ac:dyDescent="0.25">
      <c r="B579" s="30"/>
    </row>
    <row r="580" spans="2:2" ht="14.25" customHeight="1" x14ac:dyDescent="0.25">
      <c r="B580" s="30"/>
    </row>
    <row r="581" spans="2:2" ht="14.25" customHeight="1" x14ac:dyDescent="0.25">
      <c r="B581" s="30"/>
    </row>
    <row r="582" spans="2:2" ht="14.25" customHeight="1" x14ac:dyDescent="0.25">
      <c r="B582" s="30"/>
    </row>
    <row r="583" spans="2:2" ht="14.25" customHeight="1" x14ac:dyDescent="0.25">
      <c r="B583" s="30"/>
    </row>
    <row r="584" spans="2:2" ht="14.25" customHeight="1" x14ac:dyDescent="0.25">
      <c r="B584" s="30"/>
    </row>
    <row r="585" spans="2:2" ht="14.25" customHeight="1" x14ac:dyDescent="0.25">
      <c r="B585" s="30"/>
    </row>
    <row r="586" spans="2:2" ht="14.25" customHeight="1" x14ac:dyDescent="0.25">
      <c r="B586" s="30"/>
    </row>
    <row r="587" spans="2:2" ht="14.25" customHeight="1" x14ac:dyDescent="0.25">
      <c r="B587" s="30"/>
    </row>
    <row r="588" spans="2:2" ht="14.25" customHeight="1" x14ac:dyDescent="0.25">
      <c r="B588" s="30"/>
    </row>
    <row r="589" spans="2:2" ht="14.25" customHeight="1" x14ac:dyDescent="0.25">
      <c r="B589" s="30"/>
    </row>
    <row r="590" spans="2:2" ht="14.25" customHeight="1" x14ac:dyDescent="0.25">
      <c r="B590" s="30"/>
    </row>
    <row r="591" spans="2:2" ht="14.25" customHeight="1" x14ac:dyDescent="0.25">
      <c r="B591" s="30"/>
    </row>
    <row r="592" spans="2:2" ht="14.25" customHeight="1" x14ac:dyDescent="0.25">
      <c r="B592" s="30"/>
    </row>
    <row r="593" spans="2:2" ht="14.25" customHeight="1" x14ac:dyDescent="0.25">
      <c r="B593" s="30"/>
    </row>
    <row r="594" spans="2:2" ht="14.25" customHeight="1" x14ac:dyDescent="0.25">
      <c r="B594" s="30"/>
    </row>
    <row r="595" spans="2:2" ht="14.25" customHeight="1" x14ac:dyDescent="0.25">
      <c r="B595" s="30"/>
    </row>
    <row r="596" spans="2:2" ht="14.25" customHeight="1" x14ac:dyDescent="0.25">
      <c r="B596" s="30"/>
    </row>
    <row r="597" spans="2:2" ht="14.25" customHeight="1" x14ac:dyDescent="0.25">
      <c r="B597" s="30"/>
    </row>
    <row r="598" spans="2:2" ht="14.25" customHeight="1" x14ac:dyDescent="0.25">
      <c r="B598" s="30"/>
    </row>
    <row r="599" spans="2:2" ht="14.25" customHeight="1" x14ac:dyDescent="0.25">
      <c r="B599" s="30"/>
    </row>
    <row r="600" spans="2:2" ht="14.25" customHeight="1" x14ac:dyDescent="0.25">
      <c r="B600" s="30"/>
    </row>
    <row r="601" spans="2:2" ht="14.25" customHeight="1" x14ac:dyDescent="0.25">
      <c r="B601" s="30"/>
    </row>
    <row r="602" spans="2:2" ht="14.25" customHeight="1" x14ac:dyDescent="0.25">
      <c r="B602" s="30"/>
    </row>
    <row r="603" spans="2:2" ht="14.25" customHeight="1" x14ac:dyDescent="0.25">
      <c r="B603" s="30"/>
    </row>
    <row r="604" spans="2:2" ht="14.25" customHeight="1" x14ac:dyDescent="0.25">
      <c r="B604" s="30"/>
    </row>
    <row r="605" spans="2:2" ht="14.25" customHeight="1" x14ac:dyDescent="0.25">
      <c r="B605" s="30"/>
    </row>
    <row r="606" spans="2:2" ht="14.25" customHeight="1" x14ac:dyDescent="0.25">
      <c r="B606" s="30"/>
    </row>
    <row r="607" spans="2:2" ht="14.25" customHeight="1" x14ac:dyDescent="0.25">
      <c r="B607" s="30"/>
    </row>
    <row r="608" spans="2:2" ht="14.25" customHeight="1" x14ac:dyDescent="0.25">
      <c r="B608" s="30"/>
    </row>
    <row r="609" spans="2:2" ht="14.25" customHeight="1" x14ac:dyDescent="0.25">
      <c r="B609" s="30"/>
    </row>
    <row r="610" spans="2:2" ht="14.25" customHeight="1" x14ac:dyDescent="0.25">
      <c r="B610" s="30"/>
    </row>
    <row r="611" spans="2:2" ht="14.25" customHeight="1" x14ac:dyDescent="0.25">
      <c r="B611" s="30"/>
    </row>
    <row r="612" spans="2:2" ht="14.25" customHeight="1" x14ac:dyDescent="0.25">
      <c r="B612" s="30"/>
    </row>
    <row r="613" spans="2:2" ht="14.25" customHeight="1" x14ac:dyDescent="0.25">
      <c r="B613" s="30"/>
    </row>
    <row r="614" spans="2:2" ht="14.25" customHeight="1" x14ac:dyDescent="0.25">
      <c r="B614" s="30"/>
    </row>
    <row r="615" spans="2:2" ht="14.25" customHeight="1" x14ac:dyDescent="0.25">
      <c r="B615" s="30"/>
    </row>
    <row r="616" spans="2:2" ht="14.25" customHeight="1" x14ac:dyDescent="0.25">
      <c r="B616" s="30"/>
    </row>
    <row r="617" spans="2:2" ht="14.25" customHeight="1" x14ac:dyDescent="0.25">
      <c r="B617" s="30"/>
    </row>
    <row r="618" spans="2:2" ht="14.25" customHeight="1" x14ac:dyDescent="0.25">
      <c r="B618" s="30"/>
    </row>
    <row r="619" spans="2:2" ht="14.25" customHeight="1" x14ac:dyDescent="0.25">
      <c r="B619" s="30"/>
    </row>
    <row r="620" spans="2:2" ht="14.25" customHeight="1" x14ac:dyDescent="0.25">
      <c r="B620" s="30"/>
    </row>
    <row r="621" spans="2:2" ht="14.25" customHeight="1" x14ac:dyDescent="0.25">
      <c r="B621" s="30"/>
    </row>
    <row r="622" spans="2:2" ht="14.25" customHeight="1" x14ac:dyDescent="0.25">
      <c r="B622" s="30"/>
    </row>
    <row r="623" spans="2:2" ht="14.25" customHeight="1" x14ac:dyDescent="0.25">
      <c r="B623" s="30"/>
    </row>
    <row r="624" spans="2:2" ht="14.25" customHeight="1" x14ac:dyDescent="0.25">
      <c r="B624" s="30"/>
    </row>
    <row r="625" spans="2:2" ht="14.25" customHeight="1" x14ac:dyDescent="0.25">
      <c r="B625" s="30"/>
    </row>
    <row r="626" spans="2:2" ht="14.25" customHeight="1" x14ac:dyDescent="0.25">
      <c r="B626" s="30"/>
    </row>
    <row r="627" spans="2:2" ht="14.25" customHeight="1" x14ac:dyDescent="0.25">
      <c r="B627" s="30"/>
    </row>
    <row r="628" spans="2:2" ht="14.25" customHeight="1" x14ac:dyDescent="0.25">
      <c r="B628" s="30"/>
    </row>
    <row r="629" spans="2:2" ht="14.25" customHeight="1" x14ac:dyDescent="0.25">
      <c r="B629" s="30"/>
    </row>
    <row r="630" spans="2:2" ht="14.25" customHeight="1" x14ac:dyDescent="0.25">
      <c r="B630" s="30"/>
    </row>
    <row r="631" spans="2:2" ht="14.25" customHeight="1" x14ac:dyDescent="0.25">
      <c r="B631" s="30"/>
    </row>
    <row r="632" spans="2:2" ht="14.25" customHeight="1" x14ac:dyDescent="0.25">
      <c r="B632" s="30"/>
    </row>
    <row r="633" spans="2:2" ht="14.25" customHeight="1" x14ac:dyDescent="0.25">
      <c r="B633" s="30"/>
    </row>
    <row r="634" spans="2:2" ht="14.25" customHeight="1" x14ac:dyDescent="0.25">
      <c r="B634" s="30"/>
    </row>
    <row r="635" spans="2:2" ht="14.25" customHeight="1" x14ac:dyDescent="0.25">
      <c r="B635" s="30"/>
    </row>
    <row r="636" spans="2:2" ht="14.25" customHeight="1" x14ac:dyDescent="0.25">
      <c r="B636" s="30"/>
    </row>
    <row r="637" spans="2:2" ht="14.25" customHeight="1" x14ac:dyDescent="0.25">
      <c r="B637" s="30"/>
    </row>
    <row r="638" spans="2:2" ht="14.25" customHeight="1" x14ac:dyDescent="0.25">
      <c r="B638" s="30"/>
    </row>
    <row r="639" spans="2:2" ht="14.25" customHeight="1" x14ac:dyDescent="0.25">
      <c r="B639" s="30"/>
    </row>
    <row r="640" spans="2:2" ht="14.25" customHeight="1" x14ac:dyDescent="0.25">
      <c r="B640" s="30"/>
    </row>
    <row r="641" spans="2:2" ht="14.25" customHeight="1" x14ac:dyDescent="0.25">
      <c r="B641" s="30"/>
    </row>
    <row r="642" spans="2:2" ht="14.25" customHeight="1" x14ac:dyDescent="0.25">
      <c r="B642" s="30"/>
    </row>
    <row r="643" spans="2:2" ht="14.25" customHeight="1" x14ac:dyDescent="0.25">
      <c r="B643" s="30"/>
    </row>
    <row r="644" spans="2:2" ht="14.25" customHeight="1" x14ac:dyDescent="0.25">
      <c r="B644" s="30"/>
    </row>
    <row r="645" spans="2:2" ht="14.25" customHeight="1" x14ac:dyDescent="0.25">
      <c r="B645" s="30"/>
    </row>
    <row r="646" spans="2:2" ht="14.25" customHeight="1" x14ac:dyDescent="0.25">
      <c r="B646" s="30"/>
    </row>
    <row r="647" spans="2:2" ht="14.25" customHeight="1" x14ac:dyDescent="0.25">
      <c r="B647" s="30"/>
    </row>
    <row r="648" spans="2:2" ht="14.25" customHeight="1" x14ac:dyDescent="0.25">
      <c r="B648" s="30"/>
    </row>
    <row r="649" spans="2:2" ht="14.25" customHeight="1" x14ac:dyDescent="0.25">
      <c r="B649" s="30"/>
    </row>
    <row r="650" spans="2:2" ht="14.25" customHeight="1" x14ac:dyDescent="0.25">
      <c r="B650" s="30"/>
    </row>
    <row r="651" spans="2:2" ht="14.25" customHeight="1" x14ac:dyDescent="0.25">
      <c r="B651" s="30"/>
    </row>
    <row r="652" spans="2:2" ht="14.25" customHeight="1" x14ac:dyDescent="0.25">
      <c r="B652" s="30"/>
    </row>
    <row r="653" spans="2:2" ht="14.25" customHeight="1" x14ac:dyDescent="0.25">
      <c r="B653" s="30"/>
    </row>
    <row r="654" spans="2:2" ht="14.25" customHeight="1" x14ac:dyDescent="0.25">
      <c r="B654" s="30"/>
    </row>
    <row r="655" spans="2:2" ht="14.25" customHeight="1" x14ac:dyDescent="0.25">
      <c r="B655" s="30"/>
    </row>
    <row r="656" spans="2:2" ht="14.25" customHeight="1" x14ac:dyDescent="0.25">
      <c r="B656" s="30"/>
    </row>
    <row r="657" spans="2:2" ht="14.25" customHeight="1" x14ac:dyDescent="0.25">
      <c r="B657" s="30"/>
    </row>
    <row r="658" spans="2:2" ht="14.25" customHeight="1" x14ac:dyDescent="0.25">
      <c r="B658" s="30"/>
    </row>
    <row r="659" spans="2:2" ht="14.25" customHeight="1" x14ac:dyDescent="0.25">
      <c r="B659" s="30"/>
    </row>
    <row r="660" spans="2:2" ht="14.25" customHeight="1" x14ac:dyDescent="0.25">
      <c r="B660" s="30"/>
    </row>
    <row r="661" spans="2:2" ht="14.25" customHeight="1" x14ac:dyDescent="0.25">
      <c r="B661" s="30"/>
    </row>
    <row r="662" spans="2:2" ht="14.25" customHeight="1" x14ac:dyDescent="0.25">
      <c r="B662" s="30"/>
    </row>
    <row r="663" spans="2:2" ht="14.25" customHeight="1" x14ac:dyDescent="0.25">
      <c r="B663" s="30"/>
    </row>
    <row r="664" spans="2:2" ht="14.25" customHeight="1" x14ac:dyDescent="0.25">
      <c r="B664" s="30"/>
    </row>
    <row r="665" spans="2:2" ht="14.25" customHeight="1" x14ac:dyDescent="0.25">
      <c r="B665" s="30"/>
    </row>
    <row r="666" spans="2:2" ht="14.25" customHeight="1" x14ac:dyDescent="0.25">
      <c r="B666" s="30"/>
    </row>
    <row r="667" spans="2:2" ht="14.25" customHeight="1" x14ac:dyDescent="0.25">
      <c r="B667" s="30"/>
    </row>
    <row r="668" spans="2:2" ht="14.25" customHeight="1" x14ac:dyDescent="0.25">
      <c r="B668" s="30"/>
    </row>
    <row r="669" spans="2:2" ht="14.25" customHeight="1" x14ac:dyDescent="0.25">
      <c r="B669" s="30"/>
    </row>
    <row r="670" spans="2:2" ht="14.25" customHeight="1" x14ac:dyDescent="0.25">
      <c r="B670" s="30"/>
    </row>
    <row r="671" spans="2:2" ht="14.25" customHeight="1" x14ac:dyDescent="0.25">
      <c r="B671" s="30"/>
    </row>
    <row r="672" spans="2:2" ht="14.25" customHeight="1" x14ac:dyDescent="0.25">
      <c r="B672" s="30"/>
    </row>
    <row r="673" spans="2:2" ht="14.25" customHeight="1" x14ac:dyDescent="0.25">
      <c r="B673" s="30"/>
    </row>
    <row r="674" spans="2:2" ht="14.25" customHeight="1" x14ac:dyDescent="0.25">
      <c r="B674" s="30"/>
    </row>
    <row r="675" spans="2:2" ht="14.25" customHeight="1" x14ac:dyDescent="0.25">
      <c r="B675" s="30"/>
    </row>
    <row r="676" spans="2:2" ht="14.25" customHeight="1" x14ac:dyDescent="0.25">
      <c r="B676" s="30"/>
    </row>
    <row r="677" spans="2:2" ht="14.25" customHeight="1" x14ac:dyDescent="0.25">
      <c r="B677" s="30"/>
    </row>
    <row r="678" spans="2:2" ht="14.25" customHeight="1" x14ac:dyDescent="0.25">
      <c r="B678" s="30"/>
    </row>
    <row r="679" spans="2:2" ht="14.25" customHeight="1" x14ac:dyDescent="0.25">
      <c r="B679" s="30"/>
    </row>
    <row r="680" spans="2:2" ht="14.25" customHeight="1" x14ac:dyDescent="0.25">
      <c r="B680" s="30"/>
    </row>
    <row r="681" spans="2:2" ht="14.25" customHeight="1" x14ac:dyDescent="0.25">
      <c r="B681" s="30"/>
    </row>
    <row r="682" spans="2:2" ht="14.25" customHeight="1" x14ac:dyDescent="0.25">
      <c r="B682" s="30"/>
    </row>
    <row r="683" spans="2:2" ht="14.25" customHeight="1" x14ac:dyDescent="0.25">
      <c r="B683" s="30"/>
    </row>
    <row r="684" spans="2:2" ht="14.25" customHeight="1" x14ac:dyDescent="0.25">
      <c r="B684" s="30"/>
    </row>
    <row r="685" spans="2:2" ht="14.25" customHeight="1" x14ac:dyDescent="0.25">
      <c r="B685" s="30"/>
    </row>
    <row r="686" spans="2:2" ht="14.25" customHeight="1" x14ac:dyDescent="0.25">
      <c r="B686" s="30"/>
    </row>
    <row r="687" spans="2:2" ht="14.25" customHeight="1" x14ac:dyDescent="0.25">
      <c r="B687" s="30"/>
    </row>
    <row r="688" spans="2:2" ht="14.25" customHeight="1" x14ac:dyDescent="0.25">
      <c r="B688" s="30"/>
    </row>
    <row r="689" spans="2:2" ht="14.25" customHeight="1" x14ac:dyDescent="0.25">
      <c r="B689" s="30"/>
    </row>
    <row r="690" spans="2:2" ht="14.25" customHeight="1" x14ac:dyDescent="0.25">
      <c r="B690" s="30"/>
    </row>
    <row r="691" spans="2:2" ht="14.25" customHeight="1" x14ac:dyDescent="0.25">
      <c r="B691" s="30"/>
    </row>
    <row r="692" spans="2:2" ht="14.25" customHeight="1" x14ac:dyDescent="0.25">
      <c r="B692" s="30"/>
    </row>
    <row r="693" spans="2:2" ht="14.25" customHeight="1" x14ac:dyDescent="0.25">
      <c r="B693" s="30"/>
    </row>
    <row r="694" spans="2:2" ht="14.25" customHeight="1" x14ac:dyDescent="0.25">
      <c r="B694" s="30"/>
    </row>
    <row r="695" spans="2:2" ht="14.25" customHeight="1" x14ac:dyDescent="0.25">
      <c r="B695" s="30"/>
    </row>
    <row r="696" spans="2:2" ht="14.25" customHeight="1" x14ac:dyDescent="0.25">
      <c r="B696" s="30"/>
    </row>
    <row r="697" spans="2:2" ht="14.25" customHeight="1" x14ac:dyDescent="0.25">
      <c r="B697" s="30"/>
    </row>
    <row r="698" spans="2:2" ht="14.25" customHeight="1" x14ac:dyDescent="0.25">
      <c r="B698" s="30"/>
    </row>
    <row r="699" spans="2:2" ht="14.25" customHeight="1" x14ac:dyDescent="0.25">
      <c r="B699" s="30"/>
    </row>
    <row r="700" spans="2:2" ht="14.25" customHeight="1" x14ac:dyDescent="0.25">
      <c r="B700" s="30"/>
    </row>
    <row r="701" spans="2:2" ht="14.25" customHeight="1" x14ac:dyDescent="0.25">
      <c r="B701" s="30"/>
    </row>
    <row r="702" spans="2:2" ht="14.25" customHeight="1" x14ac:dyDescent="0.25">
      <c r="B702" s="30"/>
    </row>
    <row r="703" spans="2:2" ht="14.25" customHeight="1" x14ac:dyDescent="0.25">
      <c r="B703" s="30"/>
    </row>
    <row r="704" spans="2:2" ht="14.25" customHeight="1" x14ac:dyDescent="0.25">
      <c r="B704" s="30"/>
    </row>
    <row r="705" spans="2:2" ht="14.25" customHeight="1" x14ac:dyDescent="0.25">
      <c r="B705" s="30"/>
    </row>
    <row r="706" spans="2:2" ht="14.25" customHeight="1" x14ac:dyDescent="0.25">
      <c r="B706" s="30"/>
    </row>
    <row r="707" spans="2:2" ht="14.25" customHeight="1" x14ac:dyDescent="0.25">
      <c r="B707" s="30"/>
    </row>
    <row r="708" spans="2:2" ht="14.25" customHeight="1" x14ac:dyDescent="0.25">
      <c r="B708" s="30"/>
    </row>
    <row r="709" spans="2:2" ht="14.25" customHeight="1" x14ac:dyDescent="0.25">
      <c r="B709" s="30"/>
    </row>
    <row r="710" spans="2:2" ht="14.25" customHeight="1" x14ac:dyDescent="0.25">
      <c r="B710" s="30"/>
    </row>
    <row r="711" spans="2:2" ht="14.25" customHeight="1" x14ac:dyDescent="0.25">
      <c r="B711" s="30"/>
    </row>
    <row r="712" spans="2:2" ht="14.25" customHeight="1" x14ac:dyDescent="0.25">
      <c r="B712" s="30"/>
    </row>
    <row r="713" spans="2:2" ht="14.25" customHeight="1" x14ac:dyDescent="0.25">
      <c r="B713" s="30"/>
    </row>
    <row r="714" spans="2:2" ht="14.25" customHeight="1" x14ac:dyDescent="0.25">
      <c r="B714" s="30"/>
    </row>
    <row r="715" spans="2:2" ht="14.25" customHeight="1" x14ac:dyDescent="0.25">
      <c r="B715" s="30"/>
    </row>
    <row r="716" spans="2:2" ht="14.25" customHeight="1" x14ac:dyDescent="0.25">
      <c r="B716" s="30"/>
    </row>
    <row r="717" spans="2:2" ht="14.25" customHeight="1" x14ac:dyDescent="0.25">
      <c r="B717" s="30"/>
    </row>
    <row r="718" spans="2:2" ht="14.25" customHeight="1" x14ac:dyDescent="0.25">
      <c r="B718" s="30"/>
    </row>
    <row r="719" spans="2:2" ht="14.25" customHeight="1" x14ac:dyDescent="0.25">
      <c r="B719" s="30"/>
    </row>
    <row r="720" spans="2:2" ht="14.25" customHeight="1" x14ac:dyDescent="0.25">
      <c r="B720" s="30"/>
    </row>
    <row r="721" spans="2:2" ht="14.25" customHeight="1" x14ac:dyDescent="0.25">
      <c r="B721" s="30"/>
    </row>
    <row r="722" spans="2:2" ht="14.25" customHeight="1" x14ac:dyDescent="0.25">
      <c r="B722" s="30"/>
    </row>
    <row r="723" spans="2:2" ht="14.25" customHeight="1" x14ac:dyDescent="0.25">
      <c r="B723" s="30"/>
    </row>
    <row r="724" spans="2:2" ht="14.25" customHeight="1" x14ac:dyDescent="0.25">
      <c r="B724" s="30"/>
    </row>
    <row r="725" spans="2:2" ht="14.25" customHeight="1" x14ac:dyDescent="0.25">
      <c r="B725" s="30"/>
    </row>
    <row r="726" spans="2:2" ht="14.25" customHeight="1" x14ac:dyDescent="0.25">
      <c r="B726" s="30"/>
    </row>
    <row r="727" spans="2:2" ht="14.25" customHeight="1" x14ac:dyDescent="0.25">
      <c r="B727" s="30"/>
    </row>
    <row r="728" spans="2:2" ht="14.25" customHeight="1" x14ac:dyDescent="0.25">
      <c r="B728" s="30"/>
    </row>
    <row r="729" spans="2:2" ht="14.25" customHeight="1" x14ac:dyDescent="0.25">
      <c r="B729" s="30"/>
    </row>
    <row r="730" spans="2:2" ht="14.25" customHeight="1" x14ac:dyDescent="0.25">
      <c r="B730" s="30"/>
    </row>
    <row r="731" spans="2:2" ht="14.25" customHeight="1" x14ac:dyDescent="0.25">
      <c r="B731" s="30"/>
    </row>
    <row r="732" spans="2:2" ht="14.25" customHeight="1" x14ac:dyDescent="0.25">
      <c r="B732" s="30"/>
    </row>
    <row r="733" spans="2:2" ht="14.25" customHeight="1" x14ac:dyDescent="0.25">
      <c r="B733" s="30"/>
    </row>
    <row r="734" spans="2:2" ht="14.25" customHeight="1" x14ac:dyDescent="0.25">
      <c r="B734" s="30"/>
    </row>
    <row r="735" spans="2:2" ht="14.25" customHeight="1" x14ac:dyDescent="0.25">
      <c r="B735" s="30"/>
    </row>
    <row r="736" spans="2:2" ht="14.25" customHeight="1" x14ac:dyDescent="0.25">
      <c r="B736" s="30"/>
    </row>
    <row r="737" spans="2:2" ht="14.25" customHeight="1" x14ac:dyDescent="0.25">
      <c r="B737" s="30"/>
    </row>
    <row r="738" spans="2:2" ht="14.25" customHeight="1" x14ac:dyDescent="0.25">
      <c r="B738" s="30"/>
    </row>
    <row r="739" spans="2:2" ht="14.25" customHeight="1" x14ac:dyDescent="0.25">
      <c r="B739" s="30"/>
    </row>
    <row r="740" spans="2:2" ht="14.25" customHeight="1" x14ac:dyDescent="0.25">
      <c r="B740" s="30"/>
    </row>
    <row r="741" spans="2:2" ht="14.25" customHeight="1" x14ac:dyDescent="0.25">
      <c r="B741" s="30"/>
    </row>
    <row r="742" spans="2:2" ht="14.25" customHeight="1" x14ac:dyDescent="0.25">
      <c r="B742" s="30"/>
    </row>
    <row r="743" spans="2:2" ht="14.25" customHeight="1" x14ac:dyDescent="0.25">
      <c r="B743" s="30"/>
    </row>
    <row r="744" spans="2:2" ht="14.25" customHeight="1" x14ac:dyDescent="0.25">
      <c r="B744" s="30"/>
    </row>
    <row r="745" spans="2:2" ht="14.25" customHeight="1" x14ac:dyDescent="0.25">
      <c r="B745" s="30"/>
    </row>
    <row r="746" spans="2:2" ht="14.25" customHeight="1" x14ac:dyDescent="0.25">
      <c r="B746" s="30"/>
    </row>
    <row r="747" spans="2:2" ht="14.25" customHeight="1" x14ac:dyDescent="0.25">
      <c r="B747" s="30"/>
    </row>
    <row r="748" spans="2:2" ht="14.25" customHeight="1" x14ac:dyDescent="0.25">
      <c r="B748" s="30"/>
    </row>
    <row r="749" spans="2:2" ht="14.25" customHeight="1" x14ac:dyDescent="0.25">
      <c r="B749" s="30"/>
    </row>
    <row r="750" spans="2:2" ht="14.25" customHeight="1" x14ac:dyDescent="0.25">
      <c r="B750" s="30"/>
    </row>
    <row r="751" spans="2:2" ht="14.25" customHeight="1" x14ac:dyDescent="0.25">
      <c r="B751" s="30"/>
    </row>
    <row r="752" spans="2:2" ht="14.25" customHeight="1" x14ac:dyDescent="0.25">
      <c r="B752" s="30"/>
    </row>
    <row r="753" spans="2:2" ht="14.25" customHeight="1" x14ac:dyDescent="0.25">
      <c r="B753" s="30"/>
    </row>
    <row r="754" spans="2:2" ht="14.25" customHeight="1" x14ac:dyDescent="0.25">
      <c r="B754" s="30"/>
    </row>
    <row r="755" spans="2:2" ht="14.25" customHeight="1" x14ac:dyDescent="0.25">
      <c r="B755" s="30"/>
    </row>
    <row r="756" spans="2:2" ht="14.25" customHeight="1" x14ac:dyDescent="0.25">
      <c r="B756" s="30"/>
    </row>
    <row r="757" spans="2:2" ht="14.25" customHeight="1" x14ac:dyDescent="0.25">
      <c r="B757" s="30"/>
    </row>
    <row r="758" spans="2:2" ht="14.25" customHeight="1" x14ac:dyDescent="0.25">
      <c r="B758" s="30"/>
    </row>
    <row r="759" spans="2:2" ht="14.25" customHeight="1" x14ac:dyDescent="0.25">
      <c r="B759" s="30"/>
    </row>
    <row r="760" spans="2:2" ht="14.25" customHeight="1" x14ac:dyDescent="0.25">
      <c r="B760" s="30"/>
    </row>
    <row r="761" spans="2:2" ht="14.25" customHeight="1" x14ac:dyDescent="0.25">
      <c r="B761" s="30"/>
    </row>
    <row r="762" spans="2:2" ht="14.25" customHeight="1" x14ac:dyDescent="0.25">
      <c r="B762" s="30"/>
    </row>
    <row r="763" spans="2:2" ht="14.25" customHeight="1" x14ac:dyDescent="0.25">
      <c r="B763" s="30"/>
    </row>
    <row r="764" spans="2:2" ht="14.25" customHeight="1" x14ac:dyDescent="0.25">
      <c r="B764" s="30"/>
    </row>
    <row r="765" spans="2:2" ht="14.25" customHeight="1" x14ac:dyDescent="0.25">
      <c r="B765" s="30"/>
    </row>
    <row r="766" spans="2:2" ht="14.25" customHeight="1" x14ac:dyDescent="0.25">
      <c r="B766" s="30"/>
    </row>
    <row r="767" spans="2:2" ht="14.25" customHeight="1" x14ac:dyDescent="0.25">
      <c r="B767" s="30"/>
    </row>
    <row r="768" spans="2:2" ht="14.25" customHeight="1" x14ac:dyDescent="0.25">
      <c r="B768" s="30"/>
    </row>
    <row r="769" spans="2:2" ht="14.25" customHeight="1" x14ac:dyDescent="0.25">
      <c r="B769" s="30"/>
    </row>
    <row r="770" spans="2:2" ht="14.25" customHeight="1" x14ac:dyDescent="0.25">
      <c r="B770" s="30"/>
    </row>
    <row r="771" spans="2:2" ht="14.25" customHeight="1" x14ac:dyDescent="0.25">
      <c r="B771" s="30"/>
    </row>
    <row r="772" spans="2:2" ht="14.25" customHeight="1" x14ac:dyDescent="0.25">
      <c r="B772" s="30"/>
    </row>
    <row r="773" spans="2:2" ht="14.25" customHeight="1" x14ac:dyDescent="0.25">
      <c r="B773" s="30"/>
    </row>
    <row r="774" spans="2:2" ht="14.25" customHeight="1" x14ac:dyDescent="0.25">
      <c r="B774" s="30"/>
    </row>
    <row r="775" spans="2:2" ht="14.25" customHeight="1" x14ac:dyDescent="0.25">
      <c r="B775" s="30"/>
    </row>
    <row r="776" spans="2:2" ht="14.25" customHeight="1" x14ac:dyDescent="0.25">
      <c r="B776" s="30"/>
    </row>
    <row r="777" spans="2:2" ht="14.25" customHeight="1" x14ac:dyDescent="0.25">
      <c r="B777" s="30"/>
    </row>
    <row r="778" spans="2:2" ht="14.25" customHeight="1" x14ac:dyDescent="0.25">
      <c r="B778" s="30"/>
    </row>
    <row r="779" spans="2:2" ht="14.25" customHeight="1" x14ac:dyDescent="0.25">
      <c r="B779" s="30"/>
    </row>
    <row r="780" spans="2:2" ht="14.25" customHeight="1" x14ac:dyDescent="0.25">
      <c r="B780" s="30"/>
    </row>
    <row r="781" spans="2:2" ht="14.25" customHeight="1" x14ac:dyDescent="0.25">
      <c r="B781" s="30"/>
    </row>
    <row r="782" spans="2:2" ht="14.25" customHeight="1" x14ac:dyDescent="0.25">
      <c r="B782" s="30"/>
    </row>
    <row r="783" spans="2:2" ht="14.25" customHeight="1" x14ac:dyDescent="0.25">
      <c r="B783" s="30"/>
    </row>
    <row r="784" spans="2:2" ht="14.25" customHeight="1" x14ac:dyDescent="0.25">
      <c r="B784" s="30"/>
    </row>
    <row r="785" spans="2:2" ht="14.25" customHeight="1" x14ac:dyDescent="0.25">
      <c r="B785" s="30"/>
    </row>
    <row r="786" spans="2:2" ht="14.25" customHeight="1" x14ac:dyDescent="0.25">
      <c r="B786" s="30"/>
    </row>
    <row r="787" spans="2:2" ht="14.25" customHeight="1" x14ac:dyDescent="0.25">
      <c r="B787" s="30"/>
    </row>
    <row r="788" spans="2:2" ht="14.25" customHeight="1" x14ac:dyDescent="0.25">
      <c r="B788" s="30"/>
    </row>
    <row r="789" spans="2:2" ht="14.25" customHeight="1" x14ac:dyDescent="0.25">
      <c r="B789" s="30"/>
    </row>
    <row r="790" spans="2:2" ht="14.25" customHeight="1" x14ac:dyDescent="0.25">
      <c r="B790" s="30"/>
    </row>
    <row r="791" spans="2:2" ht="14.25" customHeight="1" x14ac:dyDescent="0.25">
      <c r="B791" s="30"/>
    </row>
    <row r="792" spans="2:2" ht="14.25" customHeight="1" x14ac:dyDescent="0.25">
      <c r="B792" s="30"/>
    </row>
    <row r="793" spans="2:2" ht="14.25" customHeight="1" x14ac:dyDescent="0.25">
      <c r="B793" s="30"/>
    </row>
    <row r="794" spans="2:2" ht="14.25" customHeight="1" x14ac:dyDescent="0.25">
      <c r="B794" s="30"/>
    </row>
    <row r="795" spans="2:2" ht="14.25" customHeight="1" x14ac:dyDescent="0.25">
      <c r="B795" s="30"/>
    </row>
    <row r="796" spans="2:2" ht="14.25" customHeight="1" x14ac:dyDescent="0.25">
      <c r="B796" s="30"/>
    </row>
    <row r="797" spans="2:2" ht="14.25" customHeight="1" x14ac:dyDescent="0.25">
      <c r="B797" s="30"/>
    </row>
    <row r="798" spans="2:2" ht="14.25" customHeight="1" x14ac:dyDescent="0.25">
      <c r="B798" s="30"/>
    </row>
    <row r="799" spans="2:2" ht="14.25" customHeight="1" x14ac:dyDescent="0.25">
      <c r="B799" s="30"/>
    </row>
    <row r="800" spans="2:2" ht="14.25" customHeight="1" x14ac:dyDescent="0.25">
      <c r="B800" s="30"/>
    </row>
    <row r="801" spans="2:2" ht="14.25" customHeight="1" x14ac:dyDescent="0.25">
      <c r="B801" s="30"/>
    </row>
    <row r="802" spans="2:2" ht="14.25" customHeight="1" x14ac:dyDescent="0.25">
      <c r="B802" s="30"/>
    </row>
    <row r="803" spans="2:2" ht="14.25" customHeight="1" x14ac:dyDescent="0.25">
      <c r="B803" s="30"/>
    </row>
    <row r="804" spans="2:2" ht="14.25" customHeight="1" x14ac:dyDescent="0.25">
      <c r="B804" s="30"/>
    </row>
    <row r="805" spans="2:2" ht="14.25" customHeight="1" x14ac:dyDescent="0.25">
      <c r="B805" s="30"/>
    </row>
    <row r="806" spans="2:2" ht="14.25" customHeight="1" x14ac:dyDescent="0.25">
      <c r="B806" s="30"/>
    </row>
    <row r="807" spans="2:2" ht="14.25" customHeight="1" x14ac:dyDescent="0.25">
      <c r="B807" s="30"/>
    </row>
    <row r="808" spans="2:2" ht="14.25" customHeight="1" x14ac:dyDescent="0.25">
      <c r="B808" s="30"/>
    </row>
    <row r="809" spans="2:2" ht="14.25" customHeight="1" x14ac:dyDescent="0.25">
      <c r="B809" s="30"/>
    </row>
    <row r="810" spans="2:2" ht="14.25" customHeight="1" x14ac:dyDescent="0.25">
      <c r="B810" s="30"/>
    </row>
    <row r="811" spans="2:2" ht="14.25" customHeight="1" x14ac:dyDescent="0.25">
      <c r="B811" s="30"/>
    </row>
    <row r="812" spans="2:2" ht="14.25" customHeight="1" x14ac:dyDescent="0.25">
      <c r="B812" s="30"/>
    </row>
    <row r="813" spans="2:2" ht="14.25" customHeight="1" x14ac:dyDescent="0.25">
      <c r="B813" s="30"/>
    </row>
    <row r="814" spans="2:2" ht="14.25" customHeight="1" x14ac:dyDescent="0.25">
      <c r="B814" s="30"/>
    </row>
    <row r="815" spans="2:2" ht="14.25" customHeight="1" x14ac:dyDescent="0.25">
      <c r="B815" s="30"/>
    </row>
    <row r="816" spans="2:2" ht="14.25" customHeight="1" x14ac:dyDescent="0.25">
      <c r="B816" s="30"/>
    </row>
    <row r="817" spans="2:2" ht="14.25" customHeight="1" x14ac:dyDescent="0.25">
      <c r="B817" s="30"/>
    </row>
    <row r="818" spans="2:2" ht="14.25" customHeight="1" x14ac:dyDescent="0.25">
      <c r="B818" s="30"/>
    </row>
    <row r="819" spans="2:2" ht="14.25" customHeight="1" x14ac:dyDescent="0.25">
      <c r="B819" s="30"/>
    </row>
    <row r="820" spans="2:2" ht="14.25" customHeight="1" x14ac:dyDescent="0.25">
      <c r="B820" s="30"/>
    </row>
    <row r="821" spans="2:2" ht="14.25" customHeight="1" x14ac:dyDescent="0.25">
      <c r="B821" s="30"/>
    </row>
    <row r="822" spans="2:2" ht="14.25" customHeight="1" x14ac:dyDescent="0.25">
      <c r="B822" s="30"/>
    </row>
    <row r="823" spans="2:2" ht="14.25" customHeight="1" x14ac:dyDescent="0.25">
      <c r="B823" s="30"/>
    </row>
    <row r="824" spans="2:2" ht="14.25" customHeight="1" x14ac:dyDescent="0.25">
      <c r="B824" s="30"/>
    </row>
    <row r="825" spans="2:2" ht="14.25" customHeight="1" x14ac:dyDescent="0.25">
      <c r="B825" s="30"/>
    </row>
    <row r="826" spans="2:2" ht="14.25" customHeight="1" x14ac:dyDescent="0.25">
      <c r="B826" s="30"/>
    </row>
    <row r="827" spans="2:2" ht="14.25" customHeight="1" x14ac:dyDescent="0.25">
      <c r="B827" s="30"/>
    </row>
    <row r="828" spans="2:2" ht="14.25" customHeight="1" x14ac:dyDescent="0.25">
      <c r="B828" s="30"/>
    </row>
    <row r="829" spans="2:2" ht="14.25" customHeight="1" x14ac:dyDescent="0.25">
      <c r="B829" s="30"/>
    </row>
    <row r="830" spans="2:2" ht="14.25" customHeight="1" x14ac:dyDescent="0.25">
      <c r="B830" s="30"/>
    </row>
    <row r="831" spans="2:2" ht="14.25" customHeight="1" x14ac:dyDescent="0.25">
      <c r="B831" s="30"/>
    </row>
    <row r="832" spans="2:2" ht="14.25" customHeight="1" x14ac:dyDescent="0.25">
      <c r="B832" s="30"/>
    </row>
    <row r="833" spans="2:2" ht="14.25" customHeight="1" x14ac:dyDescent="0.25">
      <c r="B833" s="30"/>
    </row>
    <row r="834" spans="2:2" ht="14.25" customHeight="1" x14ac:dyDescent="0.25">
      <c r="B834" s="30"/>
    </row>
    <row r="835" spans="2:2" ht="14.25" customHeight="1" x14ac:dyDescent="0.25">
      <c r="B835" s="30"/>
    </row>
    <row r="836" spans="2:2" ht="14.25" customHeight="1" x14ac:dyDescent="0.25">
      <c r="B836" s="30"/>
    </row>
    <row r="837" spans="2:2" ht="14.25" customHeight="1" x14ac:dyDescent="0.25">
      <c r="B837" s="30"/>
    </row>
    <row r="838" spans="2:2" ht="14.25" customHeight="1" x14ac:dyDescent="0.25">
      <c r="B838" s="30"/>
    </row>
    <row r="839" spans="2:2" ht="14.25" customHeight="1" x14ac:dyDescent="0.25">
      <c r="B839" s="30"/>
    </row>
    <row r="840" spans="2:2" ht="14.25" customHeight="1" x14ac:dyDescent="0.25">
      <c r="B840" s="30"/>
    </row>
    <row r="841" spans="2:2" ht="14.25" customHeight="1" x14ac:dyDescent="0.25">
      <c r="B841" s="30"/>
    </row>
    <row r="842" spans="2:2" ht="14.25" customHeight="1" x14ac:dyDescent="0.25">
      <c r="B842" s="30"/>
    </row>
    <row r="843" spans="2:2" ht="14.25" customHeight="1" x14ac:dyDescent="0.25">
      <c r="B843" s="30"/>
    </row>
    <row r="844" spans="2:2" ht="14.25" customHeight="1" x14ac:dyDescent="0.25">
      <c r="B844" s="30"/>
    </row>
    <row r="845" spans="2:2" ht="14.25" customHeight="1" x14ac:dyDescent="0.25">
      <c r="B845" s="30"/>
    </row>
    <row r="846" spans="2:2" ht="14.25" customHeight="1" x14ac:dyDescent="0.25">
      <c r="B846" s="30"/>
    </row>
    <row r="847" spans="2:2" ht="14.25" customHeight="1" x14ac:dyDescent="0.25">
      <c r="B847" s="30"/>
    </row>
    <row r="848" spans="2:2" ht="14.25" customHeight="1" x14ac:dyDescent="0.25">
      <c r="B848" s="30"/>
    </row>
    <row r="849" spans="2:2" ht="14.25" customHeight="1" x14ac:dyDescent="0.25">
      <c r="B849" s="30"/>
    </row>
    <row r="850" spans="2:2" ht="14.25" customHeight="1" x14ac:dyDescent="0.25">
      <c r="B850" s="30"/>
    </row>
    <row r="851" spans="2:2" ht="14.25" customHeight="1" x14ac:dyDescent="0.25">
      <c r="B851" s="30"/>
    </row>
    <row r="852" spans="2:2" ht="14.25" customHeight="1" x14ac:dyDescent="0.25">
      <c r="B852" s="30"/>
    </row>
    <row r="853" spans="2:2" ht="14.25" customHeight="1" x14ac:dyDescent="0.25">
      <c r="B853" s="30"/>
    </row>
    <row r="854" spans="2:2" ht="14.25" customHeight="1" x14ac:dyDescent="0.25">
      <c r="B854" s="30"/>
    </row>
    <row r="855" spans="2:2" ht="14.25" customHeight="1" x14ac:dyDescent="0.25">
      <c r="B855" s="30"/>
    </row>
    <row r="856" spans="2:2" ht="14.25" customHeight="1" x14ac:dyDescent="0.25">
      <c r="B856" s="30"/>
    </row>
    <row r="857" spans="2:2" ht="14.25" customHeight="1" x14ac:dyDescent="0.25">
      <c r="B857" s="30"/>
    </row>
    <row r="858" spans="2:2" ht="14.25" customHeight="1" x14ac:dyDescent="0.25">
      <c r="B858" s="30"/>
    </row>
    <row r="859" spans="2:2" ht="14.25" customHeight="1" x14ac:dyDescent="0.25">
      <c r="B859" s="30"/>
    </row>
    <row r="860" spans="2:2" ht="14.25" customHeight="1" x14ac:dyDescent="0.25">
      <c r="B860" s="30"/>
    </row>
    <row r="861" spans="2:2" ht="14.25" customHeight="1" x14ac:dyDescent="0.25">
      <c r="B861" s="30"/>
    </row>
    <row r="862" spans="2:2" ht="14.25" customHeight="1" x14ac:dyDescent="0.25">
      <c r="B862" s="30"/>
    </row>
    <row r="863" spans="2:2" ht="14.25" customHeight="1" x14ac:dyDescent="0.25">
      <c r="B863" s="30"/>
    </row>
    <row r="864" spans="2:2" ht="14.25" customHeight="1" x14ac:dyDescent="0.25">
      <c r="B864" s="30"/>
    </row>
    <row r="865" spans="2:2" ht="14.25" customHeight="1" x14ac:dyDescent="0.25">
      <c r="B865" s="30"/>
    </row>
    <row r="866" spans="2:2" ht="14.25" customHeight="1" x14ac:dyDescent="0.25">
      <c r="B866" s="30"/>
    </row>
    <row r="867" spans="2:2" ht="14.25" customHeight="1" x14ac:dyDescent="0.25">
      <c r="B867" s="30"/>
    </row>
    <row r="868" spans="2:2" ht="14.25" customHeight="1" x14ac:dyDescent="0.25">
      <c r="B868" s="30"/>
    </row>
    <row r="869" spans="2:2" ht="14.25" customHeight="1" x14ac:dyDescent="0.25">
      <c r="B869" s="30"/>
    </row>
    <row r="870" spans="2:2" ht="14.25" customHeight="1" x14ac:dyDescent="0.25">
      <c r="B870" s="30"/>
    </row>
    <row r="871" spans="2:2" ht="14.25" customHeight="1" x14ac:dyDescent="0.25">
      <c r="B871" s="30"/>
    </row>
    <row r="872" spans="2:2" ht="14.25" customHeight="1" x14ac:dyDescent="0.25">
      <c r="B872" s="30"/>
    </row>
    <row r="873" spans="2:2" ht="14.25" customHeight="1" x14ac:dyDescent="0.25">
      <c r="B873" s="30"/>
    </row>
    <row r="874" spans="2:2" ht="14.25" customHeight="1" x14ac:dyDescent="0.25">
      <c r="B874" s="30"/>
    </row>
    <row r="875" spans="2:2" ht="14.25" customHeight="1" x14ac:dyDescent="0.25">
      <c r="B875" s="30"/>
    </row>
    <row r="876" spans="2:2" ht="14.25" customHeight="1" x14ac:dyDescent="0.25">
      <c r="B876" s="30"/>
    </row>
    <row r="877" spans="2:2" ht="14.25" customHeight="1" x14ac:dyDescent="0.25">
      <c r="B877" s="30"/>
    </row>
    <row r="878" spans="2:2" ht="14.25" customHeight="1" x14ac:dyDescent="0.25">
      <c r="B878" s="30"/>
    </row>
    <row r="879" spans="2:2" ht="14.25" customHeight="1" x14ac:dyDescent="0.25">
      <c r="B879" s="30"/>
    </row>
    <row r="880" spans="2:2" ht="14.25" customHeight="1" x14ac:dyDescent="0.25">
      <c r="B880" s="30"/>
    </row>
    <row r="881" spans="2:2" ht="14.25" customHeight="1" x14ac:dyDescent="0.25">
      <c r="B881" s="30"/>
    </row>
    <row r="882" spans="2:2" ht="14.25" customHeight="1" x14ac:dyDescent="0.25">
      <c r="B882" s="30"/>
    </row>
    <row r="883" spans="2:2" ht="14.25" customHeight="1" x14ac:dyDescent="0.25">
      <c r="B883" s="30"/>
    </row>
    <row r="884" spans="2:2" ht="14.25" customHeight="1" x14ac:dyDescent="0.25">
      <c r="B884" s="30"/>
    </row>
    <row r="885" spans="2:2" ht="14.25" customHeight="1" x14ac:dyDescent="0.25">
      <c r="B885" s="30"/>
    </row>
    <row r="886" spans="2:2" ht="14.25" customHeight="1" x14ac:dyDescent="0.25">
      <c r="B886" s="30"/>
    </row>
    <row r="887" spans="2:2" ht="14.25" customHeight="1" x14ac:dyDescent="0.25">
      <c r="B887" s="30"/>
    </row>
    <row r="888" spans="2:2" ht="14.25" customHeight="1" x14ac:dyDescent="0.25">
      <c r="B888" s="30"/>
    </row>
    <row r="889" spans="2:2" ht="14.25" customHeight="1" x14ac:dyDescent="0.25">
      <c r="B889" s="30"/>
    </row>
    <row r="890" spans="2:2" ht="14.25" customHeight="1" x14ac:dyDescent="0.25">
      <c r="B890" s="30"/>
    </row>
    <row r="891" spans="2:2" ht="14.25" customHeight="1" x14ac:dyDescent="0.25">
      <c r="B891" s="30"/>
    </row>
    <row r="892" spans="2:2" ht="14.25" customHeight="1" x14ac:dyDescent="0.25">
      <c r="B892" s="30"/>
    </row>
    <row r="893" spans="2:2" ht="14.25" customHeight="1" x14ac:dyDescent="0.25">
      <c r="B893" s="30"/>
    </row>
    <row r="894" spans="2:2" ht="14.25" customHeight="1" x14ac:dyDescent="0.25">
      <c r="B894" s="30"/>
    </row>
    <row r="895" spans="2:2" ht="14.25" customHeight="1" x14ac:dyDescent="0.25">
      <c r="B895" s="30"/>
    </row>
    <row r="896" spans="2:2" ht="14.25" customHeight="1" x14ac:dyDescent="0.25">
      <c r="B896" s="30"/>
    </row>
    <row r="897" spans="2:2" ht="14.25" customHeight="1" x14ac:dyDescent="0.25">
      <c r="B897" s="30"/>
    </row>
    <row r="898" spans="2:2" ht="14.25" customHeight="1" x14ac:dyDescent="0.25">
      <c r="B898" s="30"/>
    </row>
    <row r="899" spans="2:2" ht="14.25" customHeight="1" x14ac:dyDescent="0.25">
      <c r="B899" s="30"/>
    </row>
    <row r="900" spans="2:2" ht="14.25" customHeight="1" x14ac:dyDescent="0.25">
      <c r="B900" s="30"/>
    </row>
    <row r="901" spans="2:2" ht="14.25" customHeight="1" x14ac:dyDescent="0.25">
      <c r="B901" s="30"/>
    </row>
    <row r="902" spans="2:2" ht="14.25" customHeight="1" x14ac:dyDescent="0.25">
      <c r="B902" s="30"/>
    </row>
    <row r="903" spans="2:2" ht="14.25" customHeight="1" x14ac:dyDescent="0.25">
      <c r="B903" s="30"/>
    </row>
    <row r="904" spans="2:2" ht="14.25" customHeight="1" x14ac:dyDescent="0.25">
      <c r="B904" s="30"/>
    </row>
    <row r="905" spans="2:2" ht="14.25" customHeight="1" x14ac:dyDescent="0.25">
      <c r="B905" s="30"/>
    </row>
    <row r="906" spans="2:2" ht="14.25" customHeight="1" x14ac:dyDescent="0.25">
      <c r="B906" s="30"/>
    </row>
    <row r="907" spans="2:2" ht="14.25" customHeight="1" x14ac:dyDescent="0.25">
      <c r="B907" s="30"/>
    </row>
    <row r="908" spans="2:2" ht="14.25" customHeight="1" x14ac:dyDescent="0.25">
      <c r="B908" s="30"/>
    </row>
    <row r="909" spans="2:2" ht="14.25" customHeight="1" x14ac:dyDescent="0.25">
      <c r="B909" s="30"/>
    </row>
    <row r="910" spans="2:2" ht="14.25" customHeight="1" x14ac:dyDescent="0.25">
      <c r="B910" s="30"/>
    </row>
    <row r="911" spans="2:2" ht="14.25" customHeight="1" x14ac:dyDescent="0.25">
      <c r="B911" s="30"/>
    </row>
    <row r="912" spans="2:2" ht="14.25" customHeight="1" x14ac:dyDescent="0.25">
      <c r="B912" s="30"/>
    </row>
    <row r="913" spans="2:2" ht="14.25" customHeight="1" x14ac:dyDescent="0.25">
      <c r="B913" s="30"/>
    </row>
    <row r="914" spans="2:2" ht="14.25" customHeight="1" x14ac:dyDescent="0.25">
      <c r="B914" s="30"/>
    </row>
    <row r="915" spans="2:2" ht="14.25" customHeight="1" x14ac:dyDescent="0.25">
      <c r="B915" s="30"/>
    </row>
    <row r="916" spans="2:2" ht="14.25" customHeight="1" x14ac:dyDescent="0.25">
      <c r="B916" s="30"/>
    </row>
    <row r="917" spans="2:2" ht="14.25" customHeight="1" x14ac:dyDescent="0.25">
      <c r="B917" s="30"/>
    </row>
    <row r="918" spans="2:2" ht="14.25" customHeight="1" x14ac:dyDescent="0.25">
      <c r="B918" s="30"/>
    </row>
    <row r="919" spans="2:2" ht="14.25" customHeight="1" x14ac:dyDescent="0.25">
      <c r="B919" s="30"/>
    </row>
    <row r="920" spans="2:2" ht="14.25" customHeight="1" x14ac:dyDescent="0.25">
      <c r="B920" s="30"/>
    </row>
    <row r="921" spans="2:2" ht="14.25" customHeight="1" x14ac:dyDescent="0.25">
      <c r="B921" s="30"/>
    </row>
    <row r="922" spans="2:2" ht="14.25" customHeight="1" x14ac:dyDescent="0.25">
      <c r="B922" s="30"/>
    </row>
    <row r="923" spans="2:2" ht="14.25" customHeight="1" x14ac:dyDescent="0.25">
      <c r="B923" s="30"/>
    </row>
    <row r="924" spans="2:2" ht="14.25" customHeight="1" x14ac:dyDescent="0.25">
      <c r="B924" s="30"/>
    </row>
    <row r="925" spans="2:2" ht="14.25" customHeight="1" x14ac:dyDescent="0.25">
      <c r="B925" s="30"/>
    </row>
    <row r="926" spans="2:2" ht="14.25" customHeight="1" x14ac:dyDescent="0.25">
      <c r="B926" s="30"/>
    </row>
    <row r="927" spans="2:2" ht="14.25" customHeight="1" x14ac:dyDescent="0.25">
      <c r="B927" s="30"/>
    </row>
    <row r="928" spans="2:2" ht="14.25" customHeight="1" x14ac:dyDescent="0.25">
      <c r="B928" s="30"/>
    </row>
    <row r="929" spans="2:2" ht="14.25" customHeight="1" x14ac:dyDescent="0.25">
      <c r="B929" s="30"/>
    </row>
    <row r="930" spans="2:2" ht="14.25" customHeight="1" x14ac:dyDescent="0.25">
      <c r="B930" s="30"/>
    </row>
    <row r="931" spans="2:2" ht="14.25" customHeight="1" x14ac:dyDescent="0.25">
      <c r="B931" s="30"/>
    </row>
    <row r="932" spans="2:2" ht="14.25" customHeight="1" x14ac:dyDescent="0.25">
      <c r="B932" s="30"/>
    </row>
    <row r="933" spans="2:2" ht="14.25" customHeight="1" x14ac:dyDescent="0.25">
      <c r="B933" s="30"/>
    </row>
    <row r="934" spans="2:2" ht="14.25" customHeight="1" x14ac:dyDescent="0.25">
      <c r="B934" s="30"/>
    </row>
    <row r="935" spans="2:2" ht="14.25" customHeight="1" x14ac:dyDescent="0.25">
      <c r="B935" s="30"/>
    </row>
    <row r="936" spans="2:2" ht="14.25" customHeight="1" x14ac:dyDescent="0.25">
      <c r="B936" s="30"/>
    </row>
    <row r="937" spans="2:2" ht="14.25" customHeight="1" x14ac:dyDescent="0.25">
      <c r="B937" s="30"/>
    </row>
    <row r="938" spans="2:2" ht="14.25" customHeight="1" x14ac:dyDescent="0.25">
      <c r="B938" s="30"/>
    </row>
    <row r="939" spans="2:2" ht="14.25" customHeight="1" x14ac:dyDescent="0.25">
      <c r="B939" s="30"/>
    </row>
    <row r="940" spans="2:2" ht="14.25" customHeight="1" x14ac:dyDescent="0.25">
      <c r="B940" s="30"/>
    </row>
    <row r="941" spans="2:2" ht="14.25" customHeight="1" x14ac:dyDescent="0.25">
      <c r="B941" s="30"/>
    </row>
    <row r="942" spans="2:2" ht="14.25" customHeight="1" x14ac:dyDescent="0.25">
      <c r="B942" s="30"/>
    </row>
    <row r="943" spans="2:2" ht="14.25" customHeight="1" x14ac:dyDescent="0.25">
      <c r="B943" s="30"/>
    </row>
    <row r="944" spans="2:2" ht="14.25" customHeight="1" x14ac:dyDescent="0.25">
      <c r="B944" s="30"/>
    </row>
    <row r="945" spans="2:2" ht="14.25" customHeight="1" x14ac:dyDescent="0.25">
      <c r="B945" s="30"/>
    </row>
    <row r="946" spans="2:2" ht="14.25" customHeight="1" x14ac:dyDescent="0.25">
      <c r="B946" s="30"/>
    </row>
    <row r="947" spans="2:2" ht="14.25" customHeight="1" x14ac:dyDescent="0.25">
      <c r="B947" s="30"/>
    </row>
    <row r="948" spans="2:2" ht="14.25" customHeight="1" x14ac:dyDescent="0.25">
      <c r="B948" s="30"/>
    </row>
    <row r="949" spans="2:2" ht="14.25" customHeight="1" x14ac:dyDescent="0.25">
      <c r="B949" s="30"/>
    </row>
    <row r="950" spans="2:2" ht="14.25" customHeight="1" x14ac:dyDescent="0.25">
      <c r="B950" s="30"/>
    </row>
    <row r="951" spans="2:2" ht="14.25" customHeight="1" x14ac:dyDescent="0.25">
      <c r="B951" s="30"/>
    </row>
    <row r="952" spans="2:2" ht="14.25" customHeight="1" x14ac:dyDescent="0.25">
      <c r="B952" s="30"/>
    </row>
    <row r="953" spans="2:2" ht="14.25" customHeight="1" x14ac:dyDescent="0.25">
      <c r="B953" s="30"/>
    </row>
    <row r="954" spans="2:2" ht="14.25" customHeight="1" x14ac:dyDescent="0.25">
      <c r="B954" s="30"/>
    </row>
    <row r="955" spans="2:2" ht="14.25" customHeight="1" x14ac:dyDescent="0.25">
      <c r="B955" s="30"/>
    </row>
    <row r="956" spans="2:2" ht="14.25" customHeight="1" x14ac:dyDescent="0.25">
      <c r="B956" s="30"/>
    </row>
    <row r="957" spans="2:2" ht="14.25" customHeight="1" x14ac:dyDescent="0.25">
      <c r="B957" s="30"/>
    </row>
    <row r="958" spans="2:2" ht="14.25" customHeight="1" x14ac:dyDescent="0.25">
      <c r="B958" s="30"/>
    </row>
    <row r="959" spans="2:2" ht="14.25" customHeight="1" x14ac:dyDescent="0.25">
      <c r="B959" s="30"/>
    </row>
    <row r="960" spans="2:2" ht="14.25" customHeight="1" x14ac:dyDescent="0.25">
      <c r="B960" s="30"/>
    </row>
    <row r="961" spans="2:2" ht="14.25" customHeight="1" x14ac:dyDescent="0.25">
      <c r="B961" s="30"/>
    </row>
    <row r="962" spans="2:2" ht="14.25" customHeight="1" x14ac:dyDescent="0.25">
      <c r="B962" s="30"/>
    </row>
    <row r="963" spans="2:2" ht="14.25" customHeight="1" x14ac:dyDescent="0.25">
      <c r="B963" s="30"/>
    </row>
    <row r="964" spans="2:2" ht="14.25" customHeight="1" x14ac:dyDescent="0.25">
      <c r="B964" s="30"/>
    </row>
    <row r="965" spans="2:2" ht="14.25" customHeight="1" x14ac:dyDescent="0.25">
      <c r="B965" s="30"/>
    </row>
    <row r="966" spans="2:2" ht="14.25" customHeight="1" x14ac:dyDescent="0.25">
      <c r="B966" s="30"/>
    </row>
    <row r="967" spans="2:2" ht="14.25" customHeight="1" x14ac:dyDescent="0.25">
      <c r="B967" s="30"/>
    </row>
    <row r="968" spans="2:2" ht="14.25" customHeight="1" x14ac:dyDescent="0.25">
      <c r="B968" s="30"/>
    </row>
    <row r="969" spans="2:2" ht="14.25" customHeight="1" x14ac:dyDescent="0.25">
      <c r="B969" s="30"/>
    </row>
    <row r="970" spans="2:2" ht="14.25" customHeight="1" x14ac:dyDescent="0.25">
      <c r="B970" s="30"/>
    </row>
    <row r="971" spans="2:2" ht="14.25" customHeight="1" x14ac:dyDescent="0.25">
      <c r="B971" s="30"/>
    </row>
    <row r="972" spans="2:2" ht="14.25" customHeight="1" x14ac:dyDescent="0.25">
      <c r="B972" s="30"/>
    </row>
    <row r="973" spans="2:2" ht="14.25" customHeight="1" x14ac:dyDescent="0.25">
      <c r="B973" s="30"/>
    </row>
    <row r="974" spans="2:2" ht="14.25" customHeight="1" x14ac:dyDescent="0.25">
      <c r="B974" s="30"/>
    </row>
    <row r="975" spans="2:2" ht="14.25" customHeight="1" x14ac:dyDescent="0.25">
      <c r="B975" s="30"/>
    </row>
    <row r="976" spans="2:2" ht="14.25" customHeight="1" x14ac:dyDescent="0.25">
      <c r="B976" s="30"/>
    </row>
    <row r="977" spans="2:2" ht="14.25" customHeight="1" x14ac:dyDescent="0.25">
      <c r="B977" s="30"/>
    </row>
    <row r="978" spans="2:2" ht="14.25" customHeight="1" x14ac:dyDescent="0.25">
      <c r="B978" s="30"/>
    </row>
    <row r="979" spans="2:2" ht="14.25" customHeight="1" x14ac:dyDescent="0.25">
      <c r="B979" s="30"/>
    </row>
    <row r="980" spans="2:2" ht="14.25" customHeight="1" x14ac:dyDescent="0.25">
      <c r="B980" s="30"/>
    </row>
    <row r="981" spans="2:2" ht="14.25" customHeight="1" x14ac:dyDescent="0.25">
      <c r="B981" s="30"/>
    </row>
    <row r="982" spans="2:2" ht="14.25" customHeight="1" x14ac:dyDescent="0.25">
      <c r="B982" s="30"/>
    </row>
    <row r="983" spans="2:2" ht="14.25" customHeight="1" x14ac:dyDescent="0.25">
      <c r="B983" s="30"/>
    </row>
    <row r="984" spans="2:2" ht="14.25" customHeight="1" x14ac:dyDescent="0.25">
      <c r="B984" s="30"/>
    </row>
    <row r="985" spans="2:2" ht="14.25" customHeight="1" x14ac:dyDescent="0.25">
      <c r="B985" s="30"/>
    </row>
    <row r="986" spans="2:2" ht="14.25" customHeight="1" x14ac:dyDescent="0.25">
      <c r="B986" s="30"/>
    </row>
    <row r="987" spans="2:2" ht="14.25" customHeight="1" x14ac:dyDescent="0.25">
      <c r="B987" s="30"/>
    </row>
    <row r="988" spans="2:2" ht="14.25" customHeight="1" x14ac:dyDescent="0.25">
      <c r="B988" s="30"/>
    </row>
    <row r="989" spans="2:2" ht="14.25" customHeight="1" x14ac:dyDescent="0.25">
      <c r="B989" s="30"/>
    </row>
    <row r="990" spans="2:2" ht="14.25" customHeight="1" x14ac:dyDescent="0.25">
      <c r="B990" s="30"/>
    </row>
    <row r="991" spans="2:2" ht="14.25" customHeight="1" x14ac:dyDescent="0.25">
      <c r="B991" s="30"/>
    </row>
    <row r="992" spans="2:2" ht="14.25" customHeight="1" x14ac:dyDescent="0.25">
      <c r="B992" s="30"/>
    </row>
    <row r="993" spans="2:2" ht="14.25" customHeight="1" x14ac:dyDescent="0.25">
      <c r="B993" s="30"/>
    </row>
    <row r="994" spans="2:2" ht="14.25" customHeight="1" x14ac:dyDescent="0.25">
      <c r="B994" s="30"/>
    </row>
    <row r="995" spans="2:2" ht="14.25" customHeight="1" x14ac:dyDescent="0.25">
      <c r="B995" s="30"/>
    </row>
    <row r="996" spans="2:2" ht="14.25" customHeight="1" x14ac:dyDescent="0.25">
      <c r="B996" s="30"/>
    </row>
    <row r="997" spans="2:2" ht="14.25" customHeight="1" x14ac:dyDescent="0.25">
      <c r="B997" s="30"/>
    </row>
    <row r="998" spans="2:2" ht="14.25" customHeight="1" x14ac:dyDescent="0.25">
      <c r="B998" s="30"/>
    </row>
    <row r="999" spans="2:2" ht="14.25" customHeight="1" x14ac:dyDescent="0.25">
      <c r="B999" s="30"/>
    </row>
    <row r="1000" spans="2:2" ht="14.25" customHeight="1" x14ac:dyDescent="0.25">
      <c r="B1000" s="30"/>
    </row>
  </sheetData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1:I1000"/>
  <sheetViews>
    <sheetView topLeftCell="A57" workbookViewId="0">
      <selection activeCell="F86" sqref="F86"/>
    </sheetView>
  </sheetViews>
  <sheetFormatPr defaultColWidth="12.5703125" defaultRowHeight="15" customHeight="1" x14ac:dyDescent="0.25"/>
  <cols>
    <col min="1" max="2" width="14.42578125" customWidth="1"/>
    <col min="3" max="3" width="15.42578125" customWidth="1"/>
    <col min="4" max="4" width="45.5703125" customWidth="1"/>
    <col min="5" max="5" width="18.42578125" customWidth="1"/>
    <col min="6" max="6" width="10.42578125" customWidth="1"/>
    <col min="7" max="8" width="13" customWidth="1"/>
    <col min="9" max="9" width="13.5703125" customWidth="1"/>
    <col min="10" max="26" width="14.42578125" customWidth="1"/>
  </cols>
  <sheetData>
    <row r="1" spans="3:9" ht="14.25" customHeight="1" x14ac:dyDescent="0.25">
      <c r="G1" s="57"/>
      <c r="H1" s="57"/>
      <c r="I1" s="34"/>
    </row>
    <row r="2" spans="3:9" ht="14.25" customHeight="1" x14ac:dyDescent="0.25">
      <c r="C2" s="1"/>
      <c r="D2" s="366" t="s">
        <v>327</v>
      </c>
      <c r="E2" s="367"/>
      <c r="F2" s="367"/>
      <c r="G2" s="367"/>
      <c r="H2" s="367"/>
      <c r="I2" s="368"/>
    </row>
    <row r="3" spans="3:9" ht="14.25" customHeight="1" x14ac:dyDescent="0.25">
      <c r="C3" s="2" t="s">
        <v>1</v>
      </c>
      <c r="D3" s="3" t="s">
        <v>2</v>
      </c>
      <c r="E3" s="4" t="s">
        <v>3</v>
      </c>
      <c r="F3" s="4" t="s">
        <v>4</v>
      </c>
      <c r="G3" s="5" t="s">
        <v>5</v>
      </c>
      <c r="H3" s="5" t="s">
        <v>232</v>
      </c>
      <c r="I3" s="5" t="s">
        <v>233</v>
      </c>
    </row>
    <row r="4" spans="3:9" ht="14.25" customHeight="1" x14ac:dyDescent="0.25">
      <c r="C4" s="6" t="s">
        <v>318</v>
      </c>
      <c r="D4" s="35" t="s">
        <v>328</v>
      </c>
      <c r="E4" s="6" t="s">
        <v>23</v>
      </c>
      <c r="F4" s="6">
        <v>20</v>
      </c>
      <c r="G4" s="8">
        <f t="shared" ref="G4:G7" si="0">F4*16.5</f>
        <v>330</v>
      </c>
      <c r="H4" s="9" t="s">
        <v>10</v>
      </c>
      <c r="I4" s="9"/>
    </row>
    <row r="5" spans="3:9" ht="14.25" customHeight="1" x14ac:dyDescent="0.25">
      <c r="C5" s="6" t="s">
        <v>7</v>
      </c>
      <c r="D5" s="7" t="s">
        <v>8</v>
      </c>
      <c r="E5" s="6" t="s">
        <v>9</v>
      </c>
      <c r="F5" s="6">
        <v>22</v>
      </c>
      <c r="G5" s="8">
        <f t="shared" si="0"/>
        <v>363</v>
      </c>
      <c r="H5" s="8" t="s">
        <v>10</v>
      </c>
      <c r="I5" s="8" t="s">
        <v>10</v>
      </c>
    </row>
    <row r="6" spans="3:9" ht="14.25" customHeight="1" x14ac:dyDescent="0.25">
      <c r="C6" s="6" t="s">
        <v>264</v>
      </c>
      <c r="D6" s="9" t="s">
        <v>265</v>
      </c>
      <c r="E6" s="6" t="s">
        <v>23</v>
      </c>
      <c r="F6" s="6">
        <v>20</v>
      </c>
      <c r="G6" s="8">
        <f t="shared" si="0"/>
        <v>330</v>
      </c>
      <c r="H6" s="8">
        <v>120</v>
      </c>
      <c r="I6" s="6" t="s">
        <v>10</v>
      </c>
    </row>
    <row r="7" spans="3:9" ht="14.25" customHeight="1" x14ac:dyDescent="0.25">
      <c r="C7" s="6" t="s">
        <v>310</v>
      </c>
      <c r="D7" s="35" t="s">
        <v>329</v>
      </c>
      <c r="E7" s="6" t="s">
        <v>9</v>
      </c>
      <c r="F7" s="6">
        <v>22</v>
      </c>
      <c r="G7" s="8">
        <f t="shared" si="0"/>
        <v>363</v>
      </c>
      <c r="H7" s="65">
        <v>120</v>
      </c>
      <c r="I7" s="9"/>
    </row>
    <row r="8" spans="3:9" ht="14.25" customHeight="1" x14ac:dyDescent="0.25">
      <c r="C8" s="6" t="s">
        <v>14</v>
      </c>
      <c r="D8" s="9" t="s">
        <v>15</v>
      </c>
      <c r="E8" s="6" t="s">
        <v>16</v>
      </c>
      <c r="F8" s="6" t="s">
        <v>10</v>
      </c>
      <c r="G8" s="8" t="s">
        <v>10</v>
      </c>
      <c r="H8" s="8" t="s">
        <v>10</v>
      </c>
      <c r="I8" s="8" t="s">
        <v>10</v>
      </c>
    </row>
    <row r="9" spans="3:9" ht="14.25" customHeight="1" x14ac:dyDescent="0.25">
      <c r="C9" s="6" t="s">
        <v>17</v>
      </c>
      <c r="D9" s="9" t="s">
        <v>18</v>
      </c>
      <c r="E9" s="6" t="s">
        <v>16</v>
      </c>
      <c r="F9" s="6">
        <v>20</v>
      </c>
      <c r="G9" s="8">
        <f t="shared" ref="G9:G15" si="1">F9*16.5</f>
        <v>330</v>
      </c>
      <c r="H9" s="8">
        <v>120</v>
      </c>
      <c r="I9" s="8" t="s">
        <v>10</v>
      </c>
    </row>
    <row r="10" spans="3:9" ht="14.25" customHeight="1" x14ac:dyDescent="0.25">
      <c r="C10" s="6" t="s">
        <v>19</v>
      </c>
      <c r="D10" s="9" t="s">
        <v>20</v>
      </c>
      <c r="E10" s="6" t="s">
        <v>16</v>
      </c>
      <c r="F10" s="6">
        <v>20</v>
      </c>
      <c r="G10" s="8">
        <f t="shared" si="1"/>
        <v>330</v>
      </c>
      <c r="H10" s="8">
        <v>120</v>
      </c>
      <c r="I10" s="8" t="s">
        <v>10</v>
      </c>
    </row>
    <row r="11" spans="3:9" ht="14.25" customHeight="1" x14ac:dyDescent="0.25">
      <c r="C11" s="6" t="s">
        <v>27</v>
      </c>
      <c r="D11" s="9" t="s">
        <v>28</v>
      </c>
      <c r="E11" s="6" t="s">
        <v>29</v>
      </c>
      <c r="F11" s="6">
        <v>20</v>
      </c>
      <c r="G11" s="8">
        <f t="shared" si="1"/>
        <v>330</v>
      </c>
      <c r="H11" s="8">
        <v>120</v>
      </c>
      <c r="I11" s="8" t="s">
        <v>10</v>
      </c>
    </row>
    <row r="12" spans="3:9" ht="14.25" customHeight="1" x14ac:dyDescent="0.25">
      <c r="C12" s="6" t="s">
        <v>30</v>
      </c>
      <c r="D12" s="9" t="s">
        <v>31</v>
      </c>
      <c r="E12" s="6" t="s">
        <v>32</v>
      </c>
      <c r="F12" s="6">
        <v>20</v>
      </c>
      <c r="G12" s="8">
        <f t="shared" si="1"/>
        <v>330</v>
      </c>
      <c r="H12" s="8">
        <v>120</v>
      </c>
      <c r="I12" s="8" t="s">
        <v>10</v>
      </c>
    </row>
    <row r="13" spans="3:9" ht="14.25" customHeight="1" x14ac:dyDescent="0.25">
      <c r="C13" s="6" t="s">
        <v>36</v>
      </c>
      <c r="D13" s="9" t="s">
        <v>37</v>
      </c>
      <c r="E13" s="6" t="s">
        <v>29</v>
      </c>
      <c r="F13" s="6">
        <v>20</v>
      </c>
      <c r="G13" s="8">
        <f t="shared" si="1"/>
        <v>330</v>
      </c>
      <c r="H13" s="8">
        <v>120</v>
      </c>
      <c r="I13" s="8" t="s">
        <v>10</v>
      </c>
    </row>
    <row r="14" spans="3:9" ht="14.25" customHeight="1" x14ac:dyDescent="0.25">
      <c r="C14" s="6" t="s">
        <v>38</v>
      </c>
      <c r="D14" s="9" t="s">
        <v>39</v>
      </c>
      <c r="E14" s="6" t="s">
        <v>40</v>
      </c>
      <c r="F14" s="6">
        <v>17</v>
      </c>
      <c r="G14" s="8">
        <f t="shared" si="1"/>
        <v>280.5</v>
      </c>
      <c r="H14" s="8" t="s">
        <v>10</v>
      </c>
      <c r="I14" s="8" t="s">
        <v>10</v>
      </c>
    </row>
    <row r="15" spans="3:9" ht="14.25" customHeight="1" x14ac:dyDescent="0.25">
      <c r="C15" s="6" t="s">
        <v>41</v>
      </c>
      <c r="D15" s="9" t="s">
        <v>42</v>
      </c>
      <c r="E15" s="6" t="s">
        <v>35</v>
      </c>
      <c r="F15" s="6">
        <v>20</v>
      </c>
      <c r="G15" s="8">
        <f t="shared" si="1"/>
        <v>330</v>
      </c>
      <c r="H15" s="8">
        <v>120</v>
      </c>
      <c r="I15" s="8" t="s">
        <v>10</v>
      </c>
    </row>
    <row r="16" spans="3:9" ht="14.25" customHeight="1" x14ac:dyDescent="0.25">
      <c r="C16" s="6" t="s">
        <v>234</v>
      </c>
      <c r="D16" s="9" t="s">
        <v>235</v>
      </c>
      <c r="E16" s="6" t="s">
        <v>103</v>
      </c>
      <c r="F16" s="6" t="s">
        <v>330</v>
      </c>
      <c r="G16" s="8">
        <v>600</v>
      </c>
      <c r="H16" s="8" t="s">
        <v>10</v>
      </c>
      <c r="I16" s="8" t="s">
        <v>10</v>
      </c>
    </row>
    <row r="17" spans="3:9" ht="14.25" customHeight="1" x14ac:dyDescent="0.25">
      <c r="C17" s="6" t="s">
        <v>312</v>
      </c>
      <c r="D17" s="35" t="s">
        <v>331</v>
      </c>
      <c r="E17" s="6" t="s">
        <v>9</v>
      </c>
      <c r="F17" s="6">
        <v>22</v>
      </c>
      <c r="G17" s="8">
        <f t="shared" ref="G17:G108" si="2">F17*16.5</f>
        <v>363</v>
      </c>
      <c r="H17" s="65">
        <v>120</v>
      </c>
      <c r="I17" s="9"/>
    </row>
    <row r="18" spans="3:9" ht="14.25" customHeight="1" x14ac:dyDescent="0.25">
      <c r="C18" s="6" t="s">
        <v>316</v>
      </c>
      <c r="D18" s="35" t="s">
        <v>332</v>
      </c>
      <c r="E18" s="6" t="s">
        <v>32</v>
      </c>
      <c r="F18" s="6">
        <v>20</v>
      </c>
      <c r="G18" s="8">
        <f t="shared" si="2"/>
        <v>330</v>
      </c>
      <c r="H18" s="65">
        <v>120</v>
      </c>
      <c r="I18" s="9"/>
    </row>
    <row r="19" spans="3:9" ht="14.25" customHeight="1" x14ac:dyDescent="0.25">
      <c r="C19" s="9" t="s">
        <v>301</v>
      </c>
      <c r="D19" s="9" t="s">
        <v>302</v>
      </c>
      <c r="E19" s="6" t="s">
        <v>65</v>
      </c>
      <c r="F19" s="6">
        <v>20</v>
      </c>
      <c r="G19" s="8">
        <f t="shared" si="2"/>
        <v>330</v>
      </c>
      <c r="H19" s="8">
        <v>120</v>
      </c>
      <c r="I19" s="8" t="s">
        <v>10</v>
      </c>
    </row>
    <row r="20" spans="3:9" ht="14.25" customHeight="1" x14ac:dyDescent="0.25">
      <c r="C20" s="9" t="s">
        <v>288</v>
      </c>
      <c r="D20" s="9" t="s">
        <v>289</v>
      </c>
      <c r="E20" s="6" t="s">
        <v>32</v>
      </c>
      <c r="F20" s="6">
        <v>20</v>
      </c>
      <c r="G20" s="8">
        <f t="shared" si="2"/>
        <v>330</v>
      </c>
      <c r="H20" s="8">
        <v>120</v>
      </c>
      <c r="I20" s="8" t="s">
        <v>10</v>
      </c>
    </row>
    <row r="21" spans="3:9" ht="14.25" customHeight="1" x14ac:dyDescent="0.25">
      <c r="C21" s="12">
        <v>10705364402</v>
      </c>
      <c r="D21" s="13" t="s">
        <v>51</v>
      </c>
      <c r="E21" s="6" t="s">
        <v>52</v>
      </c>
      <c r="F21" s="6">
        <v>20</v>
      </c>
      <c r="G21" s="8">
        <f t="shared" si="2"/>
        <v>330</v>
      </c>
      <c r="H21" s="8">
        <v>120</v>
      </c>
      <c r="I21" s="8" t="s">
        <v>10</v>
      </c>
    </row>
    <row r="22" spans="3:9" ht="14.25" customHeight="1" x14ac:dyDescent="0.25">
      <c r="C22" s="6" t="s">
        <v>53</v>
      </c>
      <c r="D22" s="9" t="s">
        <v>54</v>
      </c>
      <c r="E22" s="6" t="s">
        <v>52</v>
      </c>
      <c r="F22" s="6">
        <v>20</v>
      </c>
      <c r="G22" s="8">
        <f t="shared" si="2"/>
        <v>330</v>
      </c>
      <c r="H22" s="8">
        <v>120</v>
      </c>
      <c r="I22" s="8" t="s">
        <v>10</v>
      </c>
    </row>
    <row r="23" spans="3:9" ht="14.25" customHeight="1" x14ac:dyDescent="0.25">
      <c r="C23" s="14" t="s">
        <v>55</v>
      </c>
      <c r="D23" s="9" t="s">
        <v>56</v>
      </c>
      <c r="E23" s="6" t="s">
        <v>32</v>
      </c>
      <c r="F23" s="6">
        <v>20</v>
      </c>
      <c r="G23" s="8">
        <f t="shared" si="2"/>
        <v>330</v>
      </c>
      <c r="H23" s="8">
        <v>120</v>
      </c>
      <c r="I23" s="8" t="s">
        <v>10</v>
      </c>
    </row>
    <row r="24" spans="3:9" ht="14.25" customHeight="1" x14ac:dyDescent="0.25">
      <c r="C24" s="14" t="s">
        <v>57</v>
      </c>
      <c r="D24" s="9" t="s">
        <v>58</v>
      </c>
      <c r="E24" s="6" t="s">
        <v>47</v>
      </c>
      <c r="F24" s="6">
        <v>20</v>
      </c>
      <c r="G24" s="8">
        <f t="shared" si="2"/>
        <v>330</v>
      </c>
      <c r="H24" s="8">
        <v>120</v>
      </c>
      <c r="I24" s="8" t="s">
        <v>10</v>
      </c>
    </row>
    <row r="25" spans="3:9" ht="14.25" customHeight="1" x14ac:dyDescent="0.25">
      <c r="C25" s="6" t="s">
        <v>266</v>
      </c>
      <c r="D25" s="9" t="s">
        <v>267</v>
      </c>
      <c r="E25" s="6" t="s">
        <v>23</v>
      </c>
      <c r="F25" s="6">
        <v>20</v>
      </c>
      <c r="G25" s="8">
        <f t="shared" si="2"/>
        <v>330</v>
      </c>
      <c r="H25" s="8">
        <v>120</v>
      </c>
      <c r="I25" s="6"/>
    </row>
    <row r="26" spans="3:9" ht="14.25" customHeight="1" x14ac:dyDescent="0.25">
      <c r="C26" s="6" t="s">
        <v>271</v>
      </c>
      <c r="D26" s="9" t="s">
        <v>272</v>
      </c>
      <c r="E26" s="6" t="s">
        <v>103</v>
      </c>
      <c r="F26" s="6">
        <v>20</v>
      </c>
      <c r="G26" s="8">
        <f t="shared" si="2"/>
        <v>330</v>
      </c>
      <c r="H26" s="8">
        <v>120</v>
      </c>
      <c r="I26" s="6" t="s">
        <v>10</v>
      </c>
    </row>
    <row r="27" spans="3:9" ht="14.25" customHeight="1" x14ac:dyDescent="0.25">
      <c r="C27" s="14" t="s">
        <v>66</v>
      </c>
      <c r="D27" s="9" t="s">
        <v>67</v>
      </c>
      <c r="E27" s="6" t="s">
        <v>32</v>
      </c>
      <c r="F27" s="6">
        <v>20</v>
      </c>
      <c r="G27" s="8">
        <f t="shared" si="2"/>
        <v>330</v>
      </c>
      <c r="H27" s="8" t="s">
        <v>10</v>
      </c>
      <c r="I27" s="8" t="s">
        <v>10</v>
      </c>
    </row>
    <row r="28" spans="3:9" ht="14.25" customHeight="1" x14ac:dyDescent="0.25">
      <c r="C28" s="6" t="s">
        <v>320</v>
      </c>
      <c r="D28" s="35" t="s">
        <v>333</v>
      </c>
      <c r="E28" s="6" t="s">
        <v>47</v>
      </c>
      <c r="F28" s="6">
        <v>20</v>
      </c>
      <c r="G28" s="8">
        <f t="shared" si="2"/>
        <v>330</v>
      </c>
      <c r="H28" s="66">
        <v>120</v>
      </c>
      <c r="I28" s="9"/>
    </row>
    <row r="29" spans="3:9" ht="14.25" customHeight="1" x14ac:dyDescent="0.25">
      <c r="C29" s="9" t="s">
        <v>303</v>
      </c>
      <c r="D29" s="9" t="s">
        <v>304</v>
      </c>
      <c r="E29" s="6" t="s">
        <v>40</v>
      </c>
      <c r="F29" s="6">
        <v>20</v>
      </c>
      <c r="G29" s="8">
        <f t="shared" si="2"/>
        <v>330</v>
      </c>
      <c r="H29" s="8" t="s">
        <v>10</v>
      </c>
      <c r="I29" s="8" t="s">
        <v>10</v>
      </c>
    </row>
    <row r="30" spans="3:9" ht="14.25" customHeight="1" x14ac:dyDescent="0.25">
      <c r="C30" s="6" t="s">
        <v>224</v>
      </c>
      <c r="D30" s="35" t="s">
        <v>225</v>
      </c>
      <c r="E30" s="6" t="s">
        <v>143</v>
      </c>
      <c r="F30" s="6">
        <v>20</v>
      </c>
      <c r="G30" s="8">
        <f t="shared" si="2"/>
        <v>330</v>
      </c>
      <c r="H30" s="8" t="s">
        <v>10</v>
      </c>
      <c r="I30" s="8" t="s">
        <v>10</v>
      </c>
    </row>
    <row r="31" spans="3:9" ht="14.25" customHeight="1" x14ac:dyDescent="0.25">
      <c r="C31" s="6" t="s">
        <v>70</v>
      </c>
      <c r="D31" s="9" t="s">
        <v>71</v>
      </c>
      <c r="E31" s="6" t="s">
        <v>32</v>
      </c>
      <c r="F31" s="6">
        <v>20</v>
      </c>
      <c r="G31" s="8">
        <f t="shared" si="2"/>
        <v>330</v>
      </c>
      <c r="H31" s="8">
        <v>120</v>
      </c>
      <c r="I31" s="8" t="s">
        <v>10</v>
      </c>
    </row>
    <row r="32" spans="3:9" ht="14.25" customHeight="1" x14ac:dyDescent="0.25">
      <c r="C32" s="9" t="s">
        <v>280</v>
      </c>
      <c r="D32" s="9" t="s">
        <v>281</v>
      </c>
      <c r="E32" s="6" t="s">
        <v>9</v>
      </c>
      <c r="F32" s="6">
        <v>23</v>
      </c>
      <c r="G32" s="8">
        <f t="shared" si="2"/>
        <v>379.5</v>
      </c>
      <c r="H32" s="8">
        <v>120</v>
      </c>
      <c r="I32" s="8" t="s">
        <v>10</v>
      </c>
    </row>
    <row r="33" spans="3:9" ht="14.25" customHeight="1" x14ac:dyDescent="0.25">
      <c r="C33" s="6" t="s">
        <v>72</v>
      </c>
      <c r="D33" s="9" t="s">
        <v>73</v>
      </c>
      <c r="E33" s="6" t="s">
        <v>9</v>
      </c>
      <c r="F33" s="6">
        <v>24</v>
      </c>
      <c r="G33" s="8">
        <f t="shared" si="2"/>
        <v>396</v>
      </c>
      <c r="H33" s="8">
        <v>120</v>
      </c>
      <c r="I33" s="8" t="s">
        <v>10</v>
      </c>
    </row>
    <row r="34" spans="3:9" ht="14.25" customHeight="1" x14ac:dyDescent="0.25">
      <c r="C34" s="14" t="s">
        <v>74</v>
      </c>
      <c r="D34" s="9" t="s">
        <v>75</v>
      </c>
      <c r="E34" s="6" t="s">
        <v>143</v>
      </c>
      <c r="F34" s="6">
        <v>20</v>
      </c>
      <c r="G34" s="8">
        <f t="shared" si="2"/>
        <v>330</v>
      </c>
      <c r="H34" s="8">
        <v>120</v>
      </c>
      <c r="I34" s="8" t="s">
        <v>10</v>
      </c>
    </row>
    <row r="35" spans="3:9" ht="14.25" customHeight="1" x14ac:dyDescent="0.25">
      <c r="C35" s="6" t="s">
        <v>237</v>
      </c>
      <c r="D35" s="35" t="s">
        <v>238</v>
      </c>
      <c r="E35" s="6" t="s">
        <v>103</v>
      </c>
      <c r="F35" s="6">
        <v>20</v>
      </c>
      <c r="G35" s="8">
        <f t="shared" si="2"/>
        <v>330</v>
      </c>
      <c r="H35" s="8">
        <v>120</v>
      </c>
      <c r="I35" s="6" t="s">
        <v>10</v>
      </c>
    </row>
    <row r="36" spans="3:9" ht="14.25" customHeight="1" x14ac:dyDescent="0.25">
      <c r="C36" s="6" t="s">
        <v>229</v>
      </c>
      <c r="D36" s="35" t="s">
        <v>230</v>
      </c>
      <c r="E36" s="6" t="s">
        <v>143</v>
      </c>
      <c r="F36" s="6">
        <v>20</v>
      </c>
      <c r="G36" s="8">
        <f t="shared" si="2"/>
        <v>330</v>
      </c>
      <c r="H36" s="8">
        <v>120</v>
      </c>
      <c r="I36" s="8" t="s">
        <v>10</v>
      </c>
    </row>
    <row r="37" spans="3:9" ht="14.25" customHeight="1" x14ac:dyDescent="0.25">
      <c r="C37" s="14" t="s">
        <v>80</v>
      </c>
      <c r="D37" s="9" t="s">
        <v>81</v>
      </c>
      <c r="E37" s="6" t="s">
        <v>16</v>
      </c>
      <c r="F37" s="6">
        <v>20</v>
      </c>
      <c r="G37" s="8">
        <f t="shared" si="2"/>
        <v>330</v>
      </c>
      <c r="H37" s="8">
        <v>120</v>
      </c>
      <c r="I37" s="8" t="s">
        <v>10</v>
      </c>
    </row>
    <row r="38" spans="3:9" ht="14.25" customHeight="1" x14ac:dyDescent="0.25">
      <c r="C38" s="14" t="s">
        <v>84</v>
      </c>
      <c r="D38" s="9" t="s">
        <v>85</v>
      </c>
      <c r="E38" s="6" t="s">
        <v>86</v>
      </c>
      <c r="F38" s="6">
        <v>20</v>
      </c>
      <c r="G38" s="8">
        <f t="shared" si="2"/>
        <v>330</v>
      </c>
      <c r="H38" s="8">
        <v>120</v>
      </c>
      <c r="I38" s="8" t="s">
        <v>10</v>
      </c>
    </row>
    <row r="39" spans="3:9" ht="14.25" customHeight="1" x14ac:dyDescent="0.25">
      <c r="C39" s="9" t="s">
        <v>298</v>
      </c>
      <c r="D39" s="9" t="s">
        <v>299</v>
      </c>
      <c r="E39" s="6" t="s">
        <v>65</v>
      </c>
      <c r="F39" s="6">
        <v>20</v>
      </c>
      <c r="G39" s="8">
        <f t="shared" si="2"/>
        <v>330</v>
      </c>
      <c r="H39" s="8">
        <v>120</v>
      </c>
      <c r="I39" s="8" t="s">
        <v>10</v>
      </c>
    </row>
    <row r="40" spans="3:9" ht="14.25" customHeight="1" x14ac:dyDescent="0.25">
      <c r="C40" s="14" t="s">
        <v>87</v>
      </c>
      <c r="D40" s="9" t="s">
        <v>88</v>
      </c>
      <c r="E40" s="6" t="s">
        <v>23</v>
      </c>
      <c r="F40" s="6">
        <v>20</v>
      </c>
      <c r="G40" s="8">
        <f t="shared" si="2"/>
        <v>330</v>
      </c>
      <c r="H40" s="8" t="s">
        <v>10</v>
      </c>
      <c r="I40" s="8" t="s">
        <v>10</v>
      </c>
    </row>
    <row r="41" spans="3:9" ht="14.25" customHeight="1" x14ac:dyDescent="0.25">
      <c r="C41" s="14" t="s">
        <v>89</v>
      </c>
      <c r="D41" s="9" t="s">
        <v>90</v>
      </c>
      <c r="E41" s="6" t="s">
        <v>35</v>
      </c>
      <c r="F41" s="6">
        <v>20</v>
      </c>
      <c r="G41" s="8">
        <f t="shared" si="2"/>
        <v>330</v>
      </c>
      <c r="H41" s="8" t="s">
        <v>10</v>
      </c>
      <c r="I41" s="8" t="s">
        <v>10</v>
      </c>
    </row>
    <row r="42" spans="3:9" ht="14.25" customHeight="1" x14ac:dyDescent="0.25">
      <c r="C42" s="14" t="s">
        <v>91</v>
      </c>
      <c r="D42" s="9" t="s">
        <v>92</v>
      </c>
      <c r="E42" s="6" t="s">
        <v>35</v>
      </c>
      <c r="F42" s="6">
        <v>20</v>
      </c>
      <c r="G42" s="8">
        <f t="shared" si="2"/>
        <v>330</v>
      </c>
      <c r="H42" s="8">
        <v>120</v>
      </c>
      <c r="I42" s="8" t="s">
        <v>10</v>
      </c>
    </row>
    <row r="43" spans="3:9" ht="14.25" customHeight="1" x14ac:dyDescent="0.25">
      <c r="C43" s="15" t="s">
        <v>93</v>
      </c>
      <c r="D43" s="7" t="s">
        <v>94</v>
      </c>
      <c r="E43" s="6" t="s">
        <v>52</v>
      </c>
      <c r="F43" s="6">
        <v>20</v>
      </c>
      <c r="G43" s="8">
        <f t="shared" si="2"/>
        <v>330</v>
      </c>
      <c r="H43" s="8" t="s">
        <v>10</v>
      </c>
      <c r="I43" s="8" t="s">
        <v>10</v>
      </c>
    </row>
    <row r="44" spans="3:9" ht="14.25" customHeight="1" x14ac:dyDescent="0.25">
      <c r="C44" s="14" t="s">
        <v>95</v>
      </c>
      <c r="D44" s="9" t="s">
        <v>96</v>
      </c>
      <c r="E44" s="6" t="s">
        <v>47</v>
      </c>
      <c r="F44" s="6">
        <v>9</v>
      </c>
      <c r="G44" s="8">
        <f t="shared" si="2"/>
        <v>148.5</v>
      </c>
      <c r="H44" s="8">
        <v>54</v>
      </c>
      <c r="I44" s="8" t="s">
        <v>10</v>
      </c>
    </row>
    <row r="45" spans="3:9" ht="14.25" customHeight="1" x14ac:dyDescent="0.25">
      <c r="C45" s="14" t="s">
        <v>97</v>
      </c>
      <c r="D45" s="9" t="s">
        <v>98</v>
      </c>
      <c r="E45" s="6" t="s">
        <v>86</v>
      </c>
      <c r="F45" s="6">
        <v>20</v>
      </c>
      <c r="G45" s="8">
        <f t="shared" si="2"/>
        <v>330</v>
      </c>
      <c r="H45" s="8">
        <v>120</v>
      </c>
      <c r="I45" s="8" t="s">
        <v>10</v>
      </c>
    </row>
    <row r="46" spans="3:9" ht="14.25" customHeight="1" x14ac:dyDescent="0.25">
      <c r="C46" s="6" t="s">
        <v>99</v>
      </c>
      <c r="D46" s="9" t="s">
        <v>100</v>
      </c>
      <c r="E46" s="6" t="s">
        <v>13</v>
      </c>
      <c r="F46" s="6">
        <v>20</v>
      </c>
      <c r="G46" s="8">
        <f t="shared" si="2"/>
        <v>330</v>
      </c>
      <c r="H46" s="8">
        <v>120</v>
      </c>
      <c r="I46" s="8" t="s">
        <v>10</v>
      </c>
    </row>
    <row r="47" spans="3:9" ht="14.25" customHeight="1" x14ac:dyDescent="0.25">
      <c r="C47" s="6" t="s">
        <v>273</v>
      </c>
      <c r="D47" s="35" t="s">
        <v>274</v>
      </c>
      <c r="E47" s="6" t="s">
        <v>35</v>
      </c>
      <c r="F47" s="6">
        <v>20</v>
      </c>
      <c r="G47" s="8">
        <f t="shared" si="2"/>
        <v>330</v>
      </c>
      <c r="H47" s="8">
        <v>120</v>
      </c>
      <c r="I47" s="8"/>
    </row>
    <row r="48" spans="3:9" ht="14.25" customHeight="1" x14ac:dyDescent="0.25">
      <c r="C48" s="6" t="s">
        <v>227</v>
      </c>
      <c r="D48" s="35" t="s">
        <v>228</v>
      </c>
      <c r="E48" s="6" t="s">
        <v>65</v>
      </c>
      <c r="F48" s="6">
        <v>20</v>
      </c>
      <c r="G48" s="8">
        <f t="shared" si="2"/>
        <v>330</v>
      </c>
      <c r="H48" s="8">
        <v>120</v>
      </c>
      <c r="I48" s="8" t="s">
        <v>10</v>
      </c>
    </row>
    <row r="49" spans="3:9" ht="14.25" customHeight="1" x14ac:dyDescent="0.25">
      <c r="C49" s="14" t="s">
        <v>106</v>
      </c>
      <c r="D49" s="9" t="s">
        <v>107</v>
      </c>
      <c r="E49" s="6" t="s">
        <v>47</v>
      </c>
      <c r="F49" s="6">
        <v>20</v>
      </c>
      <c r="G49" s="8">
        <f t="shared" si="2"/>
        <v>330</v>
      </c>
      <c r="H49" s="8">
        <v>120</v>
      </c>
      <c r="I49" s="8" t="s">
        <v>10</v>
      </c>
    </row>
    <row r="50" spans="3:9" ht="14.25" customHeight="1" x14ac:dyDescent="0.25">
      <c r="C50" s="14" t="s">
        <v>108</v>
      </c>
      <c r="D50" s="9" t="s">
        <v>109</v>
      </c>
      <c r="E50" s="6" t="s">
        <v>23</v>
      </c>
      <c r="F50" s="6">
        <v>20</v>
      </c>
      <c r="G50" s="8">
        <f t="shared" si="2"/>
        <v>330</v>
      </c>
      <c r="H50" s="8">
        <v>120</v>
      </c>
      <c r="I50" s="8" t="s">
        <v>10</v>
      </c>
    </row>
    <row r="51" spans="3:9" ht="14.25" customHeight="1" x14ac:dyDescent="0.25">
      <c r="C51" s="9" t="s">
        <v>277</v>
      </c>
      <c r="D51" s="9" t="s">
        <v>278</v>
      </c>
      <c r="E51" s="6" t="s">
        <v>9</v>
      </c>
      <c r="F51" s="6">
        <v>23</v>
      </c>
      <c r="G51" s="8">
        <f t="shared" si="2"/>
        <v>379.5</v>
      </c>
      <c r="H51" s="8">
        <v>120</v>
      </c>
      <c r="I51" s="8" t="s">
        <v>10</v>
      </c>
    </row>
    <row r="52" spans="3:9" ht="14.25" customHeight="1" x14ac:dyDescent="0.25">
      <c r="C52" s="14" t="s">
        <v>112</v>
      </c>
      <c r="D52" s="9" t="s">
        <v>113</v>
      </c>
      <c r="E52" s="6" t="s">
        <v>52</v>
      </c>
      <c r="F52" s="6">
        <v>14</v>
      </c>
      <c r="G52" s="8">
        <f t="shared" si="2"/>
        <v>231</v>
      </c>
      <c r="H52" s="8">
        <v>84</v>
      </c>
      <c r="I52" s="8" t="s">
        <v>10</v>
      </c>
    </row>
    <row r="53" spans="3:9" ht="14.25" customHeight="1" x14ac:dyDescent="0.25">
      <c r="C53" s="6" t="s">
        <v>324</v>
      </c>
      <c r="D53" s="35" t="s">
        <v>334</v>
      </c>
      <c r="E53" s="6" t="s">
        <v>326</v>
      </c>
      <c r="F53" s="6">
        <v>22</v>
      </c>
      <c r="G53" s="8">
        <f t="shared" si="2"/>
        <v>363</v>
      </c>
      <c r="H53" s="8" t="s">
        <v>10</v>
      </c>
      <c r="I53" s="6"/>
    </row>
    <row r="54" spans="3:9" ht="14.25" customHeight="1" x14ac:dyDescent="0.25">
      <c r="C54" s="6" t="s">
        <v>239</v>
      </c>
      <c r="D54" s="35" t="s">
        <v>240</v>
      </c>
      <c r="E54" s="6" t="s">
        <v>143</v>
      </c>
      <c r="F54" s="6">
        <v>20</v>
      </c>
      <c r="G54" s="8">
        <f t="shared" si="2"/>
        <v>330</v>
      </c>
      <c r="H54" s="8" t="s">
        <v>10</v>
      </c>
      <c r="I54" s="8" t="s">
        <v>10</v>
      </c>
    </row>
    <row r="55" spans="3:9" ht="14.25" customHeight="1" x14ac:dyDescent="0.25">
      <c r="C55" s="14" t="s">
        <v>114</v>
      </c>
      <c r="D55" s="9" t="s">
        <v>115</v>
      </c>
      <c r="E55" s="6" t="s">
        <v>143</v>
      </c>
      <c r="F55" s="6">
        <v>20</v>
      </c>
      <c r="G55" s="8">
        <f t="shared" si="2"/>
        <v>330</v>
      </c>
      <c r="H55" s="8">
        <v>120</v>
      </c>
      <c r="I55" s="8" t="s">
        <v>10</v>
      </c>
    </row>
    <row r="56" spans="3:9" ht="14.25" customHeight="1" x14ac:dyDescent="0.25">
      <c r="C56" s="6" t="s">
        <v>314</v>
      </c>
      <c r="D56" s="35" t="s">
        <v>335</v>
      </c>
      <c r="E56" s="6" t="s">
        <v>9</v>
      </c>
      <c r="F56" s="6">
        <v>22</v>
      </c>
      <c r="G56" s="8">
        <f t="shared" si="2"/>
        <v>363</v>
      </c>
      <c r="H56" s="65" t="s">
        <v>10</v>
      </c>
      <c r="I56" s="9"/>
    </row>
    <row r="57" spans="3:9" ht="14.25" customHeight="1" x14ac:dyDescent="0.25">
      <c r="C57" s="14" t="s">
        <v>118</v>
      </c>
      <c r="D57" s="9" t="s">
        <v>119</v>
      </c>
      <c r="E57" s="6" t="s">
        <v>9</v>
      </c>
      <c r="F57" s="6">
        <v>23</v>
      </c>
      <c r="G57" s="8">
        <f t="shared" si="2"/>
        <v>379.5</v>
      </c>
      <c r="H57" s="8">
        <v>120</v>
      </c>
      <c r="I57" s="8" t="s">
        <v>10</v>
      </c>
    </row>
    <row r="58" spans="3:9" ht="14.25" customHeight="1" x14ac:dyDescent="0.25">
      <c r="C58" s="6" t="s">
        <v>120</v>
      </c>
      <c r="D58" s="9" t="s">
        <v>121</v>
      </c>
      <c r="E58" s="6" t="s">
        <v>52</v>
      </c>
      <c r="F58" s="6">
        <v>20</v>
      </c>
      <c r="G58" s="8">
        <f t="shared" si="2"/>
        <v>330</v>
      </c>
      <c r="H58" s="8">
        <v>120</v>
      </c>
      <c r="I58" s="8" t="s">
        <v>10</v>
      </c>
    </row>
    <row r="59" spans="3:9" ht="14.25" customHeight="1" x14ac:dyDescent="0.25">
      <c r="C59" s="14" t="s">
        <v>122</v>
      </c>
      <c r="D59" s="9" t="s">
        <v>123</v>
      </c>
      <c r="E59" s="6" t="s">
        <v>143</v>
      </c>
      <c r="F59" s="6">
        <v>20</v>
      </c>
      <c r="G59" s="8">
        <f t="shared" si="2"/>
        <v>330</v>
      </c>
      <c r="H59" s="8">
        <v>120</v>
      </c>
      <c r="I59" s="8" t="s">
        <v>10</v>
      </c>
    </row>
    <row r="60" spans="3:9" ht="14.25" customHeight="1" x14ac:dyDescent="0.25">
      <c r="C60" s="9" t="s">
        <v>306</v>
      </c>
      <c r="D60" s="9" t="s">
        <v>307</v>
      </c>
      <c r="E60" s="6" t="s">
        <v>40</v>
      </c>
      <c r="F60" s="6">
        <v>20</v>
      </c>
      <c r="G60" s="8">
        <f t="shared" si="2"/>
        <v>330</v>
      </c>
      <c r="H60" s="8">
        <v>120</v>
      </c>
      <c r="I60" s="8" t="s">
        <v>10</v>
      </c>
    </row>
    <row r="61" spans="3:9" ht="14.25" customHeight="1" x14ac:dyDescent="0.25">
      <c r="C61" s="23" t="s">
        <v>124</v>
      </c>
      <c r="D61" s="9" t="s">
        <v>125</v>
      </c>
      <c r="E61" s="6" t="s">
        <v>86</v>
      </c>
      <c r="F61" s="6">
        <v>20</v>
      </c>
      <c r="G61" s="8">
        <f t="shared" si="2"/>
        <v>330</v>
      </c>
      <c r="H61" s="8">
        <v>120</v>
      </c>
      <c r="I61" s="8" t="s">
        <v>10</v>
      </c>
    </row>
    <row r="62" spans="3:9" ht="14.25" customHeight="1" x14ac:dyDescent="0.25">
      <c r="C62" s="12">
        <v>4912836443</v>
      </c>
      <c r="D62" s="9" t="s">
        <v>128</v>
      </c>
      <c r="E62" s="6" t="s">
        <v>86</v>
      </c>
      <c r="F62" s="6">
        <v>20</v>
      </c>
      <c r="G62" s="8">
        <f t="shared" si="2"/>
        <v>330</v>
      </c>
      <c r="H62" s="8">
        <v>120</v>
      </c>
      <c r="I62" s="8" t="s">
        <v>10</v>
      </c>
    </row>
    <row r="63" spans="3:9" ht="14.25" customHeight="1" x14ac:dyDescent="0.25">
      <c r="C63" s="6" t="s">
        <v>242</v>
      </c>
      <c r="D63" s="35" t="s">
        <v>243</v>
      </c>
      <c r="E63" s="6" t="s">
        <v>40</v>
      </c>
      <c r="F63" s="6">
        <v>20</v>
      </c>
      <c r="G63" s="8">
        <f t="shared" si="2"/>
        <v>330</v>
      </c>
      <c r="H63" s="8">
        <v>120</v>
      </c>
      <c r="I63" s="6" t="s">
        <v>10</v>
      </c>
    </row>
    <row r="64" spans="3:9" ht="14.25" customHeight="1" x14ac:dyDescent="0.25">
      <c r="C64" s="9" t="s">
        <v>293</v>
      </c>
      <c r="D64" s="9" t="s">
        <v>294</v>
      </c>
      <c r="E64" s="6" t="s">
        <v>65</v>
      </c>
      <c r="F64" s="6">
        <v>20</v>
      </c>
      <c r="G64" s="8">
        <f t="shared" si="2"/>
        <v>330</v>
      </c>
      <c r="H64" s="8">
        <v>120</v>
      </c>
      <c r="I64" s="8" t="s">
        <v>10</v>
      </c>
    </row>
    <row r="65" spans="3:9" ht="14.25" customHeight="1" x14ac:dyDescent="0.25">
      <c r="C65" s="14" t="s">
        <v>336</v>
      </c>
      <c r="D65" s="9" t="s">
        <v>132</v>
      </c>
      <c r="E65" s="6" t="s">
        <v>143</v>
      </c>
      <c r="F65" s="6">
        <v>20</v>
      </c>
      <c r="G65" s="8">
        <f t="shared" si="2"/>
        <v>330</v>
      </c>
      <c r="H65" s="8">
        <v>120</v>
      </c>
      <c r="I65" s="8" t="s">
        <v>10</v>
      </c>
    </row>
    <row r="66" spans="3:9" ht="14.25" customHeight="1" x14ac:dyDescent="0.25">
      <c r="C66" s="14" t="s">
        <v>135</v>
      </c>
      <c r="D66" s="9" t="s">
        <v>136</v>
      </c>
      <c r="E66" s="6" t="s">
        <v>9</v>
      </c>
      <c r="F66" s="6">
        <v>23</v>
      </c>
      <c r="G66" s="8">
        <f t="shared" si="2"/>
        <v>379.5</v>
      </c>
      <c r="H66" s="8">
        <v>120</v>
      </c>
      <c r="I66" s="8" t="s">
        <v>10</v>
      </c>
    </row>
    <row r="67" spans="3:9" ht="14.25" customHeight="1" x14ac:dyDescent="0.25">
      <c r="C67" s="14" t="s">
        <v>137</v>
      </c>
      <c r="D67" s="9" t="s">
        <v>138</v>
      </c>
      <c r="E67" s="6" t="s">
        <v>29</v>
      </c>
      <c r="F67" s="6">
        <v>20</v>
      </c>
      <c r="G67" s="8">
        <f t="shared" si="2"/>
        <v>330</v>
      </c>
      <c r="H67" s="8">
        <v>120</v>
      </c>
      <c r="I67" s="8" t="s">
        <v>10</v>
      </c>
    </row>
    <row r="68" spans="3:9" ht="14.25" customHeight="1" x14ac:dyDescent="0.25">
      <c r="C68" s="14" t="s">
        <v>139</v>
      </c>
      <c r="D68" s="9" t="s">
        <v>140</v>
      </c>
      <c r="E68" s="6" t="s">
        <v>29</v>
      </c>
      <c r="F68" s="6">
        <v>20</v>
      </c>
      <c r="G68" s="8">
        <f t="shared" si="2"/>
        <v>330</v>
      </c>
      <c r="H68" s="8">
        <v>120</v>
      </c>
      <c r="I68" s="8" t="s">
        <v>10</v>
      </c>
    </row>
    <row r="69" spans="3:9" ht="14.25" customHeight="1" x14ac:dyDescent="0.25">
      <c r="C69" s="6" t="s">
        <v>141</v>
      </c>
      <c r="D69" s="9" t="s">
        <v>142</v>
      </c>
      <c r="E69" s="6" t="s">
        <v>143</v>
      </c>
      <c r="F69" s="6">
        <v>20</v>
      </c>
      <c r="G69" s="8">
        <f t="shared" si="2"/>
        <v>330</v>
      </c>
      <c r="H69" s="8">
        <v>120</v>
      </c>
      <c r="I69" s="8" t="s">
        <v>10</v>
      </c>
    </row>
    <row r="70" spans="3:9" ht="14.25" customHeight="1" x14ac:dyDescent="0.25">
      <c r="C70" s="6" t="s">
        <v>144</v>
      </c>
      <c r="D70" s="9" t="s">
        <v>145</v>
      </c>
      <c r="E70" s="6" t="s">
        <v>143</v>
      </c>
      <c r="F70" s="6">
        <v>20</v>
      </c>
      <c r="G70" s="8">
        <f t="shared" si="2"/>
        <v>330</v>
      </c>
      <c r="H70" s="8">
        <v>120</v>
      </c>
      <c r="I70" s="8" t="s">
        <v>10</v>
      </c>
    </row>
    <row r="71" spans="3:9" ht="14.25" customHeight="1" x14ac:dyDescent="0.25">
      <c r="C71" s="9" t="s">
        <v>285</v>
      </c>
      <c r="D71" s="9" t="s">
        <v>286</v>
      </c>
      <c r="E71" s="6" t="s">
        <v>29</v>
      </c>
      <c r="F71" s="6">
        <v>20</v>
      </c>
      <c r="G71" s="8">
        <f t="shared" si="2"/>
        <v>330</v>
      </c>
      <c r="H71" s="8">
        <v>120</v>
      </c>
      <c r="I71" s="8" t="s">
        <v>10</v>
      </c>
    </row>
    <row r="72" spans="3:9" ht="14.25" customHeight="1" x14ac:dyDescent="0.25">
      <c r="C72" s="14" t="s">
        <v>146</v>
      </c>
      <c r="D72" s="9" t="s">
        <v>147</v>
      </c>
      <c r="E72" s="6" t="s">
        <v>52</v>
      </c>
      <c r="F72" s="6">
        <v>20</v>
      </c>
      <c r="G72" s="8">
        <f t="shared" si="2"/>
        <v>330</v>
      </c>
      <c r="H72" s="8">
        <v>120</v>
      </c>
      <c r="I72" s="8" t="s">
        <v>10</v>
      </c>
    </row>
    <row r="73" spans="3:9" ht="14.25" customHeight="1" x14ac:dyDescent="0.25">
      <c r="C73" s="14" t="s">
        <v>148</v>
      </c>
      <c r="D73" s="9" t="s">
        <v>149</v>
      </c>
      <c r="E73" s="6" t="s">
        <v>103</v>
      </c>
      <c r="F73" s="6">
        <v>20</v>
      </c>
      <c r="G73" s="8">
        <f t="shared" si="2"/>
        <v>330</v>
      </c>
      <c r="H73" s="8">
        <v>120</v>
      </c>
      <c r="I73" s="8" t="s">
        <v>10</v>
      </c>
    </row>
    <row r="74" spans="3:9" ht="14.25" customHeight="1" x14ac:dyDescent="0.25">
      <c r="C74" s="6" t="s">
        <v>150</v>
      </c>
      <c r="D74" s="9" t="s">
        <v>151</v>
      </c>
      <c r="E74" s="6" t="s">
        <v>32</v>
      </c>
      <c r="F74" s="6">
        <v>20</v>
      </c>
      <c r="G74" s="8">
        <f t="shared" si="2"/>
        <v>330</v>
      </c>
      <c r="H74" s="8">
        <v>120</v>
      </c>
      <c r="I74" s="8" t="s">
        <v>10</v>
      </c>
    </row>
    <row r="75" spans="3:9" ht="14.25" customHeight="1" x14ac:dyDescent="0.25">
      <c r="C75" s="6" t="s">
        <v>152</v>
      </c>
      <c r="D75" s="9" t="s">
        <v>153</v>
      </c>
      <c r="E75" s="6" t="s">
        <v>13</v>
      </c>
      <c r="F75" s="6">
        <v>20</v>
      </c>
      <c r="G75" s="8">
        <f t="shared" si="2"/>
        <v>330</v>
      </c>
      <c r="H75" s="8">
        <v>120</v>
      </c>
      <c r="I75" s="8" t="s">
        <v>10</v>
      </c>
    </row>
    <row r="76" spans="3:9" ht="14.25" customHeight="1" x14ac:dyDescent="0.25">
      <c r="C76" s="6" t="s">
        <v>156</v>
      </c>
      <c r="D76" s="9" t="s">
        <v>157</v>
      </c>
      <c r="E76" s="6" t="s">
        <v>16</v>
      </c>
      <c r="F76" s="6">
        <v>15</v>
      </c>
      <c r="G76" s="8">
        <f t="shared" si="2"/>
        <v>247.5</v>
      </c>
      <c r="H76" s="8">
        <v>90</v>
      </c>
      <c r="I76" s="8" t="s">
        <v>10</v>
      </c>
    </row>
    <row r="77" spans="3:9" ht="14.25" customHeight="1" x14ac:dyDescent="0.25">
      <c r="C77" s="14" t="s">
        <v>158</v>
      </c>
      <c r="D77" s="9" t="s">
        <v>159</v>
      </c>
      <c r="E77" s="6" t="s">
        <v>29</v>
      </c>
      <c r="F77" s="6">
        <v>20</v>
      </c>
      <c r="G77" s="8">
        <f t="shared" si="2"/>
        <v>330</v>
      </c>
      <c r="H77" s="8">
        <v>120</v>
      </c>
      <c r="I77" s="8" t="s">
        <v>10</v>
      </c>
    </row>
    <row r="78" spans="3:9" ht="14.25" customHeight="1" x14ac:dyDescent="0.25">
      <c r="C78" s="6" t="s">
        <v>160</v>
      </c>
      <c r="D78" s="9" t="s">
        <v>161</v>
      </c>
      <c r="E78" s="6" t="s">
        <v>9</v>
      </c>
      <c r="F78" s="6">
        <v>23</v>
      </c>
      <c r="G78" s="8">
        <f t="shared" si="2"/>
        <v>379.5</v>
      </c>
      <c r="H78" s="8">
        <v>120</v>
      </c>
      <c r="I78" s="8" t="s">
        <v>10</v>
      </c>
    </row>
    <row r="79" spans="3:9" ht="14.25" customHeight="1" x14ac:dyDescent="0.25">
      <c r="C79" s="14" t="s">
        <v>162</v>
      </c>
      <c r="D79" s="9" t="s">
        <v>163</v>
      </c>
      <c r="E79" s="6" t="s">
        <v>103</v>
      </c>
      <c r="F79" s="6">
        <v>20</v>
      </c>
      <c r="G79" s="8">
        <f t="shared" si="2"/>
        <v>330</v>
      </c>
      <c r="H79" s="8" t="s">
        <v>10</v>
      </c>
      <c r="I79" s="8" t="s">
        <v>10</v>
      </c>
    </row>
    <row r="80" spans="3:9" ht="14.25" customHeight="1" x14ac:dyDescent="0.25">
      <c r="C80" s="14" t="s">
        <v>164</v>
      </c>
      <c r="D80" s="9" t="s">
        <v>165</v>
      </c>
      <c r="E80" s="6" t="s">
        <v>29</v>
      </c>
      <c r="F80" s="6">
        <v>20</v>
      </c>
      <c r="G80" s="8">
        <f t="shared" si="2"/>
        <v>330</v>
      </c>
      <c r="H80" s="8">
        <v>120</v>
      </c>
      <c r="I80" s="8" t="s">
        <v>10</v>
      </c>
    </row>
    <row r="81" spans="3:9" ht="14.25" customHeight="1" x14ac:dyDescent="0.25">
      <c r="C81" s="9" t="s">
        <v>290</v>
      </c>
      <c r="D81" s="9" t="s">
        <v>291</v>
      </c>
      <c r="E81" s="6" t="s">
        <v>32</v>
      </c>
      <c r="F81" s="6">
        <v>20</v>
      </c>
      <c r="G81" s="8">
        <f t="shared" si="2"/>
        <v>330</v>
      </c>
      <c r="H81" s="8">
        <v>120</v>
      </c>
      <c r="I81" s="8" t="s">
        <v>10</v>
      </c>
    </row>
    <row r="82" spans="3:9" ht="14.25" customHeight="1" x14ac:dyDescent="0.25">
      <c r="C82" s="6" t="s">
        <v>221</v>
      </c>
      <c r="D82" s="35" t="s">
        <v>222</v>
      </c>
      <c r="E82" s="6" t="s">
        <v>32</v>
      </c>
      <c r="F82" s="6">
        <v>20</v>
      </c>
      <c r="G82" s="8">
        <f t="shared" si="2"/>
        <v>330</v>
      </c>
      <c r="H82" s="8" t="s">
        <v>10</v>
      </c>
      <c r="I82" s="8" t="s">
        <v>10</v>
      </c>
    </row>
    <row r="83" spans="3:9" ht="14.25" customHeight="1" x14ac:dyDescent="0.25">
      <c r="C83" s="6" t="s">
        <v>260</v>
      </c>
      <c r="D83" s="9" t="s">
        <v>261</v>
      </c>
      <c r="E83" s="6" t="s">
        <v>23</v>
      </c>
      <c r="F83" s="6">
        <v>20</v>
      </c>
      <c r="G83" s="8">
        <f t="shared" si="2"/>
        <v>330</v>
      </c>
      <c r="H83" s="8">
        <v>120</v>
      </c>
      <c r="I83" s="6" t="s">
        <v>10</v>
      </c>
    </row>
    <row r="84" spans="3:9" ht="14.25" customHeight="1" x14ac:dyDescent="0.25">
      <c r="C84" s="6" t="s">
        <v>262</v>
      </c>
      <c r="D84" s="9" t="s">
        <v>263</v>
      </c>
      <c r="E84" s="6" t="s">
        <v>23</v>
      </c>
      <c r="F84" s="6">
        <v>20</v>
      </c>
      <c r="G84" s="8">
        <f t="shared" si="2"/>
        <v>330</v>
      </c>
      <c r="H84" s="8">
        <v>120</v>
      </c>
      <c r="I84" s="6" t="s">
        <v>10</v>
      </c>
    </row>
    <row r="85" spans="3:9" ht="14.25" customHeight="1" x14ac:dyDescent="0.25">
      <c r="C85" s="6" t="s">
        <v>170</v>
      </c>
      <c r="D85" s="9" t="s">
        <v>171</v>
      </c>
      <c r="E85" s="6" t="s">
        <v>52</v>
      </c>
      <c r="F85" s="6">
        <v>20</v>
      </c>
      <c r="G85" s="8">
        <f t="shared" si="2"/>
        <v>330</v>
      </c>
      <c r="H85" s="8">
        <v>120</v>
      </c>
      <c r="I85" s="8" t="s">
        <v>10</v>
      </c>
    </row>
    <row r="86" spans="3:9" ht="14.25" customHeight="1" x14ac:dyDescent="0.25">
      <c r="C86" s="14" t="s">
        <v>175</v>
      </c>
      <c r="D86" s="9" t="s">
        <v>176</v>
      </c>
      <c r="E86" s="6" t="s">
        <v>9</v>
      </c>
      <c r="F86" s="6">
        <v>11</v>
      </c>
      <c r="G86" s="8">
        <f t="shared" si="2"/>
        <v>181.5</v>
      </c>
      <c r="H86" s="8">
        <v>66</v>
      </c>
      <c r="I86" s="8" t="s">
        <v>10</v>
      </c>
    </row>
    <row r="87" spans="3:9" ht="14.25" customHeight="1" x14ac:dyDescent="0.25">
      <c r="C87" s="14" t="s">
        <v>177</v>
      </c>
      <c r="D87" s="9" t="s">
        <v>178</v>
      </c>
      <c r="E87" s="6" t="s">
        <v>9</v>
      </c>
      <c r="F87" s="6">
        <v>22</v>
      </c>
      <c r="G87" s="8">
        <f t="shared" si="2"/>
        <v>363</v>
      </c>
      <c r="H87" s="8">
        <v>120</v>
      </c>
      <c r="I87" s="8" t="s">
        <v>10</v>
      </c>
    </row>
    <row r="88" spans="3:9" ht="14.25" customHeight="1" x14ac:dyDescent="0.25">
      <c r="C88" s="6" t="s">
        <v>181</v>
      </c>
      <c r="D88" s="9" t="s">
        <v>182</v>
      </c>
      <c r="E88" s="6" t="s">
        <v>23</v>
      </c>
      <c r="F88" s="6">
        <v>20</v>
      </c>
      <c r="G88" s="8">
        <f t="shared" si="2"/>
        <v>330</v>
      </c>
      <c r="H88" s="8">
        <v>120</v>
      </c>
      <c r="I88" s="8" t="s">
        <v>10</v>
      </c>
    </row>
    <row r="89" spans="3:9" ht="14.25" customHeight="1" x14ac:dyDescent="0.25">
      <c r="C89" s="6" t="s">
        <v>183</v>
      </c>
      <c r="D89" s="9" t="s">
        <v>184</v>
      </c>
      <c r="E89" s="6" t="s">
        <v>32</v>
      </c>
      <c r="F89" s="6">
        <v>20</v>
      </c>
      <c r="G89" s="8">
        <f t="shared" si="2"/>
        <v>330</v>
      </c>
      <c r="H89" s="8">
        <v>120</v>
      </c>
      <c r="I89" s="8" t="s">
        <v>10</v>
      </c>
    </row>
    <row r="90" spans="3:9" ht="14.25" customHeight="1" x14ac:dyDescent="0.25">
      <c r="C90" s="14" t="s">
        <v>187</v>
      </c>
      <c r="D90" s="9" t="s">
        <v>188</v>
      </c>
      <c r="E90" s="6" t="s">
        <v>29</v>
      </c>
      <c r="F90" s="6">
        <v>20</v>
      </c>
      <c r="G90" s="8">
        <f t="shared" si="2"/>
        <v>330</v>
      </c>
      <c r="H90" s="8" t="s">
        <v>10</v>
      </c>
      <c r="I90" s="8" t="s">
        <v>10</v>
      </c>
    </row>
    <row r="91" spans="3:9" ht="14.25" customHeight="1" x14ac:dyDescent="0.25">
      <c r="C91" s="14" t="s">
        <v>189</v>
      </c>
      <c r="D91" s="9" t="s">
        <v>190</v>
      </c>
      <c r="E91" s="6" t="s">
        <v>16</v>
      </c>
      <c r="F91" s="6">
        <v>20</v>
      </c>
      <c r="G91" s="8">
        <f t="shared" si="2"/>
        <v>330</v>
      </c>
      <c r="H91" s="8">
        <v>120</v>
      </c>
      <c r="I91" s="8" t="s">
        <v>10</v>
      </c>
    </row>
    <row r="92" spans="3:9" ht="14.25" customHeight="1" x14ac:dyDescent="0.25">
      <c r="C92" s="6" t="s">
        <v>322</v>
      </c>
      <c r="D92" s="35" t="s">
        <v>337</v>
      </c>
      <c r="E92" s="6" t="s">
        <v>65</v>
      </c>
      <c r="F92" s="6">
        <v>20</v>
      </c>
      <c r="G92" s="8">
        <f t="shared" si="2"/>
        <v>330</v>
      </c>
      <c r="H92" s="9" t="s">
        <v>10</v>
      </c>
      <c r="I92" s="9"/>
    </row>
    <row r="93" spans="3:9" ht="14.25" customHeight="1" x14ac:dyDescent="0.25">
      <c r="C93" s="14" t="s">
        <v>191</v>
      </c>
      <c r="D93" s="9" t="s">
        <v>192</v>
      </c>
      <c r="E93" s="6" t="s">
        <v>47</v>
      </c>
      <c r="F93" s="6">
        <v>20</v>
      </c>
      <c r="G93" s="8">
        <f t="shared" si="2"/>
        <v>330</v>
      </c>
      <c r="H93" s="8">
        <v>120</v>
      </c>
      <c r="I93" s="8" t="s">
        <v>10</v>
      </c>
    </row>
    <row r="94" spans="3:9" ht="14.25" customHeight="1" x14ac:dyDescent="0.25">
      <c r="C94" s="14" t="s">
        <v>193</v>
      </c>
      <c r="D94" s="9" t="s">
        <v>194</v>
      </c>
      <c r="E94" s="6" t="s">
        <v>52</v>
      </c>
      <c r="F94" s="6">
        <v>20</v>
      </c>
      <c r="G94" s="8">
        <f t="shared" si="2"/>
        <v>330</v>
      </c>
      <c r="H94" s="8" t="s">
        <v>10</v>
      </c>
      <c r="I94" s="8" t="s">
        <v>10</v>
      </c>
    </row>
    <row r="95" spans="3:9" ht="14.25" customHeight="1" x14ac:dyDescent="0.25">
      <c r="C95" s="14" t="s">
        <v>195</v>
      </c>
      <c r="D95" s="9" t="s">
        <v>196</v>
      </c>
      <c r="E95" s="6" t="s">
        <v>86</v>
      </c>
      <c r="F95" s="6">
        <v>20</v>
      </c>
      <c r="G95" s="8">
        <f t="shared" si="2"/>
        <v>330</v>
      </c>
      <c r="H95" s="8">
        <v>120</v>
      </c>
      <c r="I95" s="8" t="s">
        <v>10</v>
      </c>
    </row>
    <row r="96" spans="3:9" ht="14.25" customHeight="1" x14ac:dyDescent="0.25">
      <c r="C96" s="6" t="s">
        <v>197</v>
      </c>
      <c r="D96" s="9" t="s">
        <v>198</v>
      </c>
      <c r="E96" s="6" t="s">
        <v>52</v>
      </c>
      <c r="F96" s="6">
        <v>20</v>
      </c>
      <c r="G96" s="8">
        <f t="shared" si="2"/>
        <v>330</v>
      </c>
      <c r="H96" s="8">
        <v>120</v>
      </c>
      <c r="I96" s="8" t="s">
        <v>10</v>
      </c>
    </row>
    <row r="97" spans="3:9" ht="14.25" customHeight="1" x14ac:dyDescent="0.25">
      <c r="C97" s="6" t="s">
        <v>252</v>
      </c>
      <c r="D97" s="9" t="s">
        <v>253</v>
      </c>
      <c r="E97" s="6" t="s">
        <v>103</v>
      </c>
      <c r="F97" s="6">
        <v>20</v>
      </c>
      <c r="G97" s="8">
        <f t="shared" si="2"/>
        <v>330</v>
      </c>
      <c r="H97" s="8">
        <v>120</v>
      </c>
      <c r="I97" s="6" t="s">
        <v>10</v>
      </c>
    </row>
    <row r="98" spans="3:9" ht="14.25" customHeight="1" x14ac:dyDescent="0.25">
      <c r="C98" s="6" t="s">
        <v>199</v>
      </c>
      <c r="D98" s="9" t="s">
        <v>200</v>
      </c>
      <c r="E98" s="6" t="s">
        <v>9</v>
      </c>
      <c r="F98" s="6">
        <v>22</v>
      </c>
      <c r="G98" s="8">
        <f t="shared" si="2"/>
        <v>363</v>
      </c>
      <c r="H98" s="8">
        <v>120</v>
      </c>
      <c r="I98" s="8" t="s">
        <v>10</v>
      </c>
    </row>
    <row r="99" spans="3:9" ht="14.25" customHeight="1" x14ac:dyDescent="0.25">
      <c r="C99" s="6" t="s">
        <v>201</v>
      </c>
      <c r="D99" s="9" t="s">
        <v>202</v>
      </c>
      <c r="E99" s="6" t="s">
        <v>9</v>
      </c>
      <c r="F99" s="6">
        <v>22</v>
      </c>
      <c r="G99" s="8">
        <f t="shared" si="2"/>
        <v>363</v>
      </c>
      <c r="H99" s="8" t="s">
        <v>10</v>
      </c>
      <c r="I99" s="8" t="s">
        <v>10</v>
      </c>
    </row>
    <row r="100" spans="3:9" ht="14.25" customHeight="1" x14ac:dyDescent="0.25">
      <c r="C100" s="14" t="s">
        <v>203</v>
      </c>
      <c r="D100" s="9" t="s">
        <v>204</v>
      </c>
      <c r="E100" s="6" t="s">
        <v>52</v>
      </c>
      <c r="F100" s="6">
        <v>20</v>
      </c>
      <c r="G100" s="8">
        <f t="shared" si="2"/>
        <v>330</v>
      </c>
      <c r="H100" s="8">
        <v>120</v>
      </c>
      <c r="I100" s="8" t="s">
        <v>10</v>
      </c>
    </row>
    <row r="101" spans="3:9" ht="14.25" customHeight="1" x14ac:dyDescent="0.25">
      <c r="C101" s="6" t="s">
        <v>205</v>
      </c>
      <c r="D101" s="9" t="s">
        <v>206</v>
      </c>
      <c r="E101" s="6" t="s">
        <v>32</v>
      </c>
      <c r="F101" s="6">
        <v>20</v>
      </c>
      <c r="G101" s="8">
        <f t="shared" si="2"/>
        <v>330</v>
      </c>
      <c r="H101" s="8" t="s">
        <v>10</v>
      </c>
      <c r="I101" s="8" t="s">
        <v>10</v>
      </c>
    </row>
    <row r="102" spans="3:9" ht="14.25" customHeight="1" x14ac:dyDescent="0.25">
      <c r="C102" s="12" t="s">
        <v>207</v>
      </c>
      <c r="D102" s="13" t="s">
        <v>208</v>
      </c>
      <c r="E102" s="6" t="s">
        <v>174</v>
      </c>
      <c r="F102" s="6">
        <v>20</v>
      </c>
      <c r="G102" s="8">
        <f t="shared" si="2"/>
        <v>330</v>
      </c>
      <c r="H102" s="8">
        <v>120</v>
      </c>
      <c r="I102" s="8" t="s">
        <v>10</v>
      </c>
    </row>
    <row r="103" spans="3:9" ht="14.25" customHeight="1" x14ac:dyDescent="0.25">
      <c r="C103" s="14" t="s">
        <v>209</v>
      </c>
      <c r="D103" s="9" t="s">
        <v>210</v>
      </c>
      <c r="E103" s="6" t="s">
        <v>23</v>
      </c>
      <c r="F103" s="6">
        <v>20</v>
      </c>
      <c r="G103" s="8">
        <f t="shared" si="2"/>
        <v>330</v>
      </c>
      <c r="H103" s="8">
        <v>120</v>
      </c>
      <c r="I103" s="8" t="s">
        <v>10</v>
      </c>
    </row>
    <row r="104" spans="3:9" ht="14.25" customHeight="1" x14ac:dyDescent="0.25">
      <c r="C104" s="6" t="s">
        <v>211</v>
      </c>
      <c r="D104" s="9" t="s">
        <v>212</v>
      </c>
      <c r="E104" s="6" t="s">
        <v>16</v>
      </c>
      <c r="F104" s="6">
        <v>20</v>
      </c>
      <c r="G104" s="8">
        <f t="shared" si="2"/>
        <v>330</v>
      </c>
      <c r="H104" s="8">
        <v>120</v>
      </c>
      <c r="I104" s="8" t="s">
        <v>10</v>
      </c>
    </row>
    <row r="105" spans="3:9" ht="14.25" customHeight="1" x14ac:dyDescent="0.25">
      <c r="C105" s="6" t="s">
        <v>258</v>
      </c>
      <c r="D105" s="9" t="s">
        <v>259</v>
      </c>
      <c r="E105" s="6" t="s">
        <v>23</v>
      </c>
      <c r="F105" s="6">
        <v>20</v>
      </c>
      <c r="G105" s="8">
        <f t="shared" si="2"/>
        <v>330</v>
      </c>
      <c r="H105" s="8" t="s">
        <v>10</v>
      </c>
      <c r="I105" s="6"/>
    </row>
    <row r="106" spans="3:9" ht="14.25" customHeight="1" x14ac:dyDescent="0.25">
      <c r="C106" s="14" t="s">
        <v>213</v>
      </c>
      <c r="D106" s="9" t="s">
        <v>214</v>
      </c>
      <c r="E106" s="6" t="s">
        <v>13</v>
      </c>
      <c r="F106" s="6">
        <v>20</v>
      </c>
      <c r="G106" s="8">
        <f t="shared" si="2"/>
        <v>330</v>
      </c>
      <c r="H106" s="8">
        <v>120</v>
      </c>
      <c r="I106" s="8" t="s">
        <v>10</v>
      </c>
    </row>
    <row r="107" spans="3:9" ht="14.25" customHeight="1" x14ac:dyDescent="0.25">
      <c r="C107" s="6" t="s">
        <v>254</v>
      </c>
      <c r="D107" s="9" t="s">
        <v>255</v>
      </c>
      <c r="E107" s="6" t="s">
        <v>13</v>
      </c>
      <c r="F107" s="6">
        <v>20</v>
      </c>
      <c r="G107" s="8">
        <f t="shared" si="2"/>
        <v>330</v>
      </c>
      <c r="H107" s="8" t="s">
        <v>10</v>
      </c>
      <c r="I107" s="6" t="s">
        <v>10</v>
      </c>
    </row>
    <row r="108" spans="3:9" ht="14.25" customHeight="1" x14ac:dyDescent="0.25">
      <c r="C108" s="6" t="s">
        <v>338</v>
      </c>
      <c r="D108" s="9" t="s">
        <v>339</v>
      </c>
      <c r="E108" s="6" t="s">
        <v>23</v>
      </c>
      <c r="F108" s="6">
        <v>20</v>
      </c>
      <c r="G108" s="8">
        <f t="shared" si="2"/>
        <v>330</v>
      </c>
      <c r="H108" s="8">
        <v>120</v>
      </c>
      <c r="I108" s="6"/>
    </row>
    <row r="109" spans="3:9" ht="14.25" customHeight="1" x14ac:dyDescent="0.25">
      <c r="C109" s="58"/>
      <c r="D109" s="58"/>
      <c r="E109" s="58"/>
      <c r="F109" s="59" t="s">
        <v>217</v>
      </c>
      <c r="G109" s="60">
        <f t="shared" ref="G109:H109" si="3">SUM(G3:G108)</f>
        <v>34606.5</v>
      </c>
      <c r="H109" s="60">
        <f t="shared" si="3"/>
        <v>9654</v>
      </c>
      <c r="I109" s="60">
        <f>SUM(I3:I71)</f>
        <v>0</v>
      </c>
    </row>
    <row r="110" spans="3:9" ht="14.25" customHeight="1" x14ac:dyDescent="0.25">
      <c r="G110" s="57"/>
      <c r="H110" s="57"/>
      <c r="I110" s="34"/>
    </row>
    <row r="111" spans="3:9" ht="14.25" customHeight="1" x14ac:dyDescent="0.25">
      <c r="G111" s="57"/>
      <c r="H111" s="57"/>
      <c r="I111" s="34"/>
    </row>
    <row r="112" spans="3:9" ht="14.25" customHeight="1" x14ac:dyDescent="0.25">
      <c r="G112" s="57"/>
      <c r="H112" s="57"/>
      <c r="I112" s="34"/>
    </row>
    <row r="113" spans="7:9" ht="14.25" customHeight="1" x14ac:dyDescent="0.25">
      <c r="G113" s="57"/>
      <c r="H113" s="57"/>
      <c r="I113" s="34"/>
    </row>
    <row r="114" spans="7:9" ht="14.25" customHeight="1" x14ac:dyDescent="0.25">
      <c r="G114" s="57"/>
      <c r="H114" s="57"/>
      <c r="I114" s="34"/>
    </row>
    <row r="115" spans="7:9" ht="14.25" customHeight="1" x14ac:dyDescent="0.25">
      <c r="G115" s="57"/>
      <c r="H115" s="57"/>
      <c r="I115" s="34"/>
    </row>
    <row r="116" spans="7:9" ht="14.25" customHeight="1" x14ac:dyDescent="0.25">
      <c r="G116" s="57"/>
      <c r="H116" s="57"/>
      <c r="I116" s="34"/>
    </row>
    <row r="117" spans="7:9" ht="14.25" customHeight="1" x14ac:dyDescent="0.25">
      <c r="G117" s="57"/>
      <c r="H117" s="57"/>
      <c r="I117" s="34"/>
    </row>
    <row r="118" spans="7:9" ht="14.25" customHeight="1" x14ac:dyDescent="0.25">
      <c r="G118" s="57"/>
      <c r="H118" s="57"/>
      <c r="I118" s="34"/>
    </row>
    <row r="119" spans="7:9" ht="14.25" customHeight="1" x14ac:dyDescent="0.25">
      <c r="G119" s="57"/>
      <c r="H119" s="57"/>
      <c r="I119" s="34"/>
    </row>
    <row r="120" spans="7:9" ht="14.25" customHeight="1" x14ac:dyDescent="0.25">
      <c r="G120" s="57"/>
      <c r="H120" s="57"/>
      <c r="I120" s="34"/>
    </row>
    <row r="121" spans="7:9" ht="14.25" customHeight="1" x14ac:dyDescent="0.25">
      <c r="G121" s="57"/>
      <c r="H121" s="57"/>
      <c r="I121" s="34"/>
    </row>
    <row r="122" spans="7:9" ht="14.25" customHeight="1" x14ac:dyDescent="0.25">
      <c r="G122" s="57"/>
      <c r="H122" s="57"/>
      <c r="I122" s="34"/>
    </row>
    <row r="123" spans="7:9" ht="14.25" customHeight="1" x14ac:dyDescent="0.25">
      <c r="G123" s="57"/>
      <c r="H123" s="57"/>
      <c r="I123" s="34"/>
    </row>
    <row r="124" spans="7:9" ht="14.25" customHeight="1" x14ac:dyDescent="0.25">
      <c r="G124" s="57"/>
      <c r="H124" s="57"/>
      <c r="I124" s="34"/>
    </row>
    <row r="125" spans="7:9" ht="14.25" customHeight="1" x14ac:dyDescent="0.25">
      <c r="G125" s="57"/>
      <c r="H125" s="57"/>
      <c r="I125" s="34"/>
    </row>
    <row r="126" spans="7:9" ht="14.25" customHeight="1" x14ac:dyDescent="0.25">
      <c r="G126" s="57"/>
      <c r="H126" s="57"/>
      <c r="I126" s="34"/>
    </row>
    <row r="127" spans="7:9" ht="14.25" customHeight="1" x14ac:dyDescent="0.25">
      <c r="G127" s="57"/>
      <c r="H127" s="57"/>
      <c r="I127" s="34"/>
    </row>
    <row r="128" spans="7:9" ht="14.25" customHeight="1" x14ac:dyDescent="0.25">
      <c r="G128" s="57"/>
      <c r="H128" s="57"/>
      <c r="I128" s="34"/>
    </row>
    <row r="129" spans="7:9" ht="14.25" customHeight="1" x14ac:dyDescent="0.25">
      <c r="G129" s="57"/>
      <c r="H129" s="57"/>
      <c r="I129" s="34"/>
    </row>
    <row r="130" spans="7:9" ht="14.25" customHeight="1" x14ac:dyDescent="0.25">
      <c r="G130" s="57"/>
      <c r="H130" s="57"/>
      <c r="I130" s="34"/>
    </row>
    <row r="131" spans="7:9" ht="14.25" customHeight="1" x14ac:dyDescent="0.25">
      <c r="G131" s="57"/>
      <c r="H131" s="57"/>
      <c r="I131" s="34"/>
    </row>
    <row r="132" spans="7:9" ht="14.25" customHeight="1" x14ac:dyDescent="0.25">
      <c r="G132" s="57"/>
      <c r="H132" s="57"/>
      <c r="I132" s="34"/>
    </row>
    <row r="133" spans="7:9" ht="14.25" customHeight="1" x14ac:dyDescent="0.25">
      <c r="G133" s="57"/>
      <c r="H133" s="57"/>
      <c r="I133" s="34"/>
    </row>
    <row r="134" spans="7:9" ht="14.25" customHeight="1" x14ac:dyDescent="0.25">
      <c r="G134" s="57"/>
      <c r="H134" s="57"/>
      <c r="I134" s="34"/>
    </row>
    <row r="135" spans="7:9" ht="14.25" customHeight="1" x14ac:dyDescent="0.25">
      <c r="G135" s="57"/>
      <c r="H135" s="57"/>
      <c r="I135" s="34"/>
    </row>
    <row r="136" spans="7:9" ht="14.25" customHeight="1" x14ac:dyDescent="0.25">
      <c r="G136" s="57"/>
      <c r="H136" s="57"/>
      <c r="I136" s="34"/>
    </row>
    <row r="137" spans="7:9" ht="14.25" customHeight="1" x14ac:dyDescent="0.25">
      <c r="G137" s="57"/>
      <c r="H137" s="57"/>
      <c r="I137" s="34"/>
    </row>
    <row r="138" spans="7:9" ht="14.25" customHeight="1" x14ac:dyDescent="0.25">
      <c r="G138" s="57"/>
      <c r="H138" s="57"/>
      <c r="I138" s="34"/>
    </row>
    <row r="139" spans="7:9" ht="14.25" customHeight="1" x14ac:dyDescent="0.25">
      <c r="G139" s="57"/>
      <c r="H139" s="57"/>
      <c r="I139" s="34"/>
    </row>
    <row r="140" spans="7:9" ht="14.25" customHeight="1" x14ac:dyDescent="0.25">
      <c r="G140" s="57"/>
      <c r="H140" s="57"/>
      <c r="I140" s="34"/>
    </row>
    <row r="141" spans="7:9" ht="14.25" customHeight="1" x14ac:dyDescent="0.25">
      <c r="G141" s="57"/>
      <c r="H141" s="57"/>
      <c r="I141" s="34"/>
    </row>
    <row r="142" spans="7:9" ht="14.25" customHeight="1" x14ac:dyDescent="0.25">
      <c r="G142" s="57"/>
      <c r="H142" s="57"/>
      <c r="I142" s="34"/>
    </row>
    <row r="143" spans="7:9" ht="14.25" customHeight="1" x14ac:dyDescent="0.25">
      <c r="G143" s="57"/>
      <c r="H143" s="57"/>
      <c r="I143" s="34"/>
    </row>
    <row r="144" spans="7:9" ht="14.25" customHeight="1" x14ac:dyDescent="0.25">
      <c r="G144" s="57"/>
      <c r="H144" s="57"/>
      <c r="I144" s="34"/>
    </row>
    <row r="145" spans="7:9" ht="14.25" customHeight="1" x14ac:dyDescent="0.25">
      <c r="G145" s="57"/>
      <c r="H145" s="57"/>
      <c r="I145" s="34"/>
    </row>
    <row r="146" spans="7:9" ht="14.25" customHeight="1" x14ac:dyDescent="0.25">
      <c r="G146" s="57"/>
      <c r="H146" s="57"/>
      <c r="I146" s="34"/>
    </row>
    <row r="147" spans="7:9" ht="14.25" customHeight="1" x14ac:dyDescent="0.25">
      <c r="G147" s="57"/>
      <c r="H147" s="57"/>
      <c r="I147" s="34"/>
    </row>
    <row r="148" spans="7:9" ht="14.25" customHeight="1" x14ac:dyDescent="0.25">
      <c r="G148" s="57"/>
      <c r="H148" s="57"/>
      <c r="I148" s="34"/>
    </row>
    <row r="149" spans="7:9" ht="14.25" customHeight="1" x14ac:dyDescent="0.25">
      <c r="G149" s="57"/>
      <c r="H149" s="57"/>
      <c r="I149" s="34"/>
    </row>
    <row r="150" spans="7:9" ht="14.25" customHeight="1" x14ac:dyDescent="0.25">
      <c r="G150" s="57"/>
      <c r="H150" s="57"/>
      <c r="I150" s="34"/>
    </row>
    <row r="151" spans="7:9" ht="14.25" customHeight="1" x14ac:dyDescent="0.25">
      <c r="G151" s="57"/>
      <c r="H151" s="57"/>
      <c r="I151" s="34"/>
    </row>
    <row r="152" spans="7:9" ht="14.25" customHeight="1" x14ac:dyDescent="0.25">
      <c r="G152" s="57"/>
      <c r="H152" s="57"/>
      <c r="I152" s="34"/>
    </row>
    <row r="153" spans="7:9" ht="14.25" customHeight="1" x14ac:dyDescent="0.25">
      <c r="G153" s="57"/>
      <c r="H153" s="57"/>
      <c r="I153" s="34"/>
    </row>
    <row r="154" spans="7:9" ht="14.25" customHeight="1" x14ac:dyDescent="0.25">
      <c r="G154" s="57"/>
      <c r="H154" s="57"/>
      <c r="I154" s="34"/>
    </row>
    <row r="155" spans="7:9" ht="14.25" customHeight="1" x14ac:dyDescent="0.25">
      <c r="G155" s="57"/>
      <c r="H155" s="57"/>
      <c r="I155" s="34"/>
    </row>
    <row r="156" spans="7:9" ht="14.25" customHeight="1" x14ac:dyDescent="0.25">
      <c r="G156" s="57"/>
      <c r="H156" s="57"/>
      <c r="I156" s="34"/>
    </row>
    <row r="157" spans="7:9" ht="14.25" customHeight="1" x14ac:dyDescent="0.25">
      <c r="G157" s="57"/>
      <c r="H157" s="57"/>
      <c r="I157" s="34"/>
    </row>
    <row r="158" spans="7:9" ht="14.25" customHeight="1" x14ac:dyDescent="0.25">
      <c r="G158" s="57"/>
      <c r="H158" s="57"/>
      <c r="I158" s="34"/>
    </row>
    <row r="159" spans="7:9" ht="14.25" customHeight="1" x14ac:dyDescent="0.25">
      <c r="G159" s="57"/>
      <c r="H159" s="57"/>
      <c r="I159" s="34"/>
    </row>
    <row r="160" spans="7:9" ht="14.25" customHeight="1" x14ac:dyDescent="0.25">
      <c r="G160" s="57"/>
      <c r="H160" s="57"/>
      <c r="I160" s="34"/>
    </row>
    <row r="161" spans="7:9" ht="14.25" customHeight="1" x14ac:dyDescent="0.25">
      <c r="G161" s="57"/>
      <c r="H161" s="57"/>
      <c r="I161" s="34"/>
    </row>
    <row r="162" spans="7:9" ht="14.25" customHeight="1" x14ac:dyDescent="0.25">
      <c r="G162" s="57"/>
      <c r="H162" s="57"/>
      <c r="I162" s="34"/>
    </row>
    <row r="163" spans="7:9" ht="14.25" customHeight="1" x14ac:dyDescent="0.25">
      <c r="G163" s="57"/>
      <c r="H163" s="57"/>
      <c r="I163" s="34"/>
    </row>
    <row r="164" spans="7:9" ht="14.25" customHeight="1" x14ac:dyDescent="0.25">
      <c r="G164" s="57"/>
      <c r="H164" s="57"/>
      <c r="I164" s="34"/>
    </row>
    <row r="165" spans="7:9" ht="14.25" customHeight="1" x14ac:dyDescent="0.25">
      <c r="G165" s="57"/>
      <c r="H165" s="57"/>
      <c r="I165" s="34"/>
    </row>
    <row r="166" spans="7:9" ht="14.25" customHeight="1" x14ac:dyDescent="0.25">
      <c r="G166" s="57"/>
      <c r="H166" s="57"/>
      <c r="I166" s="34"/>
    </row>
    <row r="167" spans="7:9" ht="14.25" customHeight="1" x14ac:dyDescent="0.25">
      <c r="G167" s="57"/>
      <c r="H167" s="57"/>
      <c r="I167" s="34"/>
    </row>
    <row r="168" spans="7:9" ht="14.25" customHeight="1" x14ac:dyDescent="0.25">
      <c r="G168" s="57"/>
      <c r="H168" s="57"/>
      <c r="I168" s="34"/>
    </row>
    <row r="169" spans="7:9" ht="14.25" customHeight="1" x14ac:dyDescent="0.25">
      <c r="G169" s="57"/>
      <c r="H169" s="57"/>
      <c r="I169" s="34"/>
    </row>
    <row r="170" spans="7:9" ht="14.25" customHeight="1" x14ac:dyDescent="0.25">
      <c r="G170" s="57"/>
      <c r="H170" s="57"/>
      <c r="I170" s="34"/>
    </row>
    <row r="171" spans="7:9" ht="14.25" customHeight="1" x14ac:dyDescent="0.25">
      <c r="G171" s="57"/>
      <c r="H171" s="57"/>
      <c r="I171" s="34"/>
    </row>
    <row r="172" spans="7:9" ht="14.25" customHeight="1" x14ac:dyDescent="0.25">
      <c r="G172" s="57"/>
      <c r="H172" s="57"/>
      <c r="I172" s="34"/>
    </row>
    <row r="173" spans="7:9" ht="14.25" customHeight="1" x14ac:dyDescent="0.25">
      <c r="G173" s="57"/>
      <c r="H173" s="57"/>
      <c r="I173" s="34"/>
    </row>
    <row r="174" spans="7:9" ht="14.25" customHeight="1" x14ac:dyDescent="0.25">
      <c r="G174" s="57"/>
      <c r="H174" s="57"/>
      <c r="I174" s="34"/>
    </row>
    <row r="175" spans="7:9" ht="14.25" customHeight="1" x14ac:dyDescent="0.25">
      <c r="G175" s="57"/>
      <c r="H175" s="57"/>
      <c r="I175" s="34"/>
    </row>
    <row r="176" spans="7:9" ht="14.25" customHeight="1" x14ac:dyDescent="0.25">
      <c r="G176" s="57"/>
      <c r="H176" s="57"/>
      <c r="I176" s="34"/>
    </row>
    <row r="177" spans="7:9" ht="14.25" customHeight="1" x14ac:dyDescent="0.25">
      <c r="G177" s="57"/>
      <c r="H177" s="57"/>
      <c r="I177" s="34"/>
    </row>
    <row r="178" spans="7:9" ht="14.25" customHeight="1" x14ac:dyDescent="0.25">
      <c r="G178" s="57"/>
      <c r="H178" s="57"/>
      <c r="I178" s="34"/>
    </row>
    <row r="179" spans="7:9" ht="14.25" customHeight="1" x14ac:dyDescent="0.25">
      <c r="G179" s="57"/>
      <c r="H179" s="57"/>
      <c r="I179" s="34"/>
    </row>
    <row r="180" spans="7:9" ht="14.25" customHeight="1" x14ac:dyDescent="0.25">
      <c r="G180" s="57"/>
      <c r="H180" s="57"/>
      <c r="I180" s="34"/>
    </row>
    <row r="181" spans="7:9" ht="14.25" customHeight="1" x14ac:dyDescent="0.25">
      <c r="G181" s="57"/>
      <c r="H181" s="57"/>
      <c r="I181" s="34"/>
    </row>
    <row r="182" spans="7:9" ht="14.25" customHeight="1" x14ac:dyDescent="0.25">
      <c r="G182" s="57"/>
      <c r="H182" s="57"/>
      <c r="I182" s="34"/>
    </row>
    <row r="183" spans="7:9" ht="14.25" customHeight="1" x14ac:dyDescent="0.25">
      <c r="G183" s="57"/>
      <c r="H183" s="57"/>
      <c r="I183" s="34"/>
    </row>
    <row r="184" spans="7:9" ht="14.25" customHeight="1" x14ac:dyDescent="0.25">
      <c r="G184" s="57"/>
      <c r="H184" s="57"/>
      <c r="I184" s="34"/>
    </row>
    <row r="185" spans="7:9" ht="14.25" customHeight="1" x14ac:dyDescent="0.25">
      <c r="G185" s="57"/>
      <c r="H185" s="57"/>
      <c r="I185" s="34"/>
    </row>
    <row r="186" spans="7:9" ht="14.25" customHeight="1" x14ac:dyDescent="0.25">
      <c r="G186" s="57"/>
      <c r="H186" s="57"/>
      <c r="I186" s="34"/>
    </row>
    <row r="187" spans="7:9" ht="14.25" customHeight="1" x14ac:dyDescent="0.25">
      <c r="G187" s="57"/>
      <c r="H187" s="57"/>
      <c r="I187" s="34"/>
    </row>
    <row r="188" spans="7:9" ht="14.25" customHeight="1" x14ac:dyDescent="0.25">
      <c r="G188" s="57"/>
      <c r="H188" s="57"/>
      <c r="I188" s="34"/>
    </row>
    <row r="189" spans="7:9" ht="14.25" customHeight="1" x14ac:dyDescent="0.25">
      <c r="G189" s="57"/>
      <c r="H189" s="57"/>
      <c r="I189" s="34"/>
    </row>
    <row r="190" spans="7:9" ht="14.25" customHeight="1" x14ac:dyDescent="0.25">
      <c r="G190" s="57"/>
      <c r="H190" s="57"/>
      <c r="I190" s="34"/>
    </row>
    <row r="191" spans="7:9" ht="14.25" customHeight="1" x14ac:dyDescent="0.25">
      <c r="G191" s="57"/>
      <c r="H191" s="57"/>
      <c r="I191" s="34"/>
    </row>
    <row r="192" spans="7:9" ht="14.25" customHeight="1" x14ac:dyDescent="0.25">
      <c r="G192" s="57"/>
      <c r="H192" s="57"/>
      <c r="I192" s="34"/>
    </row>
    <row r="193" spans="7:9" ht="14.25" customHeight="1" x14ac:dyDescent="0.25">
      <c r="G193" s="57"/>
      <c r="H193" s="57"/>
      <c r="I193" s="34"/>
    </row>
    <row r="194" spans="7:9" ht="14.25" customHeight="1" x14ac:dyDescent="0.25">
      <c r="G194" s="57"/>
      <c r="H194" s="57"/>
      <c r="I194" s="34"/>
    </row>
    <row r="195" spans="7:9" ht="14.25" customHeight="1" x14ac:dyDescent="0.25">
      <c r="G195" s="57"/>
      <c r="H195" s="57"/>
      <c r="I195" s="34"/>
    </row>
    <row r="196" spans="7:9" ht="14.25" customHeight="1" x14ac:dyDescent="0.25">
      <c r="G196" s="57"/>
      <c r="H196" s="57"/>
      <c r="I196" s="34"/>
    </row>
    <row r="197" spans="7:9" ht="14.25" customHeight="1" x14ac:dyDescent="0.25">
      <c r="G197" s="57"/>
      <c r="H197" s="57"/>
      <c r="I197" s="34"/>
    </row>
    <row r="198" spans="7:9" ht="14.25" customHeight="1" x14ac:dyDescent="0.25">
      <c r="G198" s="57"/>
      <c r="H198" s="57"/>
      <c r="I198" s="34"/>
    </row>
    <row r="199" spans="7:9" ht="14.25" customHeight="1" x14ac:dyDescent="0.25">
      <c r="G199" s="57"/>
      <c r="H199" s="57"/>
      <c r="I199" s="34"/>
    </row>
    <row r="200" spans="7:9" ht="14.25" customHeight="1" x14ac:dyDescent="0.25">
      <c r="G200" s="57"/>
      <c r="H200" s="57"/>
      <c r="I200" s="34"/>
    </row>
    <row r="201" spans="7:9" ht="14.25" customHeight="1" x14ac:dyDescent="0.25">
      <c r="G201" s="57"/>
      <c r="H201" s="57"/>
      <c r="I201" s="34"/>
    </row>
    <row r="202" spans="7:9" ht="14.25" customHeight="1" x14ac:dyDescent="0.25">
      <c r="G202" s="57"/>
      <c r="H202" s="57"/>
      <c r="I202" s="34"/>
    </row>
    <row r="203" spans="7:9" ht="14.25" customHeight="1" x14ac:dyDescent="0.25">
      <c r="G203" s="57"/>
      <c r="H203" s="57"/>
      <c r="I203" s="34"/>
    </row>
    <row r="204" spans="7:9" ht="14.25" customHeight="1" x14ac:dyDescent="0.25">
      <c r="G204" s="57"/>
      <c r="H204" s="57"/>
      <c r="I204" s="34"/>
    </row>
    <row r="205" spans="7:9" ht="14.25" customHeight="1" x14ac:dyDescent="0.25">
      <c r="G205" s="57"/>
      <c r="H205" s="57"/>
      <c r="I205" s="34"/>
    </row>
    <row r="206" spans="7:9" ht="14.25" customHeight="1" x14ac:dyDescent="0.25">
      <c r="G206" s="57"/>
      <c r="H206" s="57"/>
      <c r="I206" s="34"/>
    </row>
    <row r="207" spans="7:9" ht="14.25" customHeight="1" x14ac:dyDescent="0.25">
      <c r="G207" s="57"/>
      <c r="H207" s="57"/>
      <c r="I207" s="34"/>
    </row>
    <row r="208" spans="7:9" ht="14.25" customHeight="1" x14ac:dyDescent="0.25">
      <c r="G208" s="57"/>
      <c r="H208" s="57"/>
      <c r="I208" s="34"/>
    </row>
    <row r="209" spans="7:9" ht="14.25" customHeight="1" x14ac:dyDescent="0.25">
      <c r="G209" s="57"/>
      <c r="H209" s="57"/>
      <c r="I209" s="34"/>
    </row>
    <row r="210" spans="7:9" ht="14.25" customHeight="1" x14ac:dyDescent="0.25">
      <c r="G210" s="57"/>
      <c r="H210" s="57"/>
      <c r="I210" s="34"/>
    </row>
    <row r="211" spans="7:9" ht="14.25" customHeight="1" x14ac:dyDescent="0.25">
      <c r="G211" s="57"/>
      <c r="H211" s="57"/>
      <c r="I211" s="34"/>
    </row>
    <row r="212" spans="7:9" ht="14.25" customHeight="1" x14ac:dyDescent="0.25">
      <c r="G212" s="57"/>
      <c r="H212" s="57"/>
      <c r="I212" s="34"/>
    </row>
    <row r="213" spans="7:9" ht="14.25" customHeight="1" x14ac:dyDescent="0.25">
      <c r="G213" s="57"/>
      <c r="H213" s="57"/>
      <c r="I213" s="34"/>
    </row>
    <row r="214" spans="7:9" ht="14.25" customHeight="1" x14ac:dyDescent="0.25">
      <c r="G214" s="57"/>
      <c r="H214" s="57"/>
      <c r="I214" s="34"/>
    </row>
    <row r="215" spans="7:9" ht="14.25" customHeight="1" x14ac:dyDescent="0.25">
      <c r="G215" s="57"/>
      <c r="H215" s="57"/>
      <c r="I215" s="34"/>
    </row>
    <row r="216" spans="7:9" ht="14.25" customHeight="1" x14ac:dyDescent="0.25">
      <c r="G216" s="57"/>
      <c r="H216" s="57"/>
      <c r="I216" s="34"/>
    </row>
    <row r="217" spans="7:9" ht="14.25" customHeight="1" x14ac:dyDescent="0.25">
      <c r="G217" s="57"/>
      <c r="H217" s="57"/>
      <c r="I217" s="34"/>
    </row>
    <row r="218" spans="7:9" ht="14.25" customHeight="1" x14ac:dyDescent="0.25">
      <c r="G218" s="57"/>
      <c r="H218" s="57"/>
      <c r="I218" s="34"/>
    </row>
    <row r="219" spans="7:9" ht="14.25" customHeight="1" x14ac:dyDescent="0.25">
      <c r="G219" s="57"/>
      <c r="H219" s="57"/>
      <c r="I219" s="34"/>
    </row>
    <row r="220" spans="7:9" ht="14.25" customHeight="1" x14ac:dyDescent="0.25">
      <c r="G220" s="57"/>
      <c r="H220" s="57"/>
      <c r="I220" s="34"/>
    </row>
    <row r="221" spans="7:9" ht="14.25" customHeight="1" x14ac:dyDescent="0.25">
      <c r="G221" s="57"/>
      <c r="H221" s="57"/>
      <c r="I221" s="34"/>
    </row>
    <row r="222" spans="7:9" ht="14.25" customHeight="1" x14ac:dyDescent="0.25">
      <c r="G222" s="57"/>
      <c r="H222" s="57"/>
      <c r="I222" s="34"/>
    </row>
    <row r="223" spans="7:9" ht="14.25" customHeight="1" x14ac:dyDescent="0.25">
      <c r="G223" s="57"/>
      <c r="H223" s="57"/>
      <c r="I223" s="34"/>
    </row>
    <row r="224" spans="7:9" ht="14.25" customHeight="1" x14ac:dyDescent="0.25">
      <c r="G224" s="57"/>
      <c r="H224" s="57"/>
      <c r="I224" s="34"/>
    </row>
    <row r="225" spans="7:9" ht="14.25" customHeight="1" x14ac:dyDescent="0.25">
      <c r="G225" s="57"/>
      <c r="H225" s="57"/>
      <c r="I225" s="34"/>
    </row>
    <row r="226" spans="7:9" ht="14.25" customHeight="1" x14ac:dyDescent="0.25">
      <c r="G226" s="57"/>
      <c r="H226" s="57"/>
      <c r="I226" s="34"/>
    </row>
    <row r="227" spans="7:9" ht="14.25" customHeight="1" x14ac:dyDescent="0.25">
      <c r="G227" s="57"/>
      <c r="H227" s="57"/>
      <c r="I227" s="34"/>
    </row>
    <row r="228" spans="7:9" ht="14.25" customHeight="1" x14ac:dyDescent="0.25">
      <c r="G228" s="57"/>
      <c r="H228" s="57"/>
      <c r="I228" s="34"/>
    </row>
    <row r="229" spans="7:9" ht="14.25" customHeight="1" x14ac:dyDescent="0.25">
      <c r="G229" s="57"/>
      <c r="H229" s="57"/>
      <c r="I229" s="34"/>
    </row>
    <row r="230" spans="7:9" ht="14.25" customHeight="1" x14ac:dyDescent="0.25">
      <c r="G230" s="57"/>
      <c r="H230" s="57"/>
      <c r="I230" s="34"/>
    </row>
    <row r="231" spans="7:9" ht="14.25" customHeight="1" x14ac:dyDescent="0.25">
      <c r="G231" s="57"/>
      <c r="H231" s="57"/>
      <c r="I231" s="34"/>
    </row>
    <row r="232" spans="7:9" ht="14.25" customHeight="1" x14ac:dyDescent="0.25">
      <c r="G232" s="57"/>
      <c r="H232" s="57"/>
      <c r="I232" s="34"/>
    </row>
    <row r="233" spans="7:9" ht="14.25" customHeight="1" x14ac:dyDescent="0.25">
      <c r="G233" s="57"/>
      <c r="H233" s="57"/>
      <c r="I233" s="34"/>
    </row>
    <row r="234" spans="7:9" ht="14.25" customHeight="1" x14ac:dyDescent="0.25">
      <c r="G234" s="57"/>
      <c r="H234" s="57"/>
      <c r="I234" s="34"/>
    </row>
    <row r="235" spans="7:9" ht="14.25" customHeight="1" x14ac:dyDescent="0.25">
      <c r="G235" s="57"/>
      <c r="H235" s="57"/>
      <c r="I235" s="34"/>
    </row>
    <row r="236" spans="7:9" ht="14.25" customHeight="1" x14ac:dyDescent="0.25">
      <c r="G236" s="57"/>
      <c r="H236" s="57"/>
      <c r="I236" s="34"/>
    </row>
    <row r="237" spans="7:9" ht="14.25" customHeight="1" x14ac:dyDescent="0.25">
      <c r="G237" s="57"/>
      <c r="H237" s="57"/>
      <c r="I237" s="34"/>
    </row>
    <row r="238" spans="7:9" ht="14.25" customHeight="1" x14ac:dyDescent="0.25">
      <c r="G238" s="57"/>
      <c r="H238" s="57"/>
      <c r="I238" s="34"/>
    </row>
    <row r="239" spans="7:9" ht="14.25" customHeight="1" x14ac:dyDescent="0.25">
      <c r="G239" s="57"/>
      <c r="H239" s="57"/>
      <c r="I239" s="34"/>
    </row>
    <row r="240" spans="7:9" ht="14.25" customHeight="1" x14ac:dyDescent="0.25">
      <c r="G240" s="57"/>
      <c r="H240" s="57"/>
      <c r="I240" s="34"/>
    </row>
    <row r="241" spans="7:9" ht="14.25" customHeight="1" x14ac:dyDescent="0.25">
      <c r="G241" s="57"/>
      <c r="H241" s="57"/>
      <c r="I241" s="34"/>
    </row>
    <row r="242" spans="7:9" ht="14.25" customHeight="1" x14ac:dyDescent="0.25">
      <c r="G242" s="57"/>
      <c r="H242" s="57"/>
      <c r="I242" s="34"/>
    </row>
    <row r="243" spans="7:9" ht="14.25" customHeight="1" x14ac:dyDescent="0.25">
      <c r="G243" s="57"/>
      <c r="H243" s="57"/>
      <c r="I243" s="34"/>
    </row>
    <row r="244" spans="7:9" ht="14.25" customHeight="1" x14ac:dyDescent="0.25">
      <c r="G244" s="57"/>
      <c r="H244" s="57"/>
      <c r="I244" s="34"/>
    </row>
    <row r="245" spans="7:9" ht="14.25" customHeight="1" x14ac:dyDescent="0.25">
      <c r="G245" s="57"/>
      <c r="H245" s="57"/>
      <c r="I245" s="34"/>
    </row>
    <row r="246" spans="7:9" ht="14.25" customHeight="1" x14ac:dyDescent="0.25">
      <c r="G246" s="57"/>
      <c r="H246" s="57"/>
      <c r="I246" s="34"/>
    </row>
    <row r="247" spans="7:9" ht="14.25" customHeight="1" x14ac:dyDescent="0.25">
      <c r="G247" s="57"/>
      <c r="H247" s="57"/>
      <c r="I247" s="34"/>
    </row>
    <row r="248" spans="7:9" ht="14.25" customHeight="1" x14ac:dyDescent="0.25">
      <c r="G248" s="57"/>
      <c r="H248" s="57"/>
      <c r="I248" s="34"/>
    </row>
    <row r="249" spans="7:9" ht="14.25" customHeight="1" x14ac:dyDescent="0.25">
      <c r="G249" s="57"/>
      <c r="H249" s="57"/>
      <c r="I249" s="34"/>
    </row>
    <row r="250" spans="7:9" ht="14.25" customHeight="1" x14ac:dyDescent="0.25">
      <c r="G250" s="57"/>
      <c r="H250" s="57"/>
      <c r="I250" s="34"/>
    </row>
    <row r="251" spans="7:9" ht="14.25" customHeight="1" x14ac:dyDescent="0.25">
      <c r="G251" s="57"/>
      <c r="H251" s="57"/>
      <c r="I251" s="34"/>
    </row>
    <row r="252" spans="7:9" ht="14.25" customHeight="1" x14ac:dyDescent="0.25">
      <c r="G252" s="57"/>
      <c r="H252" s="57"/>
      <c r="I252" s="34"/>
    </row>
    <row r="253" spans="7:9" ht="14.25" customHeight="1" x14ac:dyDescent="0.25">
      <c r="G253" s="57"/>
      <c r="H253" s="57"/>
      <c r="I253" s="34"/>
    </row>
    <row r="254" spans="7:9" ht="14.25" customHeight="1" x14ac:dyDescent="0.25">
      <c r="G254" s="57"/>
      <c r="H254" s="57"/>
      <c r="I254" s="34"/>
    </row>
    <row r="255" spans="7:9" ht="14.25" customHeight="1" x14ac:dyDescent="0.25">
      <c r="G255" s="57"/>
      <c r="H255" s="57"/>
      <c r="I255" s="34"/>
    </row>
    <row r="256" spans="7:9" ht="14.25" customHeight="1" x14ac:dyDescent="0.25">
      <c r="G256" s="57"/>
      <c r="H256" s="57"/>
      <c r="I256" s="34"/>
    </row>
    <row r="257" spans="7:9" ht="14.25" customHeight="1" x14ac:dyDescent="0.25">
      <c r="G257" s="57"/>
      <c r="H257" s="57"/>
      <c r="I257" s="34"/>
    </row>
    <row r="258" spans="7:9" ht="14.25" customHeight="1" x14ac:dyDescent="0.25">
      <c r="G258" s="57"/>
      <c r="H258" s="57"/>
      <c r="I258" s="34"/>
    </row>
    <row r="259" spans="7:9" ht="14.25" customHeight="1" x14ac:dyDescent="0.25">
      <c r="G259" s="57"/>
      <c r="H259" s="57"/>
      <c r="I259" s="34"/>
    </row>
    <row r="260" spans="7:9" ht="14.25" customHeight="1" x14ac:dyDescent="0.25">
      <c r="G260" s="57"/>
      <c r="H260" s="57"/>
      <c r="I260" s="34"/>
    </row>
    <row r="261" spans="7:9" ht="14.25" customHeight="1" x14ac:dyDescent="0.25">
      <c r="G261" s="57"/>
      <c r="H261" s="57"/>
      <c r="I261" s="34"/>
    </row>
    <row r="262" spans="7:9" ht="14.25" customHeight="1" x14ac:dyDescent="0.25">
      <c r="G262" s="57"/>
      <c r="H262" s="57"/>
      <c r="I262" s="34"/>
    </row>
    <row r="263" spans="7:9" ht="14.25" customHeight="1" x14ac:dyDescent="0.25">
      <c r="G263" s="57"/>
      <c r="H263" s="57"/>
      <c r="I263" s="34"/>
    </row>
    <row r="264" spans="7:9" ht="14.25" customHeight="1" x14ac:dyDescent="0.25">
      <c r="G264" s="57"/>
      <c r="H264" s="57"/>
      <c r="I264" s="34"/>
    </row>
    <row r="265" spans="7:9" ht="14.25" customHeight="1" x14ac:dyDescent="0.25">
      <c r="G265" s="57"/>
      <c r="H265" s="57"/>
      <c r="I265" s="34"/>
    </row>
    <row r="266" spans="7:9" ht="14.25" customHeight="1" x14ac:dyDescent="0.25">
      <c r="G266" s="57"/>
      <c r="H266" s="57"/>
      <c r="I266" s="34"/>
    </row>
    <row r="267" spans="7:9" ht="14.25" customHeight="1" x14ac:dyDescent="0.25">
      <c r="G267" s="57"/>
      <c r="H267" s="57"/>
      <c r="I267" s="34"/>
    </row>
    <row r="268" spans="7:9" ht="14.25" customHeight="1" x14ac:dyDescent="0.25">
      <c r="G268" s="57"/>
      <c r="H268" s="57"/>
      <c r="I268" s="34"/>
    </row>
    <row r="269" spans="7:9" ht="14.25" customHeight="1" x14ac:dyDescent="0.25">
      <c r="G269" s="57"/>
      <c r="H269" s="57"/>
      <c r="I269" s="34"/>
    </row>
    <row r="270" spans="7:9" ht="14.25" customHeight="1" x14ac:dyDescent="0.25">
      <c r="G270" s="57"/>
      <c r="H270" s="57"/>
      <c r="I270" s="34"/>
    </row>
    <row r="271" spans="7:9" ht="14.25" customHeight="1" x14ac:dyDescent="0.25">
      <c r="G271" s="57"/>
      <c r="H271" s="57"/>
      <c r="I271" s="34"/>
    </row>
    <row r="272" spans="7:9" ht="14.25" customHeight="1" x14ac:dyDescent="0.25">
      <c r="G272" s="57"/>
      <c r="H272" s="57"/>
      <c r="I272" s="34"/>
    </row>
    <row r="273" spans="7:9" ht="14.25" customHeight="1" x14ac:dyDescent="0.25">
      <c r="G273" s="57"/>
      <c r="H273" s="57"/>
      <c r="I273" s="34"/>
    </row>
    <row r="274" spans="7:9" ht="14.25" customHeight="1" x14ac:dyDescent="0.25">
      <c r="G274" s="57"/>
      <c r="H274" s="57"/>
      <c r="I274" s="34"/>
    </row>
    <row r="275" spans="7:9" ht="14.25" customHeight="1" x14ac:dyDescent="0.25">
      <c r="G275" s="57"/>
      <c r="H275" s="57"/>
      <c r="I275" s="34"/>
    </row>
    <row r="276" spans="7:9" ht="14.25" customHeight="1" x14ac:dyDescent="0.25">
      <c r="G276" s="57"/>
      <c r="H276" s="57"/>
      <c r="I276" s="34"/>
    </row>
    <row r="277" spans="7:9" ht="14.25" customHeight="1" x14ac:dyDescent="0.25">
      <c r="G277" s="57"/>
      <c r="H277" s="57"/>
      <c r="I277" s="34"/>
    </row>
    <row r="278" spans="7:9" ht="14.25" customHeight="1" x14ac:dyDescent="0.25">
      <c r="G278" s="57"/>
      <c r="H278" s="57"/>
      <c r="I278" s="34"/>
    </row>
    <row r="279" spans="7:9" ht="14.25" customHeight="1" x14ac:dyDescent="0.25">
      <c r="G279" s="57"/>
      <c r="H279" s="57"/>
      <c r="I279" s="34"/>
    </row>
    <row r="280" spans="7:9" ht="14.25" customHeight="1" x14ac:dyDescent="0.25">
      <c r="G280" s="57"/>
      <c r="H280" s="57"/>
      <c r="I280" s="34"/>
    </row>
    <row r="281" spans="7:9" ht="14.25" customHeight="1" x14ac:dyDescent="0.25">
      <c r="G281" s="57"/>
      <c r="H281" s="57"/>
      <c r="I281" s="34"/>
    </row>
    <row r="282" spans="7:9" ht="14.25" customHeight="1" x14ac:dyDescent="0.25">
      <c r="G282" s="57"/>
      <c r="H282" s="57"/>
      <c r="I282" s="34"/>
    </row>
    <row r="283" spans="7:9" ht="14.25" customHeight="1" x14ac:dyDescent="0.25">
      <c r="G283" s="57"/>
      <c r="H283" s="57"/>
      <c r="I283" s="34"/>
    </row>
    <row r="284" spans="7:9" ht="14.25" customHeight="1" x14ac:dyDescent="0.25">
      <c r="G284" s="57"/>
      <c r="H284" s="57"/>
      <c r="I284" s="34"/>
    </row>
    <row r="285" spans="7:9" ht="14.25" customHeight="1" x14ac:dyDescent="0.25">
      <c r="G285" s="57"/>
      <c r="H285" s="57"/>
      <c r="I285" s="34"/>
    </row>
    <row r="286" spans="7:9" ht="14.25" customHeight="1" x14ac:dyDescent="0.25">
      <c r="G286" s="57"/>
      <c r="H286" s="57"/>
      <c r="I286" s="34"/>
    </row>
    <row r="287" spans="7:9" ht="14.25" customHeight="1" x14ac:dyDescent="0.25">
      <c r="G287" s="57"/>
      <c r="H287" s="57"/>
      <c r="I287" s="34"/>
    </row>
    <row r="288" spans="7:9" ht="14.25" customHeight="1" x14ac:dyDescent="0.25">
      <c r="G288" s="57"/>
      <c r="H288" s="57"/>
      <c r="I288" s="34"/>
    </row>
    <row r="289" spans="7:9" ht="14.25" customHeight="1" x14ac:dyDescent="0.25">
      <c r="G289" s="57"/>
      <c r="H289" s="57"/>
      <c r="I289" s="34"/>
    </row>
    <row r="290" spans="7:9" ht="14.25" customHeight="1" x14ac:dyDescent="0.25">
      <c r="G290" s="57"/>
      <c r="H290" s="57"/>
      <c r="I290" s="34"/>
    </row>
    <row r="291" spans="7:9" ht="14.25" customHeight="1" x14ac:dyDescent="0.25">
      <c r="G291" s="57"/>
      <c r="H291" s="57"/>
      <c r="I291" s="34"/>
    </row>
    <row r="292" spans="7:9" ht="14.25" customHeight="1" x14ac:dyDescent="0.25">
      <c r="G292" s="57"/>
      <c r="H292" s="57"/>
      <c r="I292" s="34"/>
    </row>
    <row r="293" spans="7:9" ht="14.25" customHeight="1" x14ac:dyDescent="0.25">
      <c r="G293" s="57"/>
      <c r="H293" s="57"/>
      <c r="I293" s="34"/>
    </row>
    <row r="294" spans="7:9" ht="14.25" customHeight="1" x14ac:dyDescent="0.25">
      <c r="G294" s="57"/>
      <c r="H294" s="57"/>
      <c r="I294" s="34"/>
    </row>
    <row r="295" spans="7:9" ht="14.25" customHeight="1" x14ac:dyDescent="0.25">
      <c r="G295" s="57"/>
      <c r="H295" s="57"/>
      <c r="I295" s="34"/>
    </row>
    <row r="296" spans="7:9" ht="14.25" customHeight="1" x14ac:dyDescent="0.25">
      <c r="G296" s="57"/>
      <c r="H296" s="57"/>
      <c r="I296" s="34"/>
    </row>
    <row r="297" spans="7:9" ht="14.25" customHeight="1" x14ac:dyDescent="0.25">
      <c r="G297" s="57"/>
      <c r="H297" s="57"/>
      <c r="I297" s="34"/>
    </row>
    <row r="298" spans="7:9" ht="14.25" customHeight="1" x14ac:dyDescent="0.25">
      <c r="G298" s="57"/>
      <c r="H298" s="57"/>
      <c r="I298" s="34"/>
    </row>
    <row r="299" spans="7:9" ht="14.25" customHeight="1" x14ac:dyDescent="0.25">
      <c r="G299" s="57"/>
      <c r="H299" s="57"/>
      <c r="I299" s="34"/>
    </row>
    <row r="300" spans="7:9" ht="14.25" customHeight="1" x14ac:dyDescent="0.25">
      <c r="G300" s="57"/>
      <c r="H300" s="57"/>
      <c r="I300" s="34"/>
    </row>
    <row r="301" spans="7:9" ht="14.25" customHeight="1" x14ac:dyDescent="0.25">
      <c r="G301" s="57"/>
      <c r="H301" s="57"/>
      <c r="I301" s="34"/>
    </row>
    <row r="302" spans="7:9" ht="14.25" customHeight="1" x14ac:dyDescent="0.25">
      <c r="G302" s="57"/>
      <c r="H302" s="57"/>
      <c r="I302" s="34"/>
    </row>
    <row r="303" spans="7:9" ht="14.25" customHeight="1" x14ac:dyDescent="0.25">
      <c r="G303" s="57"/>
      <c r="H303" s="57"/>
      <c r="I303" s="34"/>
    </row>
    <row r="304" spans="7:9" ht="14.25" customHeight="1" x14ac:dyDescent="0.25">
      <c r="G304" s="57"/>
      <c r="H304" s="57"/>
      <c r="I304" s="34"/>
    </row>
    <row r="305" spans="7:9" ht="14.25" customHeight="1" x14ac:dyDescent="0.25">
      <c r="G305" s="57"/>
      <c r="H305" s="57"/>
      <c r="I305" s="34"/>
    </row>
    <row r="306" spans="7:9" ht="14.25" customHeight="1" x14ac:dyDescent="0.25">
      <c r="G306" s="57"/>
      <c r="H306" s="57"/>
      <c r="I306" s="34"/>
    </row>
    <row r="307" spans="7:9" ht="14.25" customHeight="1" x14ac:dyDescent="0.25">
      <c r="G307" s="57"/>
      <c r="H307" s="57"/>
      <c r="I307" s="34"/>
    </row>
    <row r="308" spans="7:9" ht="14.25" customHeight="1" x14ac:dyDescent="0.25">
      <c r="G308" s="57"/>
      <c r="H308" s="57"/>
      <c r="I308" s="34"/>
    </row>
    <row r="309" spans="7:9" ht="14.25" customHeight="1" x14ac:dyDescent="0.25">
      <c r="G309" s="57"/>
      <c r="H309" s="57"/>
      <c r="I309" s="34"/>
    </row>
    <row r="310" spans="7:9" ht="14.25" customHeight="1" x14ac:dyDescent="0.25">
      <c r="G310" s="57"/>
      <c r="H310" s="57"/>
      <c r="I310" s="34"/>
    </row>
    <row r="311" spans="7:9" ht="14.25" customHeight="1" x14ac:dyDescent="0.25">
      <c r="G311" s="57"/>
      <c r="H311" s="57"/>
      <c r="I311" s="34"/>
    </row>
    <row r="312" spans="7:9" ht="14.25" customHeight="1" x14ac:dyDescent="0.25">
      <c r="G312" s="57"/>
      <c r="H312" s="57"/>
      <c r="I312" s="34"/>
    </row>
    <row r="313" spans="7:9" ht="14.25" customHeight="1" x14ac:dyDescent="0.25">
      <c r="G313" s="57"/>
      <c r="H313" s="57"/>
      <c r="I313" s="34"/>
    </row>
    <row r="314" spans="7:9" ht="14.25" customHeight="1" x14ac:dyDescent="0.25">
      <c r="G314" s="57"/>
      <c r="H314" s="57"/>
      <c r="I314" s="34"/>
    </row>
    <row r="315" spans="7:9" ht="14.25" customHeight="1" x14ac:dyDescent="0.25">
      <c r="G315" s="57"/>
      <c r="H315" s="57"/>
      <c r="I315" s="34"/>
    </row>
    <row r="316" spans="7:9" ht="14.25" customHeight="1" x14ac:dyDescent="0.25">
      <c r="G316" s="57"/>
      <c r="H316" s="57"/>
      <c r="I316" s="34"/>
    </row>
    <row r="317" spans="7:9" ht="14.25" customHeight="1" x14ac:dyDescent="0.25">
      <c r="G317" s="57"/>
      <c r="H317" s="57"/>
      <c r="I317" s="34"/>
    </row>
    <row r="318" spans="7:9" ht="14.25" customHeight="1" x14ac:dyDescent="0.25">
      <c r="G318" s="57"/>
      <c r="H318" s="57"/>
      <c r="I318" s="34"/>
    </row>
    <row r="319" spans="7:9" ht="14.25" customHeight="1" x14ac:dyDescent="0.25">
      <c r="G319" s="57"/>
      <c r="H319" s="57"/>
      <c r="I319" s="34"/>
    </row>
    <row r="320" spans="7:9" ht="14.25" customHeight="1" x14ac:dyDescent="0.25">
      <c r="G320" s="57"/>
      <c r="H320" s="57"/>
      <c r="I320" s="34"/>
    </row>
    <row r="321" spans="7:9" ht="14.25" customHeight="1" x14ac:dyDescent="0.25">
      <c r="G321" s="57"/>
      <c r="H321" s="57"/>
      <c r="I321" s="34"/>
    </row>
    <row r="322" spans="7:9" ht="14.25" customHeight="1" x14ac:dyDescent="0.25">
      <c r="G322" s="57"/>
      <c r="H322" s="57"/>
      <c r="I322" s="34"/>
    </row>
    <row r="323" spans="7:9" ht="14.25" customHeight="1" x14ac:dyDescent="0.25">
      <c r="G323" s="57"/>
      <c r="H323" s="57"/>
      <c r="I323" s="34"/>
    </row>
    <row r="324" spans="7:9" ht="14.25" customHeight="1" x14ac:dyDescent="0.25">
      <c r="G324" s="57"/>
      <c r="H324" s="57"/>
      <c r="I324" s="34"/>
    </row>
    <row r="325" spans="7:9" ht="14.25" customHeight="1" x14ac:dyDescent="0.25">
      <c r="G325" s="57"/>
      <c r="H325" s="57"/>
      <c r="I325" s="34"/>
    </row>
    <row r="326" spans="7:9" ht="14.25" customHeight="1" x14ac:dyDescent="0.25">
      <c r="G326" s="57"/>
      <c r="H326" s="57"/>
      <c r="I326" s="34"/>
    </row>
    <row r="327" spans="7:9" ht="14.25" customHeight="1" x14ac:dyDescent="0.25">
      <c r="G327" s="57"/>
      <c r="H327" s="57"/>
      <c r="I327" s="34"/>
    </row>
    <row r="328" spans="7:9" ht="14.25" customHeight="1" x14ac:dyDescent="0.25">
      <c r="G328" s="57"/>
      <c r="H328" s="57"/>
      <c r="I328" s="34"/>
    </row>
    <row r="329" spans="7:9" ht="14.25" customHeight="1" x14ac:dyDescent="0.25">
      <c r="G329" s="57"/>
      <c r="H329" s="57"/>
      <c r="I329" s="34"/>
    </row>
    <row r="330" spans="7:9" ht="14.25" customHeight="1" x14ac:dyDescent="0.25">
      <c r="G330" s="57"/>
      <c r="H330" s="57"/>
      <c r="I330" s="34"/>
    </row>
    <row r="331" spans="7:9" ht="14.25" customHeight="1" x14ac:dyDescent="0.25">
      <c r="G331" s="57"/>
      <c r="H331" s="57"/>
      <c r="I331" s="34"/>
    </row>
    <row r="332" spans="7:9" ht="14.25" customHeight="1" x14ac:dyDescent="0.25">
      <c r="G332" s="57"/>
      <c r="H332" s="57"/>
      <c r="I332" s="34"/>
    </row>
    <row r="333" spans="7:9" ht="14.25" customHeight="1" x14ac:dyDescent="0.25">
      <c r="G333" s="57"/>
      <c r="H333" s="57"/>
      <c r="I333" s="34"/>
    </row>
    <row r="334" spans="7:9" ht="14.25" customHeight="1" x14ac:dyDescent="0.25">
      <c r="G334" s="57"/>
      <c r="H334" s="57"/>
      <c r="I334" s="34"/>
    </row>
    <row r="335" spans="7:9" ht="14.25" customHeight="1" x14ac:dyDescent="0.25">
      <c r="G335" s="57"/>
      <c r="H335" s="57"/>
      <c r="I335" s="34"/>
    </row>
    <row r="336" spans="7:9" ht="14.25" customHeight="1" x14ac:dyDescent="0.25">
      <c r="G336" s="57"/>
      <c r="H336" s="57"/>
      <c r="I336" s="34"/>
    </row>
    <row r="337" spans="7:9" ht="14.25" customHeight="1" x14ac:dyDescent="0.25">
      <c r="G337" s="57"/>
      <c r="H337" s="57"/>
      <c r="I337" s="34"/>
    </row>
    <row r="338" spans="7:9" ht="14.25" customHeight="1" x14ac:dyDescent="0.25">
      <c r="G338" s="57"/>
      <c r="H338" s="57"/>
      <c r="I338" s="34"/>
    </row>
    <row r="339" spans="7:9" ht="14.25" customHeight="1" x14ac:dyDescent="0.25">
      <c r="G339" s="57"/>
      <c r="H339" s="57"/>
      <c r="I339" s="34"/>
    </row>
    <row r="340" spans="7:9" ht="14.25" customHeight="1" x14ac:dyDescent="0.25">
      <c r="G340" s="57"/>
      <c r="H340" s="57"/>
      <c r="I340" s="34"/>
    </row>
    <row r="341" spans="7:9" ht="14.25" customHeight="1" x14ac:dyDescent="0.25">
      <c r="G341" s="57"/>
      <c r="H341" s="57"/>
      <c r="I341" s="34"/>
    </row>
    <row r="342" spans="7:9" ht="14.25" customHeight="1" x14ac:dyDescent="0.25">
      <c r="G342" s="57"/>
      <c r="H342" s="57"/>
      <c r="I342" s="34"/>
    </row>
    <row r="343" spans="7:9" ht="14.25" customHeight="1" x14ac:dyDescent="0.25">
      <c r="G343" s="57"/>
      <c r="H343" s="57"/>
      <c r="I343" s="34"/>
    </row>
    <row r="344" spans="7:9" ht="14.25" customHeight="1" x14ac:dyDescent="0.25">
      <c r="G344" s="57"/>
      <c r="H344" s="57"/>
      <c r="I344" s="34"/>
    </row>
    <row r="345" spans="7:9" ht="14.25" customHeight="1" x14ac:dyDescent="0.25">
      <c r="G345" s="57"/>
      <c r="H345" s="57"/>
      <c r="I345" s="34"/>
    </row>
    <row r="346" spans="7:9" ht="14.25" customHeight="1" x14ac:dyDescent="0.25">
      <c r="G346" s="57"/>
      <c r="H346" s="57"/>
      <c r="I346" s="34"/>
    </row>
    <row r="347" spans="7:9" ht="14.25" customHeight="1" x14ac:dyDescent="0.25">
      <c r="G347" s="57"/>
      <c r="H347" s="57"/>
      <c r="I347" s="34"/>
    </row>
    <row r="348" spans="7:9" ht="14.25" customHeight="1" x14ac:dyDescent="0.25">
      <c r="G348" s="57"/>
      <c r="H348" s="57"/>
      <c r="I348" s="34"/>
    </row>
    <row r="349" spans="7:9" ht="14.25" customHeight="1" x14ac:dyDescent="0.25">
      <c r="G349" s="57"/>
      <c r="H349" s="57"/>
      <c r="I349" s="34"/>
    </row>
    <row r="350" spans="7:9" ht="14.25" customHeight="1" x14ac:dyDescent="0.25">
      <c r="G350" s="57"/>
      <c r="H350" s="57"/>
      <c r="I350" s="34"/>
    </row>
    <row r="351" spans="7:9" ht="14.25" customHeight="1" x14ac:dyDescent="0.25">
      <c r="G351" s="57"/>
      <c r="H351" s="57"/>
      <c r="I351" s="34"/>
    </row>
    <row r="352" spans="7:9" ht="14.25" customHeight="1" x14ac:dyDescent="0.25">
      <c r="G352" s="57"/>
      <c r="H352" s="57"/>
      <c r="I352" s="34"/>
    </row>
    <row r="353" spans="7:9" ht="14.25" customHeight="1" x14ac:dyDescent="0.25">
      <c r="G353" s="57"/>
      <c r="H353" s="57"/>
      <c r="I353" s="34"/>
    </row>
    <row r="354" spans="7:9" ht="14.25" customHeight="1" x14ac:dyDescent="0.25">
      <c r="G354" s="57"/>
      <c r="H354" s="57"/>
      <c r="I354" s="34"/>
    </row>
    <row r="355" spans="7:9" ht="14.25" customHeight="1" x14ac:dyDescent="0.25">
      <c r="G355" s="57"/>
      <c r="H355" s="57"/>
      <c r="I355" s="34"/>
    </row>
    <row r="356" spans="7:9" ht="14.25" customHeight="1" x14ac:dyDescent="0.25">
      <c r="G356" s="57"/>
      <c r="H356" s="57"/>
      <c r="I356" s="34"/>
    </row>
    <row r="357" spans="7:9" ht="14.25" customHeight="1" x14ac:dyDescent="0.25">
      <c r="G357" s="57"/>
      <c r="H357" s="57"/>
      <c r="I357" s="34"/>
    </row>
    <row r="358" spans="7:9" ht="14.25" customHeight="1" x14ac:dyDescent="0.25">
      <c r="G358" s="57"/>
      <c r="H358" s="57"/>
      <c r="I358" s="34"/>
    </row>
    <row r="359" spans="7:9" ht="14.25" customHeight="1" x14ac:dyDescent="0.25">
      <c r="G359" s="57"/>
      <c r="H359" s="57"/>
      <c r="I359" s="34"/>
    </row>
    <row r="360" spans="7:9" ht="14.25" customHeight="1" x14ac:dyDescent="0.25">
      <c r="G360" s="57"/>
      <c r="H360" s="57"/>
      <c r="I360" s="34"/>
    </row>
    <row r="361" spans="7:9" ht="14.25" customHeight="1" x14ac:dyDescent="0.25">
      <c r="G361" s="57"/>
      <c r="H361" s="57"/>
      <c r="I361" s="34"/>
    </row>
    <row r="362" spans="7:9" ht="14.25" customHeight="1" x14ac:dyDescent="0.25">
      <c r="G362" s="57"/>
      <c r="H362" s="57"/>
      <c r="I362" s="34"/>
    </row>
    <row r="363" spans="7:9" ht="14.25" customHeight="1" x14ac:dyDescent="0.25">
      <c r="G363" s="57"/>
      <c r="H363" s="57"/>
      <c r="I363" s="34"/>
    </row>
    <row r="364" spans="7:9" ht="14.25" customHeight="1" x14ac:dyDescent="0.25">
      <c r="G364" s="57"/>
      <c r="H364" s="57"/>
      <c r="I364" s="34"/>
    </row>
    <row r="365" spans="7:9" ht="14.25" customHeight="1" x14ac:dyDescent="0.25">
      <c r="G365" s="57"/>
      <c r="H365" s="57"/>
      <c r="I365" s="34"/>
    </row>
    <row r="366" spans="7:9" ht="14.25" customHeight="1" x14ac:dyDescent="0.25">
      <c r="G366" s="57"/>
      <c r="H366" s="57"/>
      <c r="I366" s="34"/>
    </row>
    <row r="367" spans="7:9" ht="14.25" customHeight="1" x14ac:dyDescent="0.25">
      <c r="G367" s="57"/>
      <c r="H367" s="57"/>
      <c r="I367" s="34"/>
    </row>
    <row r="368" spans="7:9" ht="14.25" customHeight="1" x14ac:dyDescent="0.25">
      <c r="G368" s="57"/>
      <c r="H368" s="57"/>
      <c r="I368" s="34"/>
    </row>
    <row r="369" spans="7:9" ht="14.25" customHeight="1" x14ac:dyDescent="0.25">
      <c r="G369" s="57"/>
      <c r="H369" s="57"/>
      <c r="I369" s="34"/>
    </row>
    <row r="370" spans="7:9" ht="14.25" customHeight="1" x14ac:dyDescent="0.25">
      <c r="G370" s="57"/>
      <c r="H370" s="57"/>
      <c r="I370" s="34"/>
    </row>
    <row r="371" spans="7:9" ht="14.25" customHeight="1" x14ac:dyDescent="0.25">
      <c r="G371" s="57"/>
      <c r="H371" s="57"/>
      <c r="I371" s="34"/>
    </row>
    <row r="372" spans="7:9" ht="14.25" customHeight="1" x14ac:dyDescent="0.25">
      <c r="G372" s="57"/>
      <c r="H372" s="57"/>
      <c r="I372" s="34"/>
    </row>
    <row r="373" spans="7:9" ht="14.25" customHeight="1" x14ac:dyDescent="0.25">
      <c r="G373" s="57"/>
      <c r="H373" s="57"/>
      <c r="I373" s="34"/>
    </row>
    <row r="374" spans="7:9" ht="14.25" customHeight="1" x14ac:dyDescent="0.25">
      <c r="G374" s="57"/>
      <c r="H374" s="57"/>
      <c r="I374" s="34"/>
    </row>
    <row r="375" spans="7:9" ht="14.25" customHeight="1" x14ac:dyDescent="0.25">
      <c r="G375" s="57"/>
      <c r="H375" s="57"/>
      <c r="I375" s="34"/>
    </row>
    <row r="376" spans="7:9" ht="14.25" customHeight="1" x14ac:dyDescent="0.25">
      <c r="G376" s="57"/>
      <c r="H376" s="57"/>
      <c r="I376" s="34"/>
    </row>
    <row r="377" spans="7:9" ht="14.25" customHeight="1" x14ac:dyDescent="0.25">
      <c r="G377" s="57"/>
      <c r="H377" s="57"/>
      <c r="I377" s="34"/>
    </row>
    <row r="378" spans="7:9" ht="14.25" customHeight="1" x14ac:dyDescent="0.25">
      <c r="G378" s="57"/>
      <c r="H378" s="57"/>
      <c r="I378" s="34"/>
    </row>
    <row r="379" spans="7:9" ht="14.25" customHeight="1" x14ac:dyDescent="0.25">
      <c r="G379" s="57"/>
      <c r="H379" s="57"/>
      <c r="I379" s="34"/>
    </row>
    <row r="380" spans="7:9" ht="14.25" customHeight="1" x14ac:dyDescent="0.25">
      <c r="G380" s="57"/>
      <c r="H380" s="57"/>
      <c r="I380" s="34"/>
    </row>
    <row r="381" spans="7:9" ht="14.25" customHeight="1" x14ac:dyDescent="0.25">
      <c r="G381" s="57"/>
      <c r="H381" s="57"/>
      <c r="I381" s="34"/>
    </row>
    <row r="382" spans="7:9" ht="14.25" customHeight="1" x14ac:dyDescent="0.25">
      <c r="G382" s="57"/>
      <c r="H382" s="57"/>
      <c r="I382" s="34"/>
    </row>
    <row r="383" spans="7:9" ht="14.25" customHeight="1" x14ac:dyDescent="0.25">
      <c r="G383" s="57"/>
      <c r="H383" s="57"/>
      <c r="I383" s="34"/>
    </row>
    <row r="384" spans="7:9" ht="14.25" customHeight="1" x14ac:dyDescent="0.25">
      <c r="G384" s="57"/>
      <c r="H384" s="57"/>
      <c r="I384" s="34"/>
    </row>
    <row r="385" spans="7:9" ht="14.25" customHeight="1" x14ac:dyDescent="0.25">
      <c r="G385" s="57"/>
      <c r="H385" s="57"/>
      <c r="I385" s="34"/>
    </row>
    <row r="386" spans="7:9" ht="14.25" customHeight="1" x14ac:dyDescent="0.25">
      <c r="G386" s="57"/>
      <c r="H386" s="57"/>
      <c r="I386" s="34"/>
    </row>
    <row r="387" spans="7:9" ht="14.25" customHeight="1" x14ac:dyDescent="0.25">
      <c r="G387" s="57"/>
      <c r="H387" s="57"/>
      <c r="I387" s="34"/>
    </row>
    <row r="388" spans="7:9" ht="14.25" customHeight="1" x14ac:dyDescent="0.25">
      <c r="G388" s="57"/>
      <c r="H388" s="57"/>
      <c r="I388" s="34"/>
    </row>
    <row r="389" spans="7:9" ht="14.25" customHeight="1" x14ac:dyDescent="0.25">
      <c r="G389" s="57"/>
      <c r="H389" s="57"/>
      <c r="I389" s="34"/>
    </row>
    <row r="390" spans="7:9" ht="14.25" customHeight="1" x14ac:dyDescent="0.25">
      <c r="G390" s="57"/>
      <c r="H390" s="57"/>
      <c r="I390" s="34"/>
    </row>
    <row r="391" spans="7:9" ht="14.25" customHeight="1" x14ac:dyDescent="0.25">
      <c r="G391" s="57"/>
      <c r="H391" s="57"/>
      <c r="I391" s="34"/>
    </row>
    <row r="392" spans="7:9" ht="14.25" customHeight="1" x14ac:dyDescent="0.25">
      <c r="G392" s="57"/>
      <c r="H392" s="57"/>
      <c r="I392" s="34"/>
    </row>
    <row r="393" spans="7:9" ht="14.25" customHeight="1" x14ac:dyDescent="0.25">
      <c r="G393" s="57"/>
      <c r="H393" s="57"/>
      <c r="I393" s="34"/>
    </row>
    <row r="394" spans="7:9" ht="14.25" customHeight="1" x14ac:dyDescent="0.25">
      <c r="G394" s="57"/>
      <c r="H394" s="57"/>
      <c r="I394" s="34"/>
    </row>
    <row r="395" spans="7:9" ht="14.25" customHeight="1" x14ac:dyDescent="0.25">
      <c r="G395" s="57"/>
      <c r="H395" s="57"/>
      <c r="I395" s="34"/>
    </row>
    <row r="396" spans="7:9" ht="14.25" customHeight="1" x14ac:dyDescent="0.25">
      <c r="G396" s="57"/>
      <c r="H396" s="57"/>
      <c r="I396" s="34"/>
    </row>
    <row r="397" spans="7:9" ht="14.25" customHeight="1" x14ac:dyDescent="0.25">
      <c r="G397" s="57"/>
      <c r="H397" s="57"/>
      <c r="I397" s="34"/>
    </row>
    <row r="398" spans="7:9" ht="14.25" customHeight="1" x14ac:dyDescent="0.25">
      <c r="G398" s="57"/>
      <c r="H398" s="57"/>
      <c r="I398" s="34"/>
    </row>
    <row r="399" spans="7:9" ht="14.25" customHeight="1" x14ac:dyDescent="0.25">
      <c r="G399" s="57"/>
      <c r="H399" s="57"/>
      <c r="I399" s="34"/>
    </row>
    <row r="400" spans="7:9" ht="14.25" customHeight="1" x14ac:dyDescent="0.25">
      <c r="G400" s="57"/>
      <c r="H400" s="57"/>
      <c r="I400" s="34"/>
    </row>
    <row r="401" spans="7:9" ht="14.25" customHeight="1" x14ac:dyDescent="0.25">
      <c r="G401" s="57"/>
      <c r="H401" s="57"/>
      <c r="I401" s="34"/>
    </row>
    <row r="402" spans="7:9" ht="14.25" customHeight="1" x14ac:dyDescent="0.25">
      <c r="G402" s="57"/>
      <c r="H402" s="57"/>
      <c r="I402" s="34"/>
    </row>
    <row r="403" spans="7:9" ht="14.25" customHeight="1" x14ac:dyDescent="0.25">
      <c r="G403" s="57"/>
      <c r="H403" s="57"/>
      <c r="I403" s="34"/>
    </row>
    <row r="404" spans="7:9" ht="14.25" customHeight="1" x14ac:dyDescent="0.25">
      <c r="G404" s="57"/>
      <c r="H404" s="57"/>
      <c r="I404" s="34"/>
    </row>
    <row r="405" spans="7:9" ht="14.25" customHeight="1" x14ac:dyDescent="0.25">
      <c r="G405" s="57"/>
      <c r="H405" s="57"/>
      <c r="I405" s="34"/>
    </row>
    <row r="406" spans="7:9" ht="14.25" customHeight="1" x14ac:dyDescent="0.25">
      <c r="G406" s="57"/>
      <c r="H406" s="57"/>
      <c r="I406" s="34"/>
    </row>
    <row r="407" spans="7:9" ht="14.25" customHeight="1" x14ac:dyDescent="0.25">
      <c r="G407" s="57"/>
      <c r="H407" s="57"/>
      <c r="I407" s="34"/>
    </row>
    <row r="408" spans="7:9" ht="14.25" customHeight="1" x14ac:dyDescent="0.25">
      <c r="G408" s="57"/>
      <c r="H408" s="57"/>
      <c r="I408" s="34"/>
    </row>
    <row r="409" spans="7:9" ht="14.25" customHeight="1" x14ac:dyDescent="0.25">
      <c r="G409" s="57"/>
      <c r="H409" s="57"/>
      <c r="I409" s="34"/>
    </row>
    <row r="410" spans="7:9" ht="14.25" customHeight="1" x14ac:dyDescent="0.25">
      <c r="G410" s="57"/>
      <c r="H410" s="57"/>
      <c r="I410" s="34"/>
    </row>
    <row r="411" spans="7:9" ht="14.25" customHeight="1" x14ac:dyDescent="0.25">
      <c r="G411" s="57"/>
      <c r="H411" s="57"/>
      <c r="I411" s="34"/>
    </row>
    <row r="412" spans="7:9" ht="14.25" customHeight="1" x14ac:dyDescent="0.25">
      <c r="G412" s="57"/>
      <c r="H412" s="57"/>
      <c r="I412" s="34"/>
    </row>
    <row r="413" spans="7:9" ht="14.25" customHeight="1" x14ac:dyDescent="0.25">
      <c r="G413" s="57"/>
      <c r="H413" s="57"/>
      <c r="I413" s="34"/>
    </row>
    <row r="414" spans="7:9" ht="14.25" customHeight="1" x14ac:dyDescent="0.25">
      <c r="G414" s="57"/>
      <c r="H414" s="57"/>
      <c r="I414" s="34"/>
    </row>
    <row r="415" spans="7:9" ht="14.25" customHeight="1" x14ac:dyDescent="0.25">
      <c r="G415" s="57"/>
      <c r="H415" s="57"/>
      <c r="I415" s="34"/>
    </row>
    <row r="416" spans="7:9" ht="14.25" customHeight="1" x14ac:dyDescent="0.25">
      <c r="G416" s="57"/>
      <c r="H416" s="57"/>
      <c r="I416" s="34"/>
    </row>
    <row r="417" spans="7:9" ht="14.25" customHeight="1" x14ac:dyDescent="0.25">
      <c r="G417" s="57"/>
      <c r="H417" s="57"/>
      <c r="I417" s="34"/>
    </row>
    <row r="418" spans="7:9" ht="14.25" customHeight="1" x14ac:dyDescent="0.25">
      <c r="G418" s="57"/>
      <c r="H418" s="57"/>
      <c r="I418" s="34"/>
    </row>
    <row r="419" spans="7:9" ht="14.25" customHeight="1" x14ac:dyDescent="0.25">
      <c r="G419" s="57"/>
      <c r="H419" s="57"/>
      <c r="I419" s="34"/>
    </row>
    <row r="420" spans="7:9" ht="14.25" customHeight="1" x14ac:dyDescent="0.25">
      <c r="G420" s="57"/>
      <c r="H420" s="57"/>
      <c r="I420" s="34"/>
    </row>
    <row r="421" spans="7:9" ht="14.25" customHeight="1" x14ac:dyDescent="0.25">
      <c r="G421" s="57"/>
      <c r="H421" s="57"/>
      <c r="I421" s="34"/>
    </row>
    <row r="422" spans="7:9" ht="14.25" customHeight="1" x14ac:dyDescent="0.25">
      <c r="G422" s="57"/>
      <c r="H422" s="57"/>
      <c r="I422" s="34"/>
    </row>
    <row r="423" spans="7:9" ht="14.25" customHeight="1" x14ac:dyDescent="0.25">
      <c r="G423" s="57"/>
      <c r="H423" s="57"/>
      <c r="I423" s="34"/>
    </row>
    <row r="424" spans="7:9" ht="14.25" customHeight="1" x14ac:dyDescent="0.25">
      <c r="G424" s="57"/>
      <c r="H424" s="57"/>
      <c r="I424" s="34"/>
    </row>
    <row r="425" spans="7:9" ht="14.25" customHeight="1" x14ac:dyDescent="0.25">
      <c r="G425" s="57"/>
      <c r="H425" s="57"/>
      <c r="I425" s="34"/>
    </row>
    <row r="426" spans="7:9" ht="14.25" customHeight="1" x14ac:dyDescent="0.25">
      <c r="G426" s="57"/>
      <c r="H426" s="57"/>
      <c r="I426" s="34"/>
    </row>
    <row r="427" spans="7:9" ht="14.25" customHeight="1" x14ac:dyDescent="0.25">
      <c r="G427" s="57"/>
      <c r="H427" s="57"/>
      <c r="I427" s="34"/>
    </row>
    <row r="428" spans="7:9" ht="14.25" customHeight="1" x14ac:dyDescent="0.25">
      <c r="G428" s="57"/>
      <c r="H428" s="57"/>
      <c r="I428" s="34"/>
    </row>
    <row r="429" spans="7:9" ht="14.25" customHeight="1" x14ac:dyDescent="0.25">
      <c r="G429" s="57"/>
      <c r="H429" s="57"/>
      <c r="I429" s="34"/>
    </row>
    <row r="430" spans="7:9" ht="14.25" customHeight="1" x14ac:dyDescent="0.25">
      <c r="G430" s="57"/>
      <c r="H430" s="57"/>
      <c r="I430" s="34"/>
    </row>
    <row r="431" spans="7:9" ht="14.25" customHeight="1" x14ac:dyDescent="0.25">
      <c r="G431" s="57"/>
      <c r="H431" s="57"/>
      <c r="I431" s="34"/>
    </row>
    <row r="432" spans="7:9" ht="14.25" customHeight="1" x14ac:dyDescent="0.25">
      <c r="G432" s="57"/>
      <c r="H432" s="57"/>
      <c r="I432" s="34"/>
    </row>
    <row r="433" spans="7:9" ht="14.25" customHeight="1" x14ac:dyDescent="0.25">
      <c r="G433" s="57"/>
      <c r="H433" s="57"/>
      <c r="I433" s="34"/>
    </row>
    <row r="434" spans="7:9" ht="14.25" customHeight="1" x14ac:dyDescent="0.25">
      <c r="G434" s="57"/>
      <c r="H434" s="57"/>
      <c r="I434" s="34"/>
    </row>
    <row r="435" spans="7:9" ht="14.25" customHeight="1" x14ac:dyDescent="0.25">
      <c r="G435" s="57"/>
      <c r="H435" s="57"/>
      <c r="I435" s="34"/>
    </row>
    <row r="436" spans="7:9" ht="14.25" customHeight="1" x14ac:dyDescent="0.25">
      <c r="G436" s="57"/>
      <c r="H436" s="57"/>
      <c r="I436" s="34"/>
    </row>
    <row r="437" spans="7:9" ht="14.25" customHeight="1" x14ac:dyDescent="0.25">
      <c r="G437" s="57"/>
      <c r="H437" s="57"/>
      <c r="I437" s="34"/>
    </row>
    <row r="438" spans="7:9" ht="14.25" customHeight="1" x14ac:dyDescent="0.25">
      <c r="G438" s="57"/>
      <c r="H438" s="57"/>
      <c r="I438" s="34"/>
    </row>
    <row r="439" spans="7:9" ht="14.25" customHeight="1" x14ac:dyDescent="0.25">
      <c r="G439" s="57"/>
      <c r="H439" s="57"/>
      <c r="I439" s="34"/>
    </row>
    <row r="440" spans="7:9" ht="14.25" customHeight="1" x14ac:dyDescent="0.25">
      <c r="G440" s="57"/>
      <c r="H440" s="57"/>
      <c r="I440" s="34"/>
    </row>
    <row r="441" spans="7:9" ht="14.25" customHeight="1" x14ac:dyDescent="0.25">
      <c r="G441" s="57"/>
      <c r="H441" s="57"/>
      <c r="I441" s="34"/>
    </row>
    <row r="442" spans="7:9" ht="14.25" customHeight="1" x14ac:dyDescent="0.25">
      <c r="G442" s="57"/>
      <c r="H442" s="57"/>
      <c r="I442" s="34"/>
    </row>
    <row r="443" spans="7:9" ht="14.25" customHeight="1" x14ac:dyDescent="0.25">
      <c r="G443" s="57"/>
      <c r="H443" s="57"/>
      <c r="I443" s="34"/>
    </row>
    <row r="444" spans="7:9" ht="14.25" customHeight="1" x14ac:dyDescent="0.25">
      <c r="G444" s="57"/>
      <c r="H444" s="57"/>
      <c r="I444" s="34"/>
    </row>
    <row r="445" spans="7:9" ht="14.25" customHeight="1" x14ac:dyDescent="0.25">
      <c r="G445" s="57"/>
      <c r="H445" s="57"/>
      <c r="I445" s="34"/>
    </row>
    <row r="446" spans="7:9" ht="14.25" customHeight="1" x14ac:dyDescent="0.25">
      <c r="G446" s="57"/>
      <c r="H446" s="57"/>
      <c r="I446" s="34"/>
    </row>
    <row r="447" spans="7:9" ht="14.25" customHeight="1" x14ac:dyDescent="0.25">
      <c r="G447" s="57"/>
      <c r="H447" s="57"/>
      <c r="I447" s="34"/>
    </row>
    <row r="448" spans="7:9" ht="14.25" customHeight="1" x14ac:dyDescent="0.25">
      <c r="G448" s="57"/>
      <c r="H448" s="57"/>
      <c r="I448" s="34"/>
    </row>
    <row r="449" spans="7:9" ht="14.25" customHeight="1" x14ac:dyDescent="0.25">
      <c r="G449" s="57"/>
      <c r="H449" s="57"/>
      <c r="I449" s="34"/>
    </row>
    <row r="450" spans="7:9" ht="14.25" customHeight="1" x14ac:dyDescent="0.25">
      <c r="G450" s="57"/>
      <c r="H450" s="57"/>
      <c r="I450" s="34"/>
    </row>
    <row r="451" spans="7:9" ht="14.25" customHeight="1" x14ac:dyDescent="0.25">
      <c r="G451" s="57"/>
      <c r="H451" s="57"/>
      <c r="I451" s="34"/>
    </row>
    <row r="452" spans="7:9" ht="14.25" customHeight="1" x14ac:dyDescent="0.25">
      <c r="G452" s="57"/>
      <c r="H452" s="57"/>
      <c r="I452" s="34"/>
    </row>
    <row r="453" spans="7:9" ht="14.25" customHeight="1" x14ac:dyDescent="0.25">
      <c r="G453" s="57"/>
      <c r="H453" s="57"/>
      <c r="I453" s="34"/>
    </row>
    <row r="454" spans="7:9" ht="14.25" customHeight="1" x14ac:dyDescent="0.25">
      <c r="G454" s="57"/>
      <c r="H454" s="57"/>
      <c r="I454" s="34"/>
    </row>
    <row r="455" spans="7:9" ht="14.25" customHeight="1" x14ac:dyDescent="0.25">
      <c r="G455" s="57"/>
      <c r="H455" s="57"/>
      <c r="I455" s="34"/>
    </row>
    <row r="456" spans="7:9" ht="14.25" customHeight="1" x14ac:dyDescent="0.25">
      <c r="G456" s="57"/>
      <c r="H456" s="57"/>
      <c r="I456" s="34"/>
    </row>
    <row r="457" spans="7:9" ht="14.25" customHeight="1" x14ac:dyDescent="0.25">
      <c r="G457" s="57"/>
      <c r="H457" s="57"/>
      <c r="I457" s="34"/>
    </row>
    <row r="458" spans="7:9" ht="14.25" customHeight="1" x14ac:dyDescent="0.25">
      <c r="G458" s="57"/>
      <c r="H458" s="57"/>
      <c r="I458" s="34"/>
    </row>
    <row r="459" spans="7:9" ht="14.25" customHeight="1" x14ac:dyDescent="0.25">
      <c r="G459" s="57"/>
      <c r="H459" s="57"/>
      <c r="I459" s="34"/>
    </row>
    <row r="460" spans="7:9" ht="14.25" customHeight="1" x14ac:dyDescent="0.25">
      <c r="G460" s="57"/>
      <c r="H460" s="57"/>
      <c r="I460" s="34"/>
    </row>
    <row r="461" spans="7:9" ht="14.25" customHeight="1" x14ac:dyDescent="0.25">
      <c r="G461" s="57"/>
      <c r="H461" s="57"/>
      <c r="I461" s="34"/>
    </row>
    <row r="462" spans="7:9" ht="14.25" customHeight="1" x14ac:dyDescent="0.25">
      <c r="G462" s="57"/>
      <c r="H462" s="57"/>
      <c r="I462" s="34"/>
    </row>
    <row r="463" spans="7:9" ht="14.25" customHeight="1" x14ac:dyDescent="0.25">
      <c r="G463" s="57"/>
      <c r="H463" s="57"/>
      <c r="I463" s="34"/>
    </row>
    <row r="464" spans="7:9" ht="14.25" customHeight="1" x14ac:dyDescent="0.25">
      <c r="G464" s="57"/>
      <c r="H464" s="57"/>
      <c r="I464" s="34"/>
    </row>
    <row r="465" spans="7:9" ht="14.25" customHeight="1" x14ac:dyDescent="0.25">
      <c r="G465" s="57"/>
      <c r="H465" s="57"/>
      <c r="I465" s="34"/>
    </row>
    <row r="466" spans="7:9" ht="14.25" customHeight="1" x14ac:dyDescent="0.25">
      <c r="G466" s="57"/>
      <c r="H466" s="57"/>
      <c r="I466" s="34"/>
    </row>
    <row r="467" spans="7:9" ht="14.25" customHeight="1" x14ac:dyDescent="0.25">
      <c r="G467" s="57"/>
      <c r="H467" s="57"/>
      <c r="I467" s="34"/>
    </row>
    <row r="468" spans="7:9" ht="14.25" customHeight="1" x14ac:dyDescent="0.25">
      <c r="G468" s="57"/>
      <c r="H468" s="57"/>
      <c r="I468" s="34"/>
    </row>
    <row r="469" spans="7:9" ht="14.25" customHeight="1" x14ac:dyDescent="0.25">
      <c r="G469" s="57"/>
      <c r="H469" s="57"/>
      <c r="I469" s="34"/>
    </row>
    <row r="470" spans="7:9" ht="14.25" customHeight="1" x14ac:dyDescent="0.25">
      <c r="G470" s="57"/>
      <c r="H470" s="57"/>
      <c r="I470" s="34"/>
    </row>
    <row r="471" spans="7:9" ht="14.25" customHeight="1" x14ac:dyDescent="0.25">
      <c r="G471" s="57"/>
      <c r="H471" s="57"/>
      <c r="I471" s="34"/>
    </row>
    <row r="472" spans="7:9" ht="14.25" customHeight="1" x14ac:dyDescent="0.25">
      <c r="G472" s="57"/>
      <c r="H472" s="57"/>
      <c r="I472" s="34"/>
    </row>
    <row r="473" spans="7:9" ht="14.25" customHeight="1" x14ac:dyDescent="0.25">
      <c r="G473" s="57"/>
      <c r="H473" s="57"/>
      <c r="I473" s="34"/>
    </row>
    <row r="474" spans="7:9" ht="14.25" customHeight="1" x14ac:dyDescent="0.25">
      <c r="G474" s="57"/>
      <c r="H474" s="57"/>
      <c r="I474" s="34"/>
    </row>
    <row r="475" spans="7:9" ht="14.25" customHeight="1" x14ac:dyDescent="0.25">
      <c r="G475" s="57"/>
      <c r="H475" s="57"/>
      <c r="I475" s="34"/>
    </row>
    <row r="476" spans="7:9" ht="14.25" customHeight="1" x14ac:dyDescent="0.25">
      <c r="G476" s="57"/>
      <c r="H476" s="57"/>
      <c r="I476" s="34"/>
    </row>
    <row r="477" spans="7:9" ht="14.25" customHeight="1" x14ac:dyDescent="0.25">
      <c r="G477" s="57"/>
      <c r="H477" s="57"/>
      <c r="I477" s="34"/>
    </row>
    <row r="478" spans="7:9" ht="14.25" customHeight="1" x14ac:dyDescent="0.25">
      <c r="G478" s="57"/>
      <c r="H478" s="57"/>
      <c r="I478" s="34"/>
    </row>
    <row r="479" spans="7:9" ht="14.25" customHeight="1" x14ac:dyDescent="0.25">
      <c r="G479" s="57"/>
      <c r="H479" s="57"/>
      <c r="I479" s="34"/>
    </row>
    <row r="480" spans="7:9" ht="14.25" customHeight="1" x14ac:dyDescent="0.25">
      <c r="G480" s="57"/>
      <c r="H480" s="57"/>
      <c r="I480" s="34"/>
    </row>
    <row r="481" spans="7:9" ht="14.25" customHeight="1" x14ac:dyDescent="0.25">
      <c r="G481" s="57"/>
      <c r="H481" s="57"/>
      <c r="I481" s="34"/>
    </row>
    <row r="482" spans="7:9" ht="14.25" customHeight="1" x14ac:dyDescent="0.25">
      <c r="G482" s="57"/>
      <c r="H482" s="57"/>
      <c r="I482" s="34"/>
    </row>
    <row r="483" spans="7:9" ht="14.25" customHeight="1" x14ac:dyDescent="0.25">
      <c r="G483" s="57"/>
      <c r="H483" s="57"/>
      <c r="I483" s="34"/>
    </row>
    <row r="484" spans="7:9" ht="14.25" customHeight="1" x14ac:dyDescent="0.25">
      <c r="G484" s="57"/>
      <c r="H484" s="57"/>
      <c r="I484" s="34"/>
    </row>
    <row r="485" spans="7:9" ht="14.25" customHeight="1" x14ac:dyDescent="0.25">
      <c r="G485" s="57"/>
      <c r="H485" s="57"/>
      <c r="I485" s="34"/>
    </row>
    <row r="486" spans="7:9" ht="14.25" customHeight="1" x14ac:dyDescent="0.25">
      <c r="G486" s="57"/>
      <c r="H486" s="57"/>
      <c r="I486" s="34"/>
    </row>
    <row r="487" spans="7:9" ht="14.25" customHeight="1" x14ac:dyDescent="0.25">
      <c r="G487" s="57"/>
      <c r="H487" s="57"/>
      <c r="I487" s="34"/>
    </row>
    <row r="488" spans="7:9" ht="14.25" customHeight="1" x14ac:dyDescent="0.25">
      <c r="G488" s="57"/>
      <c r="H488" s="57"/>
      <c r="I488" s="34"/>
    </row>
    <row r="489" spans="7:9" ht="14.25" customHeight="1" x14ac:dyDescent="0.25">
      <c r="G489" s="57"/>
      <c r="H489" s="57"/>
      <c r="I489" s="34"/>
    </row>
    <row r="490" spans="7:9" ht="14.25" customHeight="1" x14ac:dyDescent="0.25">
      <c r="G490" s="57"/>
      <c r="H490" s="57"/>
      <c r="I490" s="34"/>
    </row>
    <row r="491" spans="7:9" ht="14.25" customHeight="1" x14ac:dyDescent="0.25">
      <c r="G491" s="57"/>
      <c r="H491" s="57"/>
      <c r="I491" s="34"/>
    </row>
    <row r="492" spans="7:9" ht="14.25" customHeight="1" x14ac:dyDescent="0.25">
      <c r="G492" s="57"/>
      <c r="H492" s="57"/>
      <c r="I492" s="34"/>
    </row>
    <row r="493" spans="7:9" ht="14.25" customHeight="1" x14ac:dyDescent="0.25">
      <c r="G493" s="57"/>
      <c r="H493" s="57"/>
      <c r="I493" s="34"/>
    </row>
    <row r="494" spans="7:9" ht="14.25" customHeight="1" x14ac:dyDescent="0.25">
      <c r="G494" s="57"/>
      <c r="H494" s="57"/>
      <c r="I494" s="34"/>
    </row>
    <row r="495" spans="7:9" ht="14.25" customHeight="1" x14ac:dyDescent="0.25">
      <c r="G495" s="57"/>
      <c r="H495" s="57"/>
      <c r="I495" s="34"/>
    </row>
    <row r="496" spans="7:9" ht="14.25" customHeight="1" x14ac:dyDescent="0.25">
      <c r="G496" s="57"/>
      <c r="H496" s="57"/>
      <c r="I496" s="34"/>
    </row>
    <row r="497" spans="7:9" ht="14.25" customHeight="1" x14ac:dyDescent="0.25">
      <c r="G497" s="57"/>
      <c r="H497" s="57"/>
      <c r="I497" s="34"/>
    </row>
    <row r="498" spans="7:9" ht="14.25" customHeight="1" x14ac:dyDescent="0.25">
      <c r="G498" s="57"/>
      <c r="H498" s="57"/>
      <c r="I498" s="34"/>
    </row>
    <row r="499" spans="7:9" ht="14.25" customHeight="1" x14ac:dyDescent="0.25">
      <c r="G499" s="57"/>
      <c r="H499" s="57"/>
      <c r="I499" s="34"/>
    </row>
    <row r="500" spans="7:9" ht="14.25" customHeight="1" x14ac:dyDescent="0.25">
      <c r="G500" s="57"/>
      <c r="H500" s="57"/>
      <c r="I500" s="34"/>
    </row>
    <row r="501" spans="7:9" ht="14.25" customHeight="1" x14ac:dyDescent="0.25">
      <c r="G501" s="57"/>
      <c r="H501" s="57"/>
      <c r="I501" s="34"/>
    </row>
    <row r="502" spans="7:9" ht="14.25" customHeight="1" x14ac:dyDescent="0.25">
      <c r="G502" s="57"/>
      <c r="H502" s="57"/>
      <c r="I502" s="34"/>
    </row>
    <row r="503" spans="7:9" ht="14.25" customHeight="1" x14ac:dyDescent="0.25">
      <c r="G503" s="57"/>
      <c r="H503" s="57"/>
      <c r="I503" s="34"/>
    </row>
    <row r="504" spans="7:9" ht="14.25" customHeight="1" x14ac:dyDescent="0.25">
      <c r="G504" s="57"/>
      <c r="H504" s="57"/>
      <c r="I504" s="34"/>
    </row>
    <row r="505" spans="7:9" ht="14.25" customHeight="1" x14ac:dyDescent="0.25">
      <c r="G505" s="57"/>
      <c r="H505" s="57"/>
      <c r="I505" s="34"/>
    </row>
    <row r="506" spans="7:9" ht="14.25" customHeight="1" x14ac:dyDescent="0.25">
      <c r="G506" s="57"/>
      <c r="H506" s="57"/>
      <c r="I506" s="34"/>
    </row>
    <row r="507" spans="7:9" ht="14.25" customHeight="1" x14ac:dyDescent="0.25">
      <c r="G507" s="57"/>
      <c r="H507" s="57"/>
      <c r="I507" s="34"/>
    </row>
    <row r="508" spans="7:9" ht="14.25" customHeight="1" x14ac:dyDescent="0.25">
      <c r="G508" s="57"/>
      <c r="H508" s="57"/>
      <c r="I508" s="34"/>
    </row>
    <row r="509" spans="7:9" ht="14.25" customHeight="1" x14ac:dyDescent="0.25">
      <c r="G509" s="57"/>
      <c r="H509" s="57"/>
      <c r="I509" s="34"/>
    </row>
    <row r="510" spans="7:9" ht="14.25" customHeight="1" x14ac:dyDescent="0.25">
      <c r="G510" s="57"/>
      <c r="H510" s="57"/>
      <c r="I510" s="34"/>
    </row>
    <row r="511" spans="7:9" ht="14.25" customHeight="1" x14ac:dyDescent="0.25">
      <c r="G511" s="57"/>
      <c r="H511" s="57"/>
      <c r="I511" s="34"/>
    </row>
    <row r="512" spans="7:9" ht="14.25" customHeight="1" x14ac:dyDescent="0.25">
      <c r="G512" s="57"/>
      <c r="H512" s="57"/>
      <c r="I512" s="34"/>
    </row>
    <row r="513" spans="7:9" ht="14.25" customHeight="1" x14ac:dyDescent="0.25">
      <c r="G513" s="57"/>
      <c r="H513" s="57"/>
      <c r="I513" s="34"/>
    </row>
    <row r="514" spans="7:9" ht="14.25" customHeight="1" x14ac:dyDescent="0.25">
      <c r="G514" s="57"/>
      <c r="H514" s="57"/>
      <c r="I514" s="34"/>
    </row>
    <row r="515" spans="7:9" ht="14.25" customHeight="1" x14ac:dyDescent="0.25">
      <c r="G515" s="57"/>
      <c r="H515" s="57"/>
      <c r="I515" s="34"/>
    </row>
    <row r="516" spans="7:9" ht="14.25" customHeight="1" x14ac:dyDescent="0.25">
      <c r="G516" s="57"/>
      <c r="H516" s="57"/>
      <c r="I516" s="34"/>
    </row>
    <row r="517" spans="7:9" ht="14.25" customHeight="1" x14ac:dyDescent="0.25">
      <c r="G517" s="57"/>
      <c r="H517" s="57"/>
      <c r="I517" s="34"/>
    </row>
    <row r="518" spans="7:9" ht="14.25" customHeight="1" x14ac:dyDescent="0.25">
      <c r="G518" s="57"/>
      <c r="H518" s="57"/>
      <c r="I518" s="34"/>
    </row>
    <row r="519" spans="7:9" ht="14.25" customHeight="1" x14ac:dyDescent="0.25">
      <c r="G519" s="57"/>
      <c r="H519" s="57"/>
      <c r="I519" s="34"/>
    </row>
    <row r="520" spans="7:9" ht="14.25" customHeight="1" x14ac:dyDescent="0.25">
      <c r="G520" s="57"/>
      <c r="H520" s="57"/>
      <c r="I520" s="34"/>
    </row>
    <row r="521" spans="7:9" ht="14.25" customHeight="1" x14ac:dyDescent="0.25">
      <c r="G521" s="57"/>
      <c r="H521" s="57"/>
      <c r="I521" s="34"/>
    </row>
    <row r="522" spans="7:9" ht="14.25" customHeight="1" x14ac:dyDescent="0.25">
      <c r="G522" s="57"/>
      <c r="H522" s="57"/>
      <c r="I522" s="34"/>
    </row>
    <row r="523" spans="7:9" ht="14.25" customHeight="1" x14ac:dyDescent="0.25">
      <c r="G523" s="57"/>
      <c r="H523" s="57"/>
      <c r="I523" s="34"/>
    </row>
    <row r="524" spans="7:9" ht="14.25" customHeight="1" x14ac:dyDescent="0.25">
      <c r="G524" s="57"/>
      <c r="H524" s="57"/>
      <c r="I524" s="34"/>
    </row>
    <row r="525" spans="7:9" ht="14.25" customHeight="1" x14ac:dyDescent="0.25">
      <c r="G525" s="57"/>
      <c r="H525" s="57"/>
      <c r="I525" s="34"/>
    </row>
    <row r="526" spans="7:9" ht="14.25" customHeight="1" x14ac:dyDescent="0.25">
      <c r="G526" s="57"/>
      <c r="H526" s="57"/>
      <c r="I526" s="34"/>
    </row>
    <row r="527" spans="7:9" ht="14.25" customHeight="1" x14ac:dyDescent="0.25">
      <c r="G527" s="57"/>
      <c r="H527" s="57"/>
      <c r="I527" s="34"/>
    </row>
    <row r="528" spans="7:9" ht="14.25" customHeight="1" x14ac:dyDescent="0.25">
      <c r="G528" s="57"/>
      <c r="H528" s="57"/>
      <c r="I528" s="34"/>
    </row>
    <row r="529" spans="7:9" ht="14.25" customHeight="1" x14ac:dyDescent="0.25">
      <c r="G529" s="57"/>
      <c r="H529" s="57"/>
      <c r="I529" s="34"/>
    </row>
    <row r="530" spans="7:9" ht="14.25" customHeight="1" x14ac:dyDescent="0.25">
      <c r="G530" s="57"/>
      <c r="H530" s="57"/>
      <c r="I530" s="34"/>
    </row>
    <row r="531" spans="7:9" ht="14.25" customHeight="1" x14ac:dyDescent="0.25">
      <c r="G531" s="57"/>
      <c r="H531" s="57"/>
      <c r="I531" s="34"/>
    </row>
    <row r="532" spans="7:9" ht="14.25" customHeight="1" x14ac:dyDescent="0.25">
      <c r="G532" s="57"/>
      <c r="H532" s="57"/>
      <c r="I532" s="34"/>
    </row>
    <row r="533" spans="7:9" ht="14.25" customHeight="1" x14ac:dyDescent="0.25">
      <c r="G533" s="57"/>
      <c r="H533" s="57"/>
      <c r="I533" s="34"/>
    </row>
    <row r="534" spans="7:9" ht="14.25" customHeight="1" x14ac:dyDescent="0.25">
      <c r="G534" s="57"/>
      <c r="H534" s="57"/>
      <c r="I534" s="34"/>
    </row>
    <row r="535" spans="7:9" ht="14.25" customHeight="1" x14ac:dyDescent="0.25">
      <c r="G535" s="57"/>
      <c r="H535" s="57"/>
      <c r="I535" s="34"/>
    </row>
    <row r="536" spans="7:9" ht="14.25" customHeight="1" x14ac:dyDescent="0.25">
      <c r="G536" s="57"/>
      <c r="H536" s="57"/>
      <c r="I536" s="34"/>
    </row>
    <row r="537" spans="7:9" ht="14.25" customHeight="1" x14ac:dyDescent="0.25">
      <c r="G537" s="57"/>
      <c r="H537" s="57"/>
      <c r="I537" s="34"/>
    </row>
    <row r="538" spans="7:9" ht="14.25" customHeight="1" x14ac:dyDescent="0.25">
      <c r="G538" s="57"/>
      <c r="H538" s="57"/>
      <c r="I538" s="34"/>
    </row>
    <row r="539" spans="7:9" ht="14.25" customHeight="1" x14ac:dyDescent="0.25">
      <c r="G539" s="57"/>
      <c r="H539" s="57"/>
      <c r="I539" s="34"/>
    </row>
    <row r="540" spans="7:9" ht="14.25" customHeight="1" x14ac:dyDescent="0.25">
      <c r="G540" s="57"/>
      <c r="H540" s="57"/>
      <c r="I540" s="34"/>
    </row>
    <row r="541" spans="7:9" ht="14.25" customHeight="1" x14ac:dyDescent="0.25">
      <c r="G541" s="57"/>
      <c r="H541" s="57"/>
      <c r="I541" s="34"/>
    </row>
    <row r="542" spans="7:9" ht="14.25" customHeight="1" x14ac:dyDescent="0.25">
      <c r="G542" s="57"/>
      <c r="H542" s="57"/>
      <c r="I542" s="34"/>
    </row>
    <row r="543" spans="7:9" ht="14.25" customHeight="1" x14ac:dyDescent="0.25">
      <c r="G543" s="57"/>
      <c r="H543" s="57"/>
      <c r="I543" s="34"/>
    </row>
    <row r="544" spans="7:9" ht="14.25" customHeight="1" x14ac:dyDescent="0.25">
      <c r="G544" s="57"/>
      <c r="H544" s="57"/>
      <c r="I544" s="34"/>
    </row>
    <row r="545" spans="7:9" ht="14.25" customHeight="1" x14ac:dyDescent="0.25">
      <c r="G545" s="57"/>
      <c r="H545" s="57"/>
      <c r="I545" s="34"/>
    </row>
    <row r="546" spans="7:9" ht="14.25" customHeight="1" x14ac:dyDescent="0.25">
      <c r="G546" s="57"/>
      <c r="H546" s="57"/>
      <c r="I546" s="34"/>
    </row>
    <row r="547" spans="7:9" ht="14.25" customHeight="1" x14ac:dyDescent="0.25">
      <c r="G547" s="57"/>
      <c r="H547" s="57"/>
      <c r="I547" s="34"/>
    </row>
    <row r="548" spans="7:9" ht="14.25" customHeight="1" x14ac:dyDescent="0.25">
      <c r="G548" s="57"/>
      <c r="H548" s="57"/>
      <c r="I548" s="34"/>
    </row>
    <row r="549" spans="7:9" ht="14.25" customHeight="1" x14ac:dyDescent="0.25">
      <c r="G549" s="57"/>
      <c r="H549" s="57"/>
      <c r="I549" s="34"/>
    </row>
    <row r="550" spans="7:9" ht="14.25" customHeight="1" x14ac:dyDescent="0.25">
      <c r="G550" s="57"/>
      <c r="H550" s="57"/>
      <c r="I550" s="34"/>
    </row>
    <row r="551" spans="7:9" ht="14.25" customHeight="1" x14ac:dyDescent="0.25">
      <c r="G551" s="57"/>
      <c r="H551" s="57"/>
      <c r="I551" s="34"/>
    </row>
    <row r="552" spans="7:9" ht="14.25" customHeight="1" x14ac:dyDescent="0.25">
      <c r="G552" s="57"/>
      <c r="H552" s="57"/>
      <c r="I552" s="34"/>
    </row>
    <row r="553" spans="7:9" ht="14.25" customHeight="1" x14ac:dyDescent="0.25">
      <c r="G553" s="57"/>
      <c r="H553" s="57"/>
      <c r="I553" s="34"/>
    </row>
    <row r="554" spans="7:9" ht="14.25" customHeight="1" x14ac:dyDescent="0.25">
      <c r="G554" s="57"/>
      <c r="H554" s="57"/>
      <c r="I554" s="34"/>
    </row>
    <row r="555" spans="7:9" ht="14.25" customHeight="1" x14ac:dyDescent="0.25">
      <c r="G555" s="57"/>
      <c r="H555" s="57"/>
      <c r="I555" s="34"/>
    </row>
    <row r="556" spans="7:9" ht="14.25" customHeight="1" x14ac:dyDescent="0.25">
      <c r="G556" s="57"/>
      <c r="H556" s="57"/>
      <c r="I556" s="34"/>
    </row>
    <row r="557" spans="7:9" ht="14.25" customHeight="1" x14ac:dyDescent="0.25">
      <c r="G557" s="57"/>
      <c r="H557" s="57"/>
      <c r="I557" s="34"/>
    </row>
    <row r="558" spans="7:9" ht="14.25" customHeight="1" x14ac:dyDescent="0.25">
      <c r="G558" s="57"/>
      <c r="H558" s="57"/>
      <c r="I558" s="34"/>
    </row>
    <row r="559" spans="7:9" ht="14.25" customHeight="1" x14ac:dyDescent="0.25">
      <c r="G559" s="57"/>
      <c r="H559" s="57"/>
      <c r="I559" s="34"/>
    </row>
    <row r="560" spans="7:9" ht="14.25" customHeight="1" x14ac:dyDescent="0.25">
      <c r="G560" s="57"/>
      <c r="H560" s="57"/>
      <c r="I560" s="34"/>
    </row>
    <row r="561" spans="7:9" ht="14.25" customHeight="1" x14ac:dyDescent="0.25">
      <c r="G561" s="57"/>
      <c r="H561" s="57"/>
      <c r="I561" s="34"/>
    </row>
    <row r="562" spans="7:9" ht="14.25" customHeight="1" x14ac:dyDescent="0.25">
      <c r="G562" s="57"/>
      <c r="H562" s="57"/>
      <c r="I562" s="34"/>
    </row>
    <row r="563" spans="7:9" ht="14.25" customHeight="1" x14ac:dyDescent="0.25">
      <c r="G563" s="57"/>
      <c r="H563" s="57"/>
      <c r="I563" s="34"/>
    </row>
    <row r="564" spans="7:9" ht="14.25" customHeight="1" x14ac:dyDescent="0.25">
      <c r="G564" s="57"/>
      <c r="H564" s="57"/>
      <c r="I564" s="34"/>
    </row>
    <row r="565" spans="7:9" ht="14.25" customHeight="1" x14ac:dyDescent="0.25">
      <c r="G565" s="57"/>
      <c r="H565" s="57"/>
      <c r="I565" s="34"/>
    </row>
    <row r="566" spans="7:9" ht="14.25" customHeight="1" x14ac:dyDescent="0.25">
      <c r="G566" s="57"/>
      <c r="H566" s="57"/>
      <c r="I566" s="34"/>
    </row>
    <row r="567" spans="7:9" ht="14.25" customHeight="1" x14ac:dyDescent="0.25">
      <c r="G567" s="57"/>
      <c r="H567" s="57"/>
      <c r="I567" s="34"/>
    </row>
    <row r="568" spans="7:9" ht="14.25" customHeight="1" x14ac:dyDescent="0.25">
      <c r="G568" s="57"/>
      <c r="H568" s="57"/>
      <c r="I568" s="34"/>
    </row>
    <row r="569" spans="7:9" ht="14.25" customHeight="1" x14ac:dyDescent="0.25">
      <c r="G569" s="57"/>
      <c r="H569" s="57"/>
      <c r="I569" s="34"/>
    </row>
    <row r="570" spans="7:9" ht="14.25" customHeight="1" x14ac:dyDescent="0.25">
      <c r="G570" s="57"/>
      <c r="H570" s="57"/>
      <c r="I570" s="34"/>
    </row>
    <row r="571" spans="7:9" ht="14.25" customHeight="1" x14ac:dyDescent="0.25">
      <c r="G571" s="57"/>
      <c r="H571" s="57"/>
      <c r="I571" s="34"/>
    </row>
    <row r="572" spans="7:9" ht="14.25" customHeight="1" x14ac:dyDescent="0.25">
      <c r="G572" s="57"/>
      <c r="H572" s="57"/>
      <c r="I572" s="34"/>
    </row>
    <row r="573" spans="7:9" ht="14.25" customHeight="1" x14ac:dyDescent="0.25">
      <c r="G573" s="57"/>
      <c r="H573" s="57"/>
      <c r="I573" s="34"/>
    </row>
    <row r="574" spans="7:9" ht="14.25" customHeight="1" x14ac:dyDescent="0.25">
      <c r="G574" s="57"/>
      <c r="H574" s="57"/>
      <c r="I574" s="34"/>
    </row>
    <row r="575" spans="7:9" ht="14.25" customHeight="1" x14ac:dyDescent="0.25">
      <c r="G575" s="57"/>
      <c r="H575" s="57"/>
      <c r="I575" s="34"/>
    </row>
    <row r="576" spans="7:9" ht="14.25" customHeight="1" x14ac:dyDescent="0.25">
      <c r="G576" s="57"/>
      <c r="H576" s="57"/>
      <c r="I576" s="34"/>
    </row>
    <row r="577" spans="7:9" ht="14.25" customHeight="1" x14ac:dyDescent="0.25">
      <c r="G577" s="57"/>
      <c r="H577" s="57"/>
      <c r="I577" s="34"/>
    </row>
    <row r="578" spans="7:9" ht="14.25" customHeight="1" x14ac:dyDescent="0.25">
      <c r="G578" s="57"/>
      <c r="H578" s="57"/>
      <c r="I578" s="34"/>
    </row>
    <row r="579" spans="7:9" ht="14.25" customHeight="1" x14ac:dyDescent="0.25">
      <c r="G579" s="57"/>
      <c r="H579" s="57"/>
      <c r="I579" s="34"/>
    </row>
    <row r="580" spans="7:9" ht="14.25" customHeight="1" x14ac:dyDescent="0.25">
      <c r="G580" s="57"/>
      <c r="H580" s="57"/>
      <c r="I580" s="34"/>
    </row>
    <row r="581" spans="7:9" ht="14.25" customHeight="1" x14ac:dyDescent="0.25">
      <c r="G581" s="57"/>
      <c r="H581" s="57"/>
      <c r="I581" s="34"/>
    </row>
    <row r="582" spans="7:9" ht="14.25" customHeight="1" x14ac:dyDescent="0.25">
      <c r="G582" s="57"/>
      <c r="H582" s="57"/>
      <c r="I582" s="34"/>
    </row>
    <row r="583" spans="7:9" ht="14.25" customHeight="1" x14ac:dyDescent="0.25">
      <c r="G583" s="57"/>
      <c r="H583" s="57"/>
      <c r="I583" s="34"/>
    </row>
    <row r="584" spans="7:9" ht="14.25" customHeight="1" x14ac:dyDescent="0.25">
      <c r="G584" s="57"/>
      <c r="H584" s="57"/>
      <c r="I584" s="34"/>
    </row>
    <row r="585" spans="7:9" ht="14.25" customHeight="1" x14ac:dyDescent="0.25">
      <c r="G585" s="57"/>
      <c r="H585" s="57"/>
      <c r="I585" s="34"/>
    </row>
    <row r="586" spans="7:9" ht="14.25" customHeight="1" x14ac:dyDescent="0.25">
      <c r="G586" s="57"/>
      <c r="H586" s="57"/>
      <c r="I586" s="34"/>
    </row>
    <row r="587" spans="7:9" ht="14.25" customHeight="1" x14ac:dyDescent="0.25">
      <c r="G587" s="57"/>
      <c r="H587" s="57"/>
      <c r="I587" s="34"/>
    </row>
    <row r="588" spans="7:9" ht="14.25" customHeight="1" x14ac:dyDescent="0.25">
      <c r="G588" s="57"/>
      <c r="H588" s="57"/>
      <c r="I588" s="34"/>
    </row>
    <row r="589" spans="7:9" ht="14.25" customHeight="1" x14ac:dyDescent="0.25">
      <c r="G589" s="57"/>
      <c r="H589" s="57"/>
      <c r="I589" s="34"/>
    </row>
    <row r="590" spans="7:9" ht="14.25" customHeight="1" x14ac:dyDescent="0.25">
      <c r="G590" s="57"/>
      <c r="H590" s="57"/>
      <c r="I590" s="34"/>
    </row>
    <row r="591" spans="7:9" ht="14.25" customHeight="1" x14ac:dyDescent="0.25">
      <c r="G591" s="57"/>
      <c r="H591" s="57"/>
      <c r="I591" s="34"/>
    </row>
    <row r="592" spans="7:9" ht="14.25" customHeight="1" x14ac:dyDescent="0.25">
      <c r="G592" s="57"/>
      <c r="H592" s="57"/>
      <c r="I592" s="34"/>
    </row>
    <row r="593" spans="7:9" ht="14.25" customHeight="1" x14ac:dyDescent="0.25">
      <c r="G593" s="57"/>
      <c r="H593" s="57"/>
      <c r="I593" s="34"/>
    </row>
    <row r="594" spans="7:9" ht="14.25" customHeight="1" x14ac:dyDescent="0.25">
      <c r="G594" s="57"/>
      <c r="H594" s="57"/>
      <c r="I594" s="34"/>
    </row>
    <row r="595" spans="7:9" ht="14.25" customHeight="1" x14ac:dyDescent="0.25">
      <c r="G595" s="57"/>
      <c r="H595" s="57"/>
      <c r="I595" s="34"/>
    </row>
    <row r="596" spans="7:9" ht="14.25" customHeight="1" x14ac:dyDescent="0.25">
      <c r="G596" s="57"/>
      <c r="H596" s="57"/>
      <c r="I596" s="34"/>
    </row>
    <row r="597" spans="7:9" ht="14.25" customHeight="1" x14ac:dyDescent="0.25">
      <c r="G597" s="57"/>
      <c r="H597" s="57"/>
      <c r="I597" s="34"/>
    </row>
    <row r="598" spans="7:9" ht="14.25" customHeight="1" x14ac:dyDescent="0.25">
      <c r="G598" s="57"/>
      <c r="H598" s="57"/>
      <c r="I598" s="34"/>
    </row>
    <row r="599" spans="7:9" ht="14.25" customHeight="1" x14ac:dyDescent="0.25">
      <c r="G599" s="57"/>
      <c r="H599" s="57"/>
      <c r="I599" s="34"/>
    </row>
    <row r="600" spans="7:9" ht="14.25" customHeight="1" x14ac:dyDescent="0.25">
      <c r="G600" s="57"/>
      <c r="H600" s="57"/>
      <c r="I600" s="34"/>
    </row>
    <row r="601" spans="7:9" ht="14.25" customHeight="1" x14ac:dyDescent="0.25">
      <c r="G601" s="57"/>
      <c r="H601" s="57"/>
      <c r="I601" s="34"/>
    </row>
    <row r="602" spans="7:9" ht="14.25" customHeight="1" x14ac:dyDescent="0.25">
      <c r="G602" s="57"/>
      <c r="H602" s="57"/>
      <c r="I602" s="34"/>
    </row>
    <row r="603" spans="7:9" ht="14.25" customHeight="1" x14ac:dyDescent="0.25">
      <c r="G603" s="57"/>
      <c r="H603" s="57"/>
      <c r="I603" s="34"/>
    </row>
    <row r="604" spans="7:9" ht="14.25" customHeight="1" x14ac:dyDescent="0.25">
      <c r="G604" s="57"/>
      <c r="H604" s="57"/>
      <c r="I604" s="34"/>
    </row>
    <row r="605" spans="7:9" ht="14.25" customHeight="1" x14ac:dyDescent="0.25">
      <c r="G605" s="57"/>
      <c r="H605" s="57"/>
      <c r="I605" s="34"/>
    </row>
    <row r="606" spans="7:9" ht="14.25" customHeight="1" x14ac:dyDescent="0.25">
      <c r="G606" s="57"/>
      <c r="H606" s="57"/>
      <c r="I606" s="34"/>
    </row>
    <row r="607" spans="7:9" ht="14.25" customHeight="1" x14ac:dyDescent="0.25">
      <c r="G607" s="57"/>
      <c r="H607" s="57"/>
      <c r="I607" s="34"/>
    </row>
    <row r="608" spans="7:9" ht="14.25" customHeight="1" x14ac:dyDescent="0.25">
      <c r="G608" s="57"/>
      <c r="H608" s="57"/>
      <c r="I608" s="34"/>
    </row>
    <row r="609" spans="7:9" ht="14.25" customHeight="1" x14ac:dyDescent="0.25">
      <c r="G609" s="57"/>
      <c r="H609" s="57"/>
      <c r="I609" s="34"/>
    </row>
    <row r="610" spans="7:9" ht="14.25" customHeight="1" x14ac:dyDescent="0.25">
      <c r="G610" s="57"/>
      <c r="H610" s="57"/>
      <c r="I610" s="34"/>
    </row>
    <row r="611" spans="7:9" ht="14.25" customHeight="1" x14ac:dyDescent="0.25">
      <c r="G611" s="57"/>
      <c r="H611" s="57"/>
      <c r="I611" s="34"/>
    </row>
    <row r="612" spans="7:9" ht="14.25" customHeight="1" x14ac:dyDescent="0.25">
      <c r="G612" s="57"/>
      <c r="H612" s="57"/>
      <c r="I612" s="34"/>
    </row>
    <row r="613" spans="7:9" ht="14.25" customHeight="1" x14ac:dyDescent="0.25">
      <c r="G613" s="57"/>
      <c r="H613" s="57"/>
      <c r="I613" s="34"/>
    </row>
    <row r="614" spans="7:9" ht="14.25" customHeight="1" x14ac:dyDescent="0.25">
      <c r="G614" s="57"/>
      <c r="H614" s="57"/>
      <c r="I614" s="34"/>
    </row>
    <row r="615" spans="7:9" ht="14.25" customHeight="1" x14ac:dyDescent="0.25">
      <c r="G615" s="57"/>
      <c r="H615" s="57"/>
      <c r="I615" s="34"/>
    </row>
    <row r="616" spans="7:9" ht="14.25" customHeight="1" x14ac:dyDescent="0.25">
      <c r="G616" s="57"/>
      <c r="H616" s="57"/>
      <c r="I616" s="34"/>
    </row>
    <row r="617" spans="7:9" ht="14.25" customHeight="1" x14ac:dyDescent="0.25">
      <c r="G617" s="57"/>
      <c r="H617" s="57"/>
      <c r="I617" s="34"/>
    </row>
    <row r="618" spans="7:9" ht="14.25" customHeight="1" x14ac:dyDescent="0.25">
      <c r="G618" s="57"/>
      <c r="H618" s="57"/>
      <c r="I618" s="34"/>
    </row>
    <row r="619" spans="7:9" ht="14.25" customHeight="1" x14ac:dyDescent="0.25">
      <c r="G619" s="57"/>
      <c r="H619" s="57"/>
      <c r="I619" s="34"/>
    </row>
    <row r="620" spans="7:9" ht="14.25" customHeight="1" x14ac:dyDescent="0.25">
      <c r="G620" s="57"/>
      <c r="H620" s="57"/>
      <c r="I620" s="34"/>
    </row>
    <row r="621" spans="7:9" ht="14.25" customHeight="1" x14ac:dyDescent="0.25">
      <c r="G621" s="57"/>
      <c r="H621" s="57"/>
      <c r="I621" s="34"/>
    </row>
    <row r="622" spans="7:9" ht="14.25" customHeight="1" x14ac:dyDescent="0.25">
      <c r="G622" s="57"/>
      <c r="H622" s="57"/>
      <c r="I622" s="34"/>
    </row>
    <row r="623" spans="7:9" ht="14.25" customHeight="1" x14ac:dyDescent="0.25">
      <c r="G623" s="57"/>
      <c r="H623" s="57"/>
      <c r="I623" s="34"/>
    </row>
    <row r="624" spans="7:9" ht="14.25" customHeight="1" x14ac:dyDescent="0.25">
      <c r="G624" s="57"/>
      <c r="H624" s="57"/>
      <c r="I624" s="34"/>
    </row>
    <row r="625" spans="7:9" ht="14.25" customHeight="1" x14ac:dyDescent="0.25">
      <c r="G625" s="57"/>
      <c r="H625" s="57"/>
      <c r="I625" s="34"/>
    </row>
    <row r="626" spans="7:9" ht="14.25" customHeight="1" x14ac:dyDescent="0.25">
      <c r="G626" s="57"/>
      <c r="H626" s="57"/>
      <c r="I626" s="34"/>
    </row>
    <row r="627" spans="7:9" ht="14.25" customHeight="1" x14ac:dyDescent="0.25">
      <c r="G627" s="57"/>
      <c r="H627" s="57"/>
      <c r="I627" s="34"/>
    </row>
    <row r="628" spans="7:9" ht="14.25" customHeight="1" x14ac:dyDescent="0.25">
      <c r="G628" s="57"/>
      <c r="H628" s="57"/>
      <c r="I628" s="34"/>
    </row>
    <row r="629" spans="7:9" ht="14.25" customHeight="1" x14ac:dyDescent="0.25">
      <c r="G629" s="57"/>
      <c r="H629" s="57"/>
      <c r="I629" s="34"/>
    </row>
    <row r="630" spans="7:9" ht="14.25" customHeight="1" x14ac:dyDescent="0.25">
      <c r="G630" s="57"/>
      <c r="H630" s="57"/>
      <c r="I630" s="34"/>
    </row>
    <row r="631" spans="7:9" ht="14.25" customHeight="1" x14ac:dyDescent="0.25">
      <c r="G631" s="57"/>
      <c r="H631" s="57"/>
      <c r="I631" s="34"/>
    </row>
    <row r="632" spans="7:9" ht="14.25" customHeight="1" x14ac:dyDescent="0.25">
      <c r="G632" s="57"/>
      <c r="H632" s="57"/>
      <c r="I632" s="34"/>
    </row>
    <row r="633" spans="7:9" ht="14.25" customHeight="1" x14ac:dyDescent="0.25">
      <c r="G633" s="57"/>
      <c r="H633" s="57"/>
      <c r="I633" s="34"/>
    </row>
    <row r="634" spans="7:9" ht="14.25" customHeight="1" x14ac:dyDescent="0.25">
      <c r="G634" s="57"/>
      <c r="H634" s="57"/>
      <c r="I634" s="34"/>
    </row>
    <row r="635" spans="7:9" ht="14.25" customHeight="1" x14ac:dyDescent="0.25">
      <c r="G635" s="57"/>
      <c r="H635" s="57"/>
      <c r="I635" s="34"/>
    </row>
    <row r="636" spans="7:9" ht="14.25" customHeight="1" x14ac:dyDescent="0.25">
      <c r="G636" s="57"/>
      <c r="H636" s="57"/>
      <c r="I636" s="34"/>
    </row>
    <row r="637" spans="7:9" ht="14.25" customHeight="1" x14ac:dyDescent="0.25">
      <c r="G637" s="57"/>
      <c r="H637" s="57"/>
      <c r="I637" s="34"/>
    </row>
    <row r="638" spans="7:9" ht="14.25" customHeight="1" x14ac:dyDescent="0.25">
      <c r="G638" s="57"/>
      <c r="H638" s="57"/>
      <c r="I638" s="34"/>
    </row>
    <row r="639" spans="7:9" ht="14.25" customHeight="1" x14ac:dyDescent="0.25">
      <c r="G639" s="57"/>
      <c r="H639" s="57"/>
      <c r="I639" s="34"/>
    </row>
    <row r="640" spans="7:9" ht="14.25" customHeight="1" x14ac:dyDescent="0.25">
      <c r="G640" s="57"/>
      <c r="H640" s="57"/>
      <c r="I640" s="34"/>
    </row>
    <row r="641" spans="7:9" ht="14.25" customHeight="1" x14ac:dyDescent="0.25">
      <c r="G641" s="57"/>
      <c r="H641" s="57"/>
      <c r="I641" s="34"/>
    </row>
    <row r="642" spans="7:9" ht="14.25" customHeight="1" x14ac:dyDescent="0.25">
      <c r="G642" s="57"/>
      <c r="H642" s="57"/>
      <c r="I642" s="34"/>
    </row>
    <row r="643" spans="7:9" ht="14.25" customHeight="1" x14ac:dyDescent="0.25">
      <c r="G643" s="57"/>
      <c r="H643" s="57"/>
      <c r="I643" s="34"/>
    </row>
    <row r="644" spans="7:9" ht="14.25" customHeight="1" x14ac:dyDescent="0.25">
      <c r="G644" s="57"/>
      <c r="H644" s="57"/>
      <c r="I644" s="34"/>
    </row>
    <row r="645" spans="7:9" ht="14.25" customHeight="1" x14ac:dyDescent="0.25">
      <c r="G645" s="57"/>
      <c r="H645" s="57"/>
      <c r="I645" s="34"/>
    </row>
    <row r="646" spans="7:9" ht="14.25" customHeight="1" x14ac:dyDescent="0.25">
      <c r="G646" s="57"/>
      <c r="H646" s="57"/>
      <c r="I646" s="34"/>
    </row>
    <row r="647" spans="7:9" ht="14.25" customHeight="1" x14ac:dyDescent="0.25">
      <c r="G647" s="57"/>
      <c r="H647" s="57"/>
      <c r="I647" s="34"/>
    </row>
    <row r="648" spans="7:9" ht="14.25" customHeight="1" x14ac:dyDescent="0.25">
      <c r="G648" s="57"/>
      <c r="H648" s="57"/>
      <c r="I648" s="34"/>
    </row>
    <row r="649" spans="7:9" ht="14.25" customHeight="1" x14ac:dyDescent="0.25">
      <c r="G649" s="57"/>
      <c r="H649" s="57"/>
      <c r="I649" s="34"/>
    </row>
    <row r="650" spans="7:9" ht="14.25" customHeight="1" x14ac:dyDescent="0.25">
      <c r="G650" s="57"/>
      <c r="H650" s="57"/>
      <c r="I650" s="34"/>
    </row>
    <row r="651" spans="7:9" ht="14.25" customHeight="1" x14ac:dyDescent="0.25">
      <c r="G651" s="57"/>
      <c r="H651" s="57"/>
      <c r="I651" s="34"/>
    </row>
    <row r="652" spans="7:9" ht="14.25" customHeight="1" x14ac:dyDescent="0.25">
      <c r="G652" s="57"/>
      <c r="H652" s="57"/>
      <c r="I652" s="34"/>
    </row>
    <row r="653" spans="7:9" ht="14.25" customHeight="1" x14ac:dyDescent="0.25">
      <c r="G653" s="57"/>
      <c r="H653" s="57"/>
      <c r="I653" s="34"/>
    </row>
    <row r="654" spans="7:9" ht="14.25" customHeight="1" x14ac:dyDescent="0.25">
      <c r="G654" s="57"/>
      <c r="H654" s="57"/>
      <c r="I654" s="34"/>
    </row>
    <row r="655" spans="7:9" ht="14.25" customHeight="1" x14ac:dyDescent="0.25">
      <c r="G655" s="57"/>
      <c r="H655" s="57"/>
      <c r="I655" s="34"/>
    </row>
    <row r="656" spans="7:9" ht="14.25" customHeight="1" x14ac:dyDescent="0.25">
      <c r="G656" s="57"/>
      <c r="H656" s="57"/>
      <c r="I656" s="34"/>
    </row>
    <row r="657" spans="7:9" ht="14.25" customHeight="1" x14ac:dyDescent="0.25">
      <c r="G657" s="57"/>
      <c r="H657" s="57"/>
      <c r="I657" s="34"/>
    </row>
    <row r="658" spans="7:9" ht="14.25" customHeight="1" x14ac:dyDescent="0.25">
      <c r="G658" s="57"/>
      <c r="H658" s="57"/>
      <c r="I658" s="34"/>
    </row>
    <row r="659" spans="7:9" ht="14.25" customHeight="1" x14ac:dyDescent="0.25">
      <c r="G659" s="57"/>
      <c r="H659" s="57"/>
      <c r="I659" s="34"/>
    </row>
    <row r="660" spans="7:9" ht="14.25" customHeight="1" x14ac:dyDescent="0.25">
      <c r="G660" s="57"/>
      <c r="H660" s="57"/>
      <c r="I660" s="34"/>
    </row>
    <row r="661" spans="7:9" ht="14.25" customHeight="1" x14ac:dyDescent="0.25">
      <c r="G661" s="57"/>
      <c r="H661" s="57"/>
      <c r="I661" s="34"/>
    </row>
    <row r="662" spans="7:9" ht="14.25" customHeight="1" x14ac:dyDescent="0.25">
      <c r="G662" s="57"/>
      <c r="H662" s="57"/>
      <c r="I662" s="34"/>
    </row>
    <row r="663" spans="7:9" ht="14.25" customHeight="1" x14ac:dyDescent="0.25">
      <c r="G663" s="57"/>
      <c r="H663" s="57"/>
      <c r="I663" s="34"/>
    </row>
    <row r="664" spans="7:9" ht="14.25" customHeight="1" x14ac:dyDescent="0.25">
      <c r="G664" s="57"/>
      <c r="H664" s="57"/>
      <c r="I664" s="34"/>
    </row>
    <row r="665" spans="7:9" ht="14.25" customHeight="1" x14ac:dyDescent="0.25">
      <c r="G665" s="57"/>
      <c r="H665" s="57"/>
      <c r="I665" s="34"/>
    </row>
    <row r="666" spans="7:9" ht="14.25" customHeight="1" x14ac:dyDescent="0.25">
      <c r="G666" s="57"/>
      <c r="H666" s="57"/>
      <c r="I666" s="34"/>
    </row>
    <row r="667" spans="7:9" ht="14.25" customHeight="1" x14ac:dyDescent="0.25">
      <c r="G667" s="57"/>
      <c r="H667" s="57"/>
      <c r="I667" s="34"/>
    </row>
    <row r="668" spans="7:9" ht="14.25" customHeight="1" x14ac:dyDescent="0.25">
      <c r="G668" s="57"/>
      <c r="H668" s="57"/>
      <c r="I668" s="34"/>
    </row>
    <row r="669" spans="7:9" ht="14.25" customHeight="1" x14ac:dyDescent="0.25">
      <c r="G669" s="57"/>
      <c r="H669" s="57"/>
      <c r="I669" s="34"/>
    </row>
    <row r="670" spans="7:9" ht="14.25" customHeight="1" x14ac:dyDescent="0.25">
      <c r="G670" s="57"/>
      <c r="H670" s="57"/>
      <c r="I670" s="34"/>
    </row>
    <row r="671" spans="7:9" ht="14.25" customHeight="1" x14ac:dyDescent="0.25">
      <c r="G671" s="57"/>
      <c r="H671" s="57"/>
      <c r="I671" s="34"/>
    </row>
    <row r="672" spans="7:9" ht="14.25" customHeight="1" x14ac:dyDescent="0.25">
      <c r="G672" s="57"/>
      <c r="H672" s="57"/>
      <c r="I672" s="34"/>
    </row>
    <row r="673" spans="7:9" ht="14.25" customHeight="1" x14ac:dyDescent="0.25">
      <c r="G673" s="57"/>
      <c r="H673" s="57"/>
      <c r="I673" s="34"/>
    </row>
    <row r="674" spans="7:9" ht="14.25" customHeight="1" x14ac:dyDescent="0.25">
      <c r="G674" s="57"/>
      <c r="H674" s="57"/>
      <c r="I674" s="34"/>
    </row>
    <row r="675" spans="7:9" ht="14.25" customHeight="1" x14ac:dyDescent="0.25">
      <c r="G675" s="57"/>
      <c r="H675" s="57"/>
      <c r="I675" s="34"/>
    </row>
    <row r="676" spans="7:9" ht="14.25" customHeight="1" x14ac:dyDescent="0.25">
      <c r="G676" s="57"/>
      <c r="H676" s="57"/>
      <c r="I676" s="34"/>
    </row>
    <row r="677" spans="7:9" ht="14.25" customHeight="1" x14ac:dyDescent="0.25">
      <c r="G677" s="57"/>
      <c r="H677" s="57"/>
      <c r="I677" s="34"/>
    </row>
    <row r="678" spans="7:9" ht="14.25" customHeight="1" x14ac:dyDescent="0.25">
      <c r="G678" s="57"/>
      <c r="H678" s="57"/>
      <c r="I678" s="34"/>
    </row>
    <row r="679" spans="7:9" ht="14.25" customHeight="1" x14ac:dyDescent="0.25">
      <c r="G679" s="57"/>
      <c r="H679" s="57"/>
      <c r="I679" s="34"/>
    </row>
    <row r="680" spans="7:9" ht="14.25" customHeight="1" x14ac:dyDescent="0.25">
      <c r="G680" s="57"/>
      <c r="H680" s="57"/>
      <c r="I680" s="34"/>
    </row>
    <row r="681" spans="7:9" ht="14.25" customHeight="1" x14ac:dyDescent="0.25">
      <c r="G681" s="57"/>
      <c r="H681" s="57"/>
      <c r="I681" s="34"/>
    </row>
    <row r="682" spans="7:9" ht="14.25" customHeight="1" x14ac:dyDescent="0.25">
      <c r="G682" s="57"/>
      <c r="H682" s="57"/>
      <c r="I682" s="34"/>
    </row>
    <row r="683" spans="7:9" ht="14.25" customHeight="1" x14ac:dyDescent="0.25">
      <c r="G683" s="57"/>
      <c r="H683" s="57"/>
      <c r="I683" s="34"/>
    </row>
    <row r="684" spans="7:9" ht="14.25" customHeight="1" x14ac:dyDescent="0.25">
      <c r="G684" s="57"/>
      <c r="H684" s="57"/>
      <c r="I684" s="34"/>
    </row>
    <row r="685" spans="7:9" ht="14.25" customHeight="1" x14ac:dyDescent="0.25">
      <c r="G685" s="57"/>
      <c r="H685" s="57"/>
      <c r="I685" s="34"/>
    </row>
    <row r="686" spans="7:9" ht="14.25" customHeight="1" x14ac:dyDescent="0.25">
      <c r="G686" s="57"/>
      <c r="H686" s="57"/>
      <c r="I686" s="34"/>
    </row>
    <row r="687" spans="7:9" ht="14.25" customHeight="1" x14ac:dyDescent="0.25">
      <c r="G687" s="57"/>
      <c r="H687" s="57"/>
      <c r="I687" s="34"/>
    </row>
    <row r="688" spans="7:9" ht="14.25" customHeight="1" x14ac:dyDescent="0.25">
      <c r="G688" s="57"/>
      <c r="H688" s="57"/>
      <c r="I688" s="34"/>
    </row>
    <row r="689" spans="7:9" ht="14.25" customHeight="1" x14ac:dyDescent="0.25">
      <c r="G689" s="57"/>
      <c r="H689" s="57"/>
      <c r="I689" s="34"/>
    </row>
    <row r="690" spans="7:9" ht="14.25" customHeight="1" x14ac:dyDescent="0.25">
      <c r="G690" s="57"/>
      <c r="H690" s="57"/>
      <c r="I690" s="34"/>
    </row>
    <row r="691" spans="7:9" ht="14.25" customHeight="1" x14ac:dyDescent="0.25">
      <c r="G691" s="57"/>
      <c r="H691" s="57"/>
      <c r="I691" s="34"/>
    </row>
    <row r="692" spans="7:9" ht="14.25" customHeight="1" x14ac:dyDescent="0.25">
      <c r="G692" s="57"/>
      <c r="H692" s="57"/>
      <c r="I692" s="34"/>
    </row>
    <row r="693" spans="7:9" ht="14.25" customHeight="1" x14ac:dyDescent="0.25">
      <c r="G693" s="57"/>
      <c r="H693" s="57"/>
      <c r="I693" s="34"/>
    </row>
    <row r="694" spans="7:9" ht="14.25" customHeight="1" x14ac:dyDescent="0.25">
      <c r="G694" s="57"/>
      <c r="H694" s="57"/>
      <c r="I694" s="34"/>
    </row>
    <row r="695" spans="7:9" ht="14.25" customHeight="1" x14ac:dyDescent="0.25">
      <c r="G695" s="57"/>
      <c r="H695" s="57"/>
      <c r="I695" s="34"/>
    </row>
    <row r="696" spans="7:9" ht="14.25" customHeight="1" x14ac:dyDescent="0.25">
      <c r="G696" s="57"/>
      <c r="H696" s="57"/>
      <c r="I696" s="34"/>
    </row>
    <row r="697" spans="7:9" ht="14.25" customHeight="1" x14ac:dyDescent="0.25">
      <c r="G697" s="57"/>
      <c r="H697" s="57"/>
      <c r="I697" s="34"/>
    </row>
    <row r="698" spans="7:9" ht="14.25" customHeight="1" x14ac:dyDescent="0.25">
      <c r="G698" s="57"/>
      <c r="H698" s="57"/>
      <c r="I698" s="34"/>
    </row>
    <row r="699" spans="7:9" ht="14.25" customHeight="1" x14ac:dyDescent="0.25">
      <c r="G699" s="57"/>
      <c r="H699" s="57"/>
      <c r="I699" s="34"/>
    </row>
    <row r="700" spans="7:9" ht="14.25" customHeight="1" x14ac:dyDescent="0.25">
      <c r="G700" s="57"/>
      <c r="H700" s="57"/>
      <c r="I700" s="34"/>
    </row>
    <row r="701" spans="7:9" ht="14.25" customHeight="1" x14ac:dyDescent="0.25">
      <c r="G701" s="57"/>
      <c r="H701" s="57"/>
      <c r="I701" s="34"/>
    </row>
    <row r="702" spans="7:9" ht="14.25" customHeight="1" x14ac:dyDescent="0.25">
      <c r="G702" s="57"/>
      <c r="H702" s="57"/>
      <c r="I702" s="34"/>
    </row>
    <row r="703" spans="7:9" ht="14.25" customHeight="1" x14ac:dyDescent="0.25">
      <c r="G703" s="57"/>
      <c r="H703" s="57"/>
      <c r="I703" s="34"/>
    </row>
    <row r="704" spans="7:9" ht="14.25" customHeight="1" x14ac:dyDescent="0.25">
      <c r="G704" s="57"/>
      <c r="H704" s="57"/>
      <c r="I704" s="34"/>
    </row>
    <row r="705" spans="7:9" ht="14.25" customHeight="1" x14ac:dyDescent="0.25">
      <c r="G705" s="57"/>
      <c r="H705" s="57"/>
      <c r="I705" s="34"/>
    </row>
    <row r="706" spans="7:9" ht="14.25" customHeight="1" x14ac:dyDescent="0.25">
      <c r="G706" s="57"/>
      <c r="H706" s="57"/>
      <c r="I706" s="34"/>
    </row>
    <row r="707" spans="7:9" ht="14.25" customHeight="1" x14ac:dyDescent="0.25">
      <c r="G707" s="57"/>
      <c r="H707" s="57"/>
      <c r="I707" s="34"/>
    </row>
    <row r="708" spans="7:9" ht="14.25" customHeight="1" x14ac:dyDescent="0.25">
      <c r="G708" s="57"/>
      <c r="H708" s="57"/>
      <c r="I708" s="34"/>
    </row>
    <row r="709" spans="7:9" ht="14.25" customHeight="1" x14ac:dyDescent="0.25">
      <c r="G709" s="57"/>
      <c r="H709" s="57"/>
      <c r="I709" s="34"/>
    </row>
    <row r="710" spans="7:9" ht="14.25" customHeight="1" x14ac:dyDescent="0.25">
      <c r="G710" s="57"/>
      <c r="H710" s="57"/>
      <c r="I710" s="34"/>
    </row>
    <row r="711" spans="7:9" ht="14.25" customHeight="1" x14ac:dyDescent="0.25">
      <c r="G711" s="57"/>
      <c r="H711" s="57"/>
      <c r="I711" s="34"/>
    </row>
    <row r="712" spans="7:9" ht="14.25" customHeight="1" x14ac:dyDescent="0.25">
      <c r="G712" s="57"/>
      <c r="H712" s="57"/>
      <c r="I712" s="34"/>
    </row>
    <row r="713" spans="7:9" ht="14.25" customHeight="1" x14ac:dyDescent="0.25">
      <c r="G713" s="57"/>
      <c r="H713" s="57"/>
      <c r="I713" s="34"/>
    </row>
    <row r="714" spans="7:9" ht="14.25" customHeight="1" x14ac:dyDescent="0.25">
      <c r="G714" s="57"/>
      <c r="H714" s="57"/>
      <c r="I714" s="34"/>
    </row>
    <row r="715" spans="7:9" ht="14.25" customHeight="1" x14ac:dyDescent="0.25">
      <c r="G715" s="57"/>
      <c r="H715" s="57"/>
      <c r="I715" s="34"/>
    </row>
    <row r="716" spans="7:9" ht="14.25" customHeight="1" x14ac:dyDescent="0.25">
      <c r="G716" s="57"/>
      <c r="H716" s="57"/>
      <c r="I716" s="34"/>
    </row>
    <row r="717" spans="7:9" ht="14.25" customHeight="1" x14ac:dyDescent="0.25">
      <c r="G717" s="57"/>
      <c r="H717" s="57"/>
      <c r="I717" s="34"/>
    </row>
    <row r="718" spans="7:9" ht="14.25" customHeight="1" x14ac:dyDescent="0.25">
      <c r="G718" s="57"/>
      <c r="H718" s="57"/>
      <c r="I718" s="34"/>
    </row>
    <row r="719" spans="7:9" ht="14.25" customHeight="1" x14ac:dyDescent="0.25">
      <c r="G719" s="57"/>
      <c r="H719" s="57"/>
      <c r="I719" s="34"/>
    </row>
    <row r="720" spans="7:9" ht="14.25" customHeight="1" x14ac:dyDescent="0.25">
      <c r="G720" s="57"/>
      <c r="H720" s="57"/>
      <c r="I720" s="34"/>
    </row>
    <row r="721" spans="7:9" ht="14.25" customHeight="1" x14ac:dyDescent="0.25">
      <c r="G721" s="57"/>
      <c r="H721" s="57"/>
      <c r="I721" s="34"/>
    </row>
    <row r="722" spans="7:9" ht="14.25" customHeight="1" x14ac:dyDescent="0.25">
      <c r="G722" s="57"/>
      <c r="H722" s="57"/>
      <c r="I722" s="34"/>
    </row>
    <row r="723" spans="7:9" ht="14.25" customHeight="1" x14ac:dyDescent="0.25">
      <c r="G723" s="57"/>
      <c r="H723" s="57"/>
      <c r="I723" s="34"/>
    </row>
    <row r="724" spans="7:9" ht="14.25" customHeight="1" x14ac:dyDescent="0.25">
      <c r="G724" s="57"/>
      <c r="H724" s="57"/>
      <c r="I724" s="34"/>
    </row>
    <row r="725" spans="7:9" ht="14.25" customHeight="1" x14ac:dyDescent="0.25">
      <c r="G725" s="57"/>
      <c r="H725" s="57"/>
      <c r="I725" s="34"/>
    </row>
    <row r="726" spans="7:9" ht="14.25" customHeight="1" x14ac:dyDescent="0.25">
      <c r="G726" s="57"/>
      <c r="H726" s="57"/>
      <c r="I726" s="34"/>
    </row>
    <row r="727" spans="7:9" ht="14.25" customHeight="1" x14ac:dyDescent="0.25">
      <c r="G727" s="57"/>
      <c r="H727" s="57"/>
      <c r="I727" s="34"/>
    </row>
    <row r="728" spans="7:9" ht="14.25" customHeight="1" x14ac:dyDescent="0.25">
      <c r="G728" s="57"/>
      <c r="H728" s="57"/>
      <c r="I728" s="34"/>
    </row>
    <row r="729" spans="7:9" ht="14.25" customHeight="1" x14ac:dyDescent="0.25">
      <c r="G729" s="57"/>
      <c r="H729" s="57"/>
      <c r="I729" s="34"/>
    </row>
    <row r="730" spans="7:9" ht="14.25" customHeight="1" x14ac:dyDescent="0.25">
      <c r="G730" s="57"/>
      <c r="H730" s="57"/>
      <c r="I730" s="34"/>
    </row>
    <row r="731" spans="7:9" ht="14.25" customHeight="1" x14ac:dyDescent="0.25">
      <c r="G731" s="57"/>
      <c r="H731" s="57"/>
      <c r="I731" s="34"/>
    </row>
    <row r="732" spans="7:9" ht="14.25" customHeight="1" x14ac:dyDescent="0.25">
      <c r="G732" s="57"/>
      <c r="H732" s="57"/>
      <c r="I732" s="34"/>
    </row>
    <row r="733" spans="7:9" ht="14.25" customHeight="1" x14ac:dyDescent="0.25">
      <c r="G733" s="57"/>
      <c r="H733" s="57"/>
      <c r="I733" s="34"/>
    </row>
    <row r="734" spans="7:9" ht="14.25" customHeight="1" x14ac:dyDescent="0.25">
      <c r="G734" s="57"/>
      <c r="H734" s="57"/>
      <c r="I734" s="34"/>
    </row>
    <row r="735" spans="7:9" ht="14.25" customHeight="1" x14ac:dyDescent="0.25">
      <c r="G735" s="57"/>
      <c r="H735" s="57"/>
      <c r="I735" s="34"/>
    </row>
    <row r="736" spans="7:9" ht="14.25" customHeight="1" x14ac:dyDescent="0.25">
      <c r="G736" s="57"/>
      <c r="H736" s="57"/>
      <c r="I736" s="34"/>
    </row>
    <row r="737" spans="7:9" ht="14.25" customHeight="1" x14ac:dyDescent="0.25">
      <c r="G737" s="57"/>
      <c r="H737" s="57"/>
      <c r="I737" s="34"/>
    </row>
    <row r="738" spans="7:9" ht="14.25" customHeight="1" x14ac:dyDescent="0.25">
      <c r="G738" s="57"/>
      <c r="H738" s="57"/>
      <c r="I738" s="34"/>
    </row>
    <row r="739" spans="7:9" ht="14.25" customHeight="1" x14ac:dyDescent="0.25">
      <c r="G739" s="57"/>
      <c r="H739" s="57"/>
      <c r="I739" s="34"/>
    </row>
    <row r="740" spans="7:9" ht="14.25" customHeight="1" x14ac:dyDescent="0.25">
      <c r="G740" s="57"/>
      <c r="H740" s="57"/>
      <c r="I740" s="34"/>
    </row>
    <row r="741" spans="7:9" ht="14.25" customHeight="1" x14ac:dyDescent="0.25">
      <c r="G741" s="57"/>
      <c r="H741" s="57"/>
      <c r="I741" s="34"/>
    </row>
    <row r="742" spans="7:9" ht="14.25" customHeight="1" x14ac:dyDescent="0.25">
      <c r="G742" s="57"/>
      <c r="H742" s="57"/>
      <c r="I742" s="34"/>
    </row>
    <row r="743" spans="7:9" ht="14.25" customHeight="1" x14ac:dyDescent="0.25">
      <c r="G743" s="57"/>
      <c r="H743" s="57"/>
      <c r="I743" s="34"/>
    </row>
    <row r="744" spans="7:9" ht="14.25" customHeight="1" x14ac:dyDescent="0.25">
      <c r="G744" s="57"/>
      <c r="H744" s="57"/>
      <c r="I744" s="34"/>
    </row>
    <row r="745" spans="7:9" ht="14.25" customHeight="1" x14ac:dyDescent="0.25">
      <c r="G745" s="57"/>
      <c r="H745" s="57"/>
      <c r="I745" s="34"/>
    </row>
    <row r="746" spans="7:9" ht="14.25" customHeight="1" x14ac:dyDescent="0.25">
      <c r="G746" s="57"/>
      <c r="H746" s="57"/>
      <c r="I746" s="34"/>
    </row>
    <row r="747" spans="7:9" ht="14.25" customHeight="1" x14ac:dyDescent="0.25">
      <c r="G747" s="57"/>
      <c r="H747" s="57"/>
      <c r="I747" s="34"/>
    </row>
    <row r="748" spans="7:9" ht="14.25" customHeight="1" x14ac:dyDescent="0.25">
      <c r="G748" s="57"/>
      <c r="H748" s="57"/>
      <c r="I748" s="34"/>
    </row>
    <row r="749" spans="7:9" ht="14.25" customHeight="1" x14ac:dyDescent="0.25">
      <c r="G749" s="57"/>
      <c r="H749" s="57"/>
      <c r="I749" s="34"/>
    </row>
    <row r="750" spans="7:9" ht="14.25" customHeight="1" x14ac:dyDescent="0.25">
      <c r="G750" s="57"/>
      <c r="H750" s="57"/>
      <c r="I750" s="34"/>
    </row>
    <row r="751" spans="7:9" ht="14.25" customHeight="1" x14ac:dyDescent="0.25">
      <c r="G751" s="57"/>
      <c r="H751" s="57"/>
      <c r="I751" s="34"/>
    </row>
    <row r="752" spans="7:9" ht="14.25" customHeight="1" x14ac:dyDescent="0.25">
      <c r="G752" s="57"/>
      <c r="H752" s="57"/>
      <c r="I752" s="34"/>
    </row>
    <row r="753" spans="7:9" ht="14.25" customHeight="1" x14ac:dyDescent="0.25">
      <c r="G753" s="57"/>
      <c r="H753" s="57"/>
      <c r="I753" s="34"/>
    </row>
    <row r="754" spans="7:9" ht="14.25" customHeight="1" x14ac:dyDescent="0.25">
      <c r="G754" s="57"/>
      <c r="H754" s="57"/>
      <c r="I754" s="34"/>
    </row>
    <row r="755" spans="7:9" ht="14.25" customHeight="1" x14ac:dyDescent="0.25">
      <c r="G755" s="57"/>
      <c r="H755" s="57"/>
      <c r="I755" s="34"/>
    </row>
    <row r="756" spans="7:9" ht="14.25" customHeight="1" x14ac:dyDescent="0.25">
      <c r="G756" s="57"/>
      <c r="H756" s="57"/>
      <c r="I756" s="34"/>
    </row>
    <row r="757" spans="7:9" ht="14.25" customHeight="1" x14ac:dyDescent="0.25">
      <c r="G757" s="57"/>
      <c r="H757" s="57"/>
      <c r="I757" s="34"/>
    </row>
    <row r="758" spans="7:9" ht="14.25" customHeight="1" x14ac:dyDescent="0.25">
      <c r="G758" s="57"/>
      <c r="H758" s="57"/>
      <c r="I758" s="34"/>
    </row>
    <row r="759" spans="7:9" ht="14.25" customHeight="1" x14ac:dyDescent="0.25">
      <c r="G759" s="57"/>
      <c r="H759" s="57"/>
      <c r="I759" s="34"/>
    </row>
    <row r="760" spans="7:9" ht="14.25" customHeight="1" x14ac:dyDescent="0.25">
      <c r="G760" s="57"/>
      <c r="H760" s="57"/>
      <c r="I760" s="34"/>
    </row>
    <row r="761" spans="7:9" ht="14.25" customHeight="1" x14ac:dyDescent="0.25">
      <c r="G761" s="57"/>
      <c r="H761" s="57"/>
      <c r="I761" s="34"/>
    </row>
    <row r="762" spans="7:9" ht="14.25" customHeight="1" x14ac:dyDescent="0.25">
      <c r="G762" s="57"/>
      <c r="H762" s="57"/>
      <c r="I762" s="34"/>
    </row>
    <row r="763" spans="7:9" ht="14.25" customHeight="1" x14ac:dyDescent="0.25">
      <c r="G763" s="57"/>
      <c r="H763" s="57"/>
      <c r="I763" s="34"/>
    </row>
    <row r="764" spans="7:9" ht="14.25" customHeight="1" x14ac:dyDescent="0.25">
      <c r="G764" s="57"/>
      <c r="H764" s="57"/>
      <c r="I764" s="34"/>
    </row>
    <row r="765" spans="7:9" ht="14.25" customHeight="1" x14ac:dyDescent="0.25">
      <c r="G765" s="57"/>
      <c r="H765" s="57"/>
      <c r="I765" s="34"/>
    </row>
    <row r="766" spans="7:9" ht="14.25" customHeight="1" x14ac:dyDescent="0.25">
      <c r="G766" s="57"/>
      <c r="H766" s="57"/>
      <c r="I766" s="34"/>
    </row>
    <row r="767" spans="7:9" ht="14.25" customHeight="1" x14ac:dyDescent="0.25">
      <c r="G767" s="57"/>
      <c r="H767" s="57"/>
      <c r="I767" s="34"/>
    </row>
    <row r="768" spans="7:9" ht="14.25" customHeight="1" x14ac:dyDescent="0.25">
      <c r="G768" s="57"/>
      <c r="H768" s="57"/>
      <c r="I768" s="34"/>
    </row>
    <row r="769" spans="7:9" ht="14.25" customHeight="1" x14ac:dyDescent="0.25">
      <c r="G769" s="57"/>
      <c r="H769" s="57"/>
      <c r="I769" s="34"/>
    </row>
    <row r="770" spans="7:9" ht="14.25" customHeight="1" x14ac:dyDescent="0.25">
      <c r="G770" s="57"/>
      <c r="H770" s="57"/>
      <c r="I770" s="34"/>
    </row>
    <row r="771" spans="7:9" ht="14.25" customHeight="1" x14ac:dyDescent="0.25">
      <c r="G771" s="57"/>
      <c r="H771" s="57"/>
      <c r="I771" s="34"/>
    </row>
    <row r="772" spans="7:9" ht="14.25" customHeight="1" x14ac:dyDescent="0.25">
      <c r="G772" s="57"/>
      <c r="H772" s="57"/>
      <c r="I772" s="34"/>
    </row>
    <row r="773" spans="7:9" ht="14.25" customHeight="1" x14ac:dyDescent="0.25">
      <c r="G773" s="57"/>
      <c r="H773" s="57"/>
      <c r="I773" s="34"/>
    </row>
    <row r="774" spans="7:9" ht="14.25" customHeight="1" x14ac:dyDescent="0.25">
      <c r="G774" s="57"/>
      <c r="H774" s="57"/>
      <c r="I774" s="34"/>
    </row>
    <row r="775" spans="7:9" ht="14.25" customHeight="1" x14ac:dyDescent="0.25">
      <c r="G775" s="57"/>
      <c r="H775" s="57"/>
      <c r="I775" s="34"/>
    </row>
    <row r="776" spans="7:9" ht="14.25" customHeight="1" x14ac:dyDescent="0.25">
      <c r="G776" s="57"/>
      <c r="H776" s="57"/>
      <c r="I776" s="34"/>
    </row>
    <row r="777" spans="7:9" ht="14.25" customHeight="1" x14ac:dyDescent="0.25">
      <c r="G777" s="57"/>
      <c r="H777" s="57"/>
      <c r="I777" s="34"/>
    </row>
    <row r="778" spans="7:9" ht="14.25" customHeight="1" x14ac:dyDescent="0.25">
      <c r="G778" s="57"/>
      <c r="H778" s="57"/>
      <c r="I778" s="34"/>
    </row>
    <row r="779" spans="7:9" ht="14.25" customHeight="1" x14ac:dyDescent="0.25">
      <c r="G779" s="57"/>
      <c r="H779" s="57"/>
      <c r="I779" s="34"/>
    </row>
    <row r="780" spans="7:9" ht="14.25" customHeight="1" x14ac:dyDescent="0.25">
      <c r="G780" s="57"/>
      <c r="H780" s="57"/>
      <c r="I780" s="34"/>
    </row>
    <row r="781" spans="7:9" ht="14.25" customHeight="1" x14ac:dyDescent="0.25">
      <c r="G781" s="57"/>
      <c r="H781" s="57"/>
      <c r="I781" s="34"/>
    </row>
    <row r="782" spans="7:9" ht="14.25" customHeight="1" x14ac:dyDescent="0.25">
      <c r="G782" s="57"/>
      <c r="H782" s="57"/>
      <c r="I782" s="34"/>
    </row>
    <row r="783" spans="7:9" ht="14.25" customHeight="1" x14ac:dyDescent="0.25">
      <c r="G783" s="57"/>
      <c r="H783" s="57"/>
      <c r="I783" s="34"/>
    </row>
    <row r="784" spans="7:9" ht="14.25" customHeight="1" x14ac:dyDescent="0.25">
      <c r="G784" s="57"/>
      <c r="H784" s="57"/>
      <c r="I784" s="34"/>
    </row>
    <row r="785" spans="7:9" ht="14.25" customHeight="1" x14ac:dyDescent="0.25">
      <c r="G785" s="57"/>
      <c r="H785" s="57"/>
      <c r="I785" s="34"/>
    </row>
    <row r="786" spans="7:9" ht="14.25" customHeight="1" x14ac:dyDescent="0.25">
      <c r="G786" s="57"/>
      <c r="H786" s="57"/>
      <c r="I786" s="34"/>
    </row>
    <row r="787" spans="7:9" ht="14.25" customHeight="1" x14ac:dyDescent="0.25">
      <c r="G787" s="57"/>
      <c r="H787" s="57"/>
      <c r="I787" s="34"/>
    </row>
    <row r="788" spans="7:9" ht="14.25" customHeight="1" x14ac:dyDescent="0.25">
      <c r="G788" s="57"/>
      <c r="H788" s="57"/>
      <c r="I788" s="34"/>
    </row>
    <row r="789" spans="7:9" ht="14.25" customHeight="1" x14ac:dyDescent="0.25">
      <c r="G789" s="57"/>
      <c r="H789" s="57"/>
      <c r="I789" s="34"/>
    </row>
    <row r="790" spans="7:9" ht="14.25" customHeight="1" x14ac:dyDescent="0.25">
      <c r="G790" s="57"/>
      <c r="H790" s="57"/>
      <c r="I790" s="34"/>
    </row>
    <row r="791" spans="7:9" ht="14.25" customHeight="1" x14ac:dyDescent="0.25">
      <c r="G791" s="57"/>
      <c r="H791" s="57"/>
      <c r="I791" s="34"/>
    </row>
    <row r="792" spans="7:9" ht="14.25" customHeight="1" x14ac:dyDescent="0.25">
      <c r="G792" s="57"/>
      <c r="H792" s="57"/>
      <c r="I792" s="34"/>
    </row>
    <row r="793" spans="7:9" ht="14.25" customHeight="1" x14ac:dyDescent="0.25">
      <c r="G793" s="57"/>
      <c r="H793" s="57"/>
      <c r="I793" s="34"/>
    </row>
    <row r="794" spans="7:9" ht="14.25" customHeight="1" x14ac:dyDescent="0.25">
      <c r="G794" s="57"/>
      <c r="H794" s="57"/>
      <c r="I794" s="34"/>
    </row>
    <row r="795" spans="7:9" ht="14.25" customHeight="1" x14ac:dyDescent="0.25">
      <c r="G795" s="57"/>
      <c r="H795" s="57"/>
      <c r="I795" s="34"/>
    </row>
    <row r="796" spans="7:9" ht="14.25" customHeight="1" x14ac:dyDescent="0.25">
      <c r="G796" s="57"/>
      <c r="H796" s="57"/>
      <c r="I796" s="34"/>
    </row>
    <row r="797" spans="7:9" ht="14.25" customHeight="1" x14ac:dyDescent="0.25">
      <c r="G797" s="57"/>
      <c r="H797" s="57"/>
      <c r="I797" s="34"/>
    </row>
    <row r="798" spans="7:9" ht="14.25" customHeight="1" x14ac:dyDescent="0.25">
      <c r="G798" s="57"/>
      <c r="H798" s="57"/>
      <c r="I798" s="34"/>
    </row>
    <row r="799" spans="7:9" ht="14.25" customHeight="1" x14ac:dyDescent="0.25">
      <c r="G799" s="57"/>
      <c r="H799" s="57"/>
      <c r="I799" s="34"/>
    </row>
    <row r="800" spans="7:9" ht="14.25" customHeight="1" x14ac:dyDescent="0.25">
      <c r="G800" s="57"/>
      <c r="H800" s="57"/>
      <c r="I800" s="34"/>
    </row>
    <row r="801" spans="7:9" ht="14.25" customHeight="1" x14ac:dyDescent="0.25">
      <c r="G801" s="57"/>
      <c r="H801" s="57"/>
      <c r="I801" s="34"/>
    </row>
    <row r="802" spans="7:9" ht="14.25" customHeight="1" x14ac:dyDescent="0.25">
      <c r="G802" s="57"/>
      <c r="H802" s="57"/>
      <c r="I802" s="34"/>
    </row>
    <row r="803" spans="7:9" ht="14.25" customHeight="1" x14ac:dyDescent="0.25">
      <c r="G803" s="57"/>
      <c r="H803" s="57"/>
      <c r="I803" s="34"/>
    </row>
    <row r="804" spans="7:9" ht="14.25" customHeight="1" x14ac:dyDescent="0.25">
      <c r="G804" s="57"/>
      <c r="H804" s="57"/>
      <c r="I804" s="34"/>
    </row>
    <row r="805" spans="7:9" ht="14.25" customHeight="1" x14ac:dyDescent="0.25">
      <c r="G805" s="57"/>
      <c r="H805" s="57"/>
      <c r="I805" s="34"/>
    </row>
    <row r="806" spans="7:9" ht="14.25" customHeight="1" x14ac:dyDescent="0.25">
      <c r="G806" s="57"/>
      <c r="H806" s="57"/>
      <c r="I806" s="34"/>
    </row>
    <row r="807" spans="7:9" ht="14.25" customHeight="1" x14ac:dyDescent="0.25">
      <c r="G807" s="57"/>
      <c r="H807" s="57"/>
      <c r="I807" s="34"/>
    </row>
    <row r="808" spans="7:9" ht="14.25" customHeight="1" x14ac:dyDescent="0.25">
      <c r="G808" s="57"/>
      <c r="H808" s="57"/>
      <c r="I808" s="34"/>
    </row>
    <row r="809" spans="7:9" ht="14.25" customHeight="1" x14ac:dyDescent="0.25">
      <c r="G809" s="57"/>
      <c r="H809" s="57"/>
      <c r="I809" s="34"/>
    </row>
    <row r="810" spans="7:9" ht="14.25" customHeight="1" x14ac:dyDescent="0.25">
      <c r="G810" s="57"/>
      <c r="H810" s="57"/>
      <c r="I810" s="34"/>
    </row>
    <row r="811" spans="7:9" ht="14.25" customHeight="1" x14ac:dyDescent="0.25">
      <c r="G811" s="57"/>
      <c r="H811" s="57"/>
      <c r="I811" s="34"/>
    </row>
    <row r="812" spans="7:9" ht="14.25" customHeight="1" x14ac:dyDescent="0.25">
      <c r="G812" s="57"/>
      <c r="H812" s="57"/>
      <c r="I812" s="34"/>
    </row>
    <row r="813" spans="7:9" ht="14.25" customHeight="1" x14ac:dyDescent="0.25">
      <c r="G813" s="57"/>
      <c r="H813" s="57"/>
      <c r="I813" s="34"/>
    </row>
    <row r="814" spans="7:9" ht="14.25" customHeight="1" x14ac:dyDescent="0.25">
      <c r="G814" s="57"/>
      <c r="H814" s="57"/>
      <c r="I814" s="34"/>
    </row>
    <row r="815" spans="7:9" ht="14.25" customHeight="1" x14ac:dyDescent="0.25">
      <c r="G815" s="57"/>
      <c r="H815" s="57"/>
      <c r="I815" s="34"/>
    </row>
    <row r="816" spans="7:9" ht="14.25" customHeight="1" x14ac:dyDescent="0.25">
      <c r="G816" s="57"/>
      <c r="H816" s="57"/>
      <c r="I816" s="34"/>
    </row>
    <row r="817" spans="7:9" ht="14.25" customHeight="1" x14ac:dyDescent="0.25">
      <c r="G817" s="57"/>
      <c r="H817" s="57"/>
      <c r="I817" s="34"/>
    </row>
    <row r="818" spans="7:9" ht="14.25" customHeight="1" x14ac:dyDescent="0.25">
      <c r="G818" s="57"/>
      <c r="H818" s="57"/>
      <c r="I818" s="34"/>
    </row>
    <row r="819" spans="7:9" ht="14.25" customHeight="1" x14ac:dyDescent="0.25">
      <c r="G819" s="57"/>
      <c r="H819" s="57"/>
      <c r="I819" s="34"/>
    </row>
    <row r="820" spans="7:9" ht="14.25" customHeight="1" x14ac:dyDescent="0.25">
      <c r="G820" s="57"/>
      <c r="H820" s="57"/>
      <c r="I820" s="34"/>
    </row>
    <row r="821" spans="7:9" ht="14.25" customHeight="1" x14ac:dyDescent="0.25">
      <c r="G821" s="57"/>
      <c r="H821" s="57"/>
      <c r="I821" s="34"/>
    </row>
    <row r="822" spans="7:9" ht="14.25" customHeight="1" x14ac:dyDescent="0.25">
      <c r="G822" s="57"/>
      <c r="H822" s="57"/>
      <c r="I822" s="34"/>
    </row>
    <row r="823" spans="7:9" ht="14.25" customHeight="1" x14ac:dyDescent="0.25">
      <c r="G823" s="57"/>
      <c r="H823" s="57"/>
      <c r="I823" s="34"/>
    </row>
    <row r="824" spans="7:9" ht="14.25" customHeight="1" x14ac:dyDescent="0.25">
      <c r="G824" s="57"/>
      <c r="H824" s="57"/>
      <c r="I824" s="34"/>
    </row>
    <row r="825" spans="7:9" ht="14.25" customHeight="1" x14ac:dyDescent="0.25">
      <c r="G825" s="57"/>
      <c r="H825" s="57"/>
      <c r="I825" s="34"/>
    </row>
    <row r="826" spans="7:9" ht="14.25" customHeight="1" x14ac:dyDescent="0.25">
      <c r="G826" s="57"/>
      <c r="H826" s="57"/>
      <c r="I826" s="34"/>
    </row>
    <row r="827" spans="7:9" ht="14.25" customHeight="1" x14ac:dyDescent="0.25">
      <c r="G827" s="57"/>
      <c r="H827" s="57"/>
      <c r="I827" s="34"/>
    </row>
    <row r="828" spans="7:9" ht="14.25" customHeight="1" x14ac:dyDescent="0.25">
      <c r="G828" s="57"/>
      <c r="H828" s="57"/>
      <c r="I828" s="34"/>
    </row>
    <row r="829" spans="7:9" ht="14.25" customHeight="1" x14ac:dyDescent="0.25">
      <c r="G829" s="57"/>
      <c r="H829" s="57"/>
      <c r="I829" s="34"/>
    </row>
    <row r="830" spans="7:9" ht="14.25" customHeight="1" x14ac:dyDescent="0.25">
      <c r="G830" s="57"/>
      <c r="H830" s="57"/>
      <c r="I830" s="34"/>
    </row>
    <row r="831" spans="7:9" ht="14.25" customHeight="1" x14ac:dyDescent="0.25">
      <c r="G831" s="57"/>
      <c r="H831" s="57"/>
      <c r="I831" s="34"/>
    </row>
    <row r="832" spans="7:9" ht="14.25" customHeight="1" x14ac:dyDescent="0.25">
      <c r="G832" s="57"/>
      <c r="H832" s="57"/>
      <c r="I832" s="34"/>
    </row>
    <row r="833" spans="7:9" ht="14.25" customHeight="1" x14ac:dyDescent="0.25">
      <c r="G833" s="57"/>
      <c r="H833" s="57"/>
      <c r="I833" s="34"/>
    </row>
    <row r="834" spans="7:9" ht="14.25" customHeight="1" x14ac:dyDescent="0.25">
      <c r="G834" s="57"/>
      <c r="H834" s="57"/>
      <c r="I834" s="34"/>
    </row>
    <row r="835" spans="7:9" ht="14.25" customHeight="1" x14ac:dyDescent="0.25">
      <c r="G835" s="57"/>
      <c r="H835" s="57"/>
      <c r="I835" s="34"/>
    </row>
    <row r="836" spans="7:9" ht="14.25" customHeight="1" x14ac:dyDescent="0.25">
      <c r="G836" s="57"/>
      <c r="H836" s="57"/>
      <c r="I836" s="34"/>
    </row>
    <row r="837" spans="7:9" ht="14.25" customHeight="1" x14ac:dyDescent="0.25">
      <c r="G837" s="57"/>
      <c r="H837" s="57"/>
      <c r="I837" s="34"/>
    </row>
    <row r="838" spans="7:9" ht="14.25" customHeight="1" x14ac:dyDescent="0.25">
      <c r="G838" s="57"/>
      <c r="H838" s="57"/>
      <c r="I838" s="34"/>
    </row>
    <row r="839" spans="7:9" ht="14.25" customHeight="1" x14ac:dyDescent="0.25">
      <c r="G839" s="57"/>
      <c r="H839" s="57"/>
      <c r="I839" s="34"/>
    </row>
    <row r="840" spans="7:9" ht="14.25" customHeight="1" x14ac:dyDescent="0.25">
      <c r="G840" s="57"/>
      <c r="H840" s="57"/>
      <c r="I840" s="34"/>
    </row>
    <row r="841" spans="7:9" ht="14.25" customHeight="1" x14ac:dyDescent="0.25">
      <c r="G841" s="57"/>
      <c r="H841" s="57"/>
      <c r="I841" s="34"/>
    </row>
    <row r="842" spans="7:9" ht="14.25" customHeight="1" x14ac:dyDescent="0.25">
      <c r="G842" s="57"/>
      <c r="H842" s="57"/>
      <c r="I842" s="34"/>
    </row>
    <row r="843" spans="7:9" ht="14.25" customHeight="1" x14ac:dyDescent="0.25">
      <c r="G843" s="57"/>
      <c r="H843" s="57"/>
      <c r="I843" s="34"/>
    </row>
    <row r="844" spans="7:9" ht="14.25" customHeight="1" x14ac:dyDescent="0.25">
      <c r="G844" s="57"/>
      <c r="H844" s="57"/>
      <c r="I844" s="34"/>
    </row>
    <row r="845" spans="7:9" ht="14.25" customHeight="1" x14ac:dyDescent="0.25">
      <c r="G845" s="57"/>
      <c r="H845" s="57"/>
      <c r="I845" s="34"/>
    </row>
    <row r="846" spans="7:9" ht="14.25" customHeight="1" x14ac:dyDescent="0.25">
      <c r="G846" s="57"/>
      <c r="H846" s="57"/>
      <c r="I846" s="34"/>
    </row>
    <row r="847" spans="7:9" ht="14.25" customHeight="1" x14ac:dyDescent="0.25">
      <c r="G847" s="57"/>
      <c r="H847" s="57"/>
      <c r="I847" s="34"/>
    </row>
    <row r="848" spans="7:9" ht="14.25" customHeight="1" x14ac:dyDescent="0.25">
      <c r="G848" s="57"/>
      <c r="H848" s="57"/>
      <c r="I848" s="34"/>
    </row>
    <row r="849" spans="7:9" ht="14.25" customHeight="1" x14ac:dyDescent="0.25">
      <c r="G849" s="57"/>
      <c r="H849" s="57"/>
      <c r="I849" s="34"/>
    </row>
    <row r="850" spans="7:9" ht="14.25" customHeight="1" x14ac:dyDescent="0.25">
      <c r="G850" s="57"/>
      <c r="H850" s="57"/>
      <c r="I850" s="34"/>
    </row>
    <row r="851" spans="7:9" ht="14.25" customHeight="1" x14ac:dyDescent="0.25">
      <c r="G851" s="57"/>
      <c r="H851" s="57"/>
      <c r="I851" s="34"/>
    </row>
    <row r="852" spans="7:9" ht="14.25" customHeight="1" x14ac:dyDescent="0.25">
      <c r="G852" s="57"/>
      <c r="H852" s="57"/>
      <c r="I852" s="34"/>
    </row>
    <row r="853" spans="7:9" ht="14.25" customHeight="1" x14ac:dyDescent="0.25">
      <c r="G853" s="57"/>
      <c r="H853" s="57"/>
      <c r="I853" s="34"/>
    </row>
    <row r="854" spans="7:9" ht="14.25" customHeight="1" x14ac:dyDescent="0.25">
      <c r="G854" s="57"/>
      <c r="H854" s="57"/>
      <c r="I854" s="34"/>
    </row>
    <row r="855" spans="7:9" ht="14.25" customHeight="1" x14ac:dyDescent="0.25">
      <c r="G855" s="57"/>
      <c r="H855" s="57"/>
      <c r="I855" s="34"/>
    </row>
    <row r="856" spans="7:9" ht="14.25" customHeight="1" x14ac:dyDescent="0.25">
      <c r="G856" s="57"/>
      <c r="H856" s="57"/>
      <c r="I856" s="34"/>
    </row>
    <row r="857" spans="7:9" ht="14.25" customHeight="1" x14ac:dyDescent="0.25">
      <c r="G857" s="57"/>
      <c r="H857" s="57"/>
      <c r="I857" s="34"/>
    </row>
    <row r="858" spans="7:9" ht="14.25" customHeight="1" x14ac:dyDescent="0.25">
      <c r="G858" s="57"/>
      <c r="H858" s="57"/>
      <c r="I858" s="34"/>
    </row>
    <row r="859" spans="7:9" ht="14.25" customHeight="1" x14ac:dyDescent="0.25">
      <c r="G859" s="57"/>
      <c r="H859" s="57"/>
      <c r="I859" s="34"/>
    </row>
    <row r="860" spans="7:9" ht="14.25" customHeight="1" x14ac:dyDescent="0.25">
      <c r="G860" s="57"/>
      <c r="H860" s="57"/>
      <c r="I860" s="34"/>
    </row>
    <row r="861" spans="7:9" ht="14.25" customHeight="1" x14ac:dyDescent="0.25">
      <c r="G861" s="57"/>
      <c r="H861" s="57"/>
      <c r="I861" s="34"/>
    </row>
    <row r="862" spans="7:9" ht="14.25" customHeight="1" x14ac:dyDescent="0.25">
      <c r="G862" s="57"/>
      <c r="H862" s="57"/>
      <c r="I862" s="34"/>
    </row>
    <row r="863" spans="7:9" ht="14.25" customHeight="1" x14ac:dyDescent="0.25">
      <c r="G863" s="57"/>
      <c r="H863" s="57"/>
      <c r="I863" s="34"/>
    </row>
    <row r="864" spans="7:9" ht="14.25" customHeight="1" x14ac:dyDescent="0.25">
      <c r="G864" s="57"/>
      <c r="H864" s="57"/>
      <c r="I864" s="34"/>
    </row>
    <row r="865" spans="7:9" ht="14.25" customHeight="1" x14ac:dyDescent="0.25">
      <c r="G865" s="57"/>
      <c r="H865" s="57"/>
      <c r="I865" s="34"/>
    </row>
    <row r="866" spans="7:9" ht="14.25" customHeight="1" x14ac:dyDescent="0.25">
      <c r="G866" s="57"/>
      <c r="H866" s="57"/>
      <c r="I866" s="34"/>
    </row>
    <row r="867" spans="7:9" ht="14.25" customHeight="1" x14ac:dyDescent="0.25">
      <c r="G867" s="57"/>
      <c r="H867" s="57"/>
      <c r="I867" s="34"/>
    </row>
    <row r="868" spans="7:9" ht="14.25" customHeight="1" x14ac:dyDescent="0.25">
      <c r="G868" s="57"/>
      <c r="H868" s="57"/>
      <c r="I868" s="34"/>
    </row>
    <row r="869" spans="7:9" ht="14.25" customHeight="1" x14ac:dyDescent="0.25">
      <c r="G869" s="57"/>
      <c r="H869" s="57"/>
      <c r="I869" s="34"/>
    </row>
    <row r="870" spans="7:9" ht="14.25" customHeight="1" x14ac:dyDescent="0.25">
      <c r="G870" s="57"/>
      <c r="H870" s="57"/>
      <c r="I870" s="34"/>
    </row>
    <row r="871" spans="7:9" ht="14.25" customHeight="1" x14ac:dyDescent="0.25">
      <c r="G871" s="57"/>
      <c r="H871" s="57"/>
      <c r="I871" s="34"/>
    </row>
    <row r="872" spans="7:9" ht="14.25" customHeight="1" x14ac:dyDescent="0.25">
      <c r="G872" s="57"/>
      <c r="H872" s="57"/>
      <c r="I872" s="34"/>
    </row>
    <row r="873" spans="7:9" ht="14.25" customHeight="1" x14ac:dyDescent="0.25">
      <c r="G873" s="57"/>
      <c r="H873" s="57"/>
      <c r="I873" s="34"/>
    </row>
    <row r="874" spans="7:9" ht="14.25" customHeight="1" x14ac:dyDescent="0.25">
      <c r="G874" s="57"/>
      <c r="H874" s="57"/>
      <c r="I874" s="34"/>
    </row>
    <row r="875" spans="7:9" ht="14.25" customHeight="1" x14ac:dyDescent="0.25">
      <c r="G875" s="57"/>
      <c r="H875" s="57"/>
      <c r="I875" s="34"/>
    </row>
    <row r="876" spans="7:9" ht="14.25" customHeight="1" x14ac:dyDescent="0.25">
      <c r="G876" s="57"/>
      <c r="H876" s="57"/>
      <c r="I876" s="34"/>
    </row>
    <row r="877" spans="7:9" ht="14.25" customHeight="1" x14ac:dyDescent="0.25">
      <c r="G877" s="57"/>
      <c r="H877" s="57"/>
      <c r="I877" s="34"/>
    </row>
    <row r="878" spans="7:9" ht="14.25" customHeight="1" x14ac:dyDescent="0.25">
      <c r="G878" s="57"/>
      <c r="H878" s="57"/>
      <c r="I878" s="34"/>
    </row>
    <row r="879" spans="7:9" ht="14.25" customHeight="1" x14ac:dyDescent="0.25">
      <c r="G879" s="57"/>
      <c r="H879" s="57"/>
      <c r="I879" s="34"/>
    </row>
    <row r="880" spans="7:9" ht="14.25" customHeight="1" x14ac:dyDescent="0.25">
      <c r="G880" s="57"/>
      <c r="H880" s="57"/>
      <c r="I880" s="34"/>
    </row>
    <row r="881" spans="7:9" ht="14.25" customHeight="1" x14ac:dyDescent="0.25">
      <c r="G881" s="57"/>
      <c r="H881" s="57"/>
      <c r="I881" s="34"/>
    </row>
    <row r="882" spans="7:9" ht="14.25" customHeight="1" x14ac:dyDescent="0.25">
      <c r="G882" s="57"/>
      <c r="H882" s="57"/>
      <c r="I882" s="34"/>
    </row>
    <row r="883" spans="7:9" ht="14.25" customHeight="1" x14ac:dyDescent="0.25">
      <c r="G883" s="57"/>
      <c r="H883" s="57"/>
      <c r="I883" s="34"/>
    </row>
    <row r="884" spans="7:9" ht="14.25" customHeight="1" x14ac:dyDescent="0.25">
      <c r="G884" s="57"/>
      <c r="H884" s="57"/>
      <c r="I884" s="34"/>
    </row>
    <row r="885" spans="7:9" ht="14.25" customHeight="1" x14ac:dyDescent="0.25">
      <c r="G885" s="57"/>
      <c r="H885" s="57"/>
      <c r="I885" s="34"/>
    </row>
    <row r="886" spans="7:9" ht="14.25" customHeight="1" x14ac:dyDescent="0.25">
      <c r="G886" s="57"/>
      <c r="H886" s="57"/>
      <c r="I886" s="34"/>
    </row>
    <row r="887" spans="7:9" ht="14.25" customHeight="1" x14ac:dyDescent="0.25">
      <c r="G887" s="57"/>
      <c r="H887" s="57"/>
      <c r="I887" s="34"/>
    </row>
    <row r="888" spans="7:9" ht="14.25" customHeight="1" x14ac:dyDescent="0.25">
      <c r="G888" s="57"/>
      <c r="H888" s="57"/>
      <c r="I888" s="34"/>
    </row>
    <row r="889" spans="7:9" ht="14.25" customHeight="1" x14ac:dyDescent="0.25">
      <c r="G889" s="57"/>
      <c r="H889" s="57"/>
      <c r="I889" s="34"/>
    </row>
    <row r="890" spans="7:9" ht="14.25" customHeight="1" x14ac:dyDescent="0.25">
      <c r="G890" s="57"/>
      <c r="H890" s="57"/>
      <c r="I890" s="34"/>
    </row>
    <row r="891" spans="7:9" ht="14.25" customHeight="1" x14ac:dyDescent="0.25">
      <c r="G891" s="57"/>
      <c r="H891" s="57"/>
      <c r="I891" s="34"/>
    </row>
    <row r="892" spans="7:9" ht="14.25" customHeight="1" x14ac:dyDescent="0.25">
      <c r="G892" s="57"/>
      <c r="H892" s="57"/>
      <c r="I892" s="34"/>
    </row>
    <row r="893" spans="7:9" ht="14.25" customHeight="1" x14ac:dyDescent="0.25">
      <c r="G893" s="57"/>
      <c r="H893" s="57"/>
      <c r="I893" s="34"/>
    </row>
    <row r="894" spans="7:9" ht="14.25" customHeight="1" x14ac:dyDescent="0.25">
      <c r="G894" s="57"/>
      <c r="H894" s="57"/>
      <c r="I894" s="34"/>
    </row>
    <row r="895" spans="7:9" ht="14.25" customHeight="1" x14ac:dyDescent="0.25">
      <c r="G895" s="57"/>
      <c r="H895" s="57"/>
      <c r="I895" s="34"/>
    </row>
    <row r="896" spans="7:9" ht="14.25" customHeight="1" x14ac:dyDescent="0.25">
      <c r="G896" s="57"/>
      <c r="H896" s="57"/>
      <c r="I896" s="34"/>
    </row>
    <row r="897" spans="7:9" ht="14.25" customHeight="1" x14ac:dyDescent="0.25">
      <c r="G897" s="57"/>
      <c r="H897" s="57"/>
      <c r="I897" s="34"/>
    </row>
    <row r="898" spans="7:9" ht="14.25" customHeight="1" x14ac:dyDescent="0.25">
      <c r="G898" s="57"/>
      <c r="H898" s="57"/>
      <c r="I898" s="34"/>
    </row>
    <row r="899" spans="7:9" ht="14.25" customHeight="1" x14ac:dyDescent="0.25">
      <c r="G899" s="57"/>
      <c r="H899" s="57"/>
      <c r="I899" s="34"/>
    </row>
    <row r="900" spans="7:9" ht="14.25" customHeight="1" x14ac:dyDescent="0.25">
      <c r="G900" s="57"/>
      <c r="H900" s="57"/>
      <c r="I900" s="34"/>
    </row>
    <row r="901" spans="7:9" ht="14.25" customHeight="1" x14ac:dyDescent="0.25">
      <c r="G901" s="57"/>
      <c r="H901" s="57"/>
      <c r="I901" s="34"/>
    </row>
    <row r="902" spans="7:9" ht="14.25" customHeight="1" x14ac:dyDescent="0.25">
      <c r="G902" s="57"/>
      <c r="H902" s="57"/>
      <c r="I902" s="34"/>
    </row>
    <row r="903" spans="7:9" ht="14.25" customHeight="1" x14ac:dyDescent="0.25">
      <c r="G903" s="57"/>
      <c r="H903" s="57"/>
      <c r="I903" s="34"/>
    </row>
    <row r="904" spans="7:9" ht="14.25" customHeight="1" x14ac:dyDescent="0.25">
      <c r="G904" s="57"/>
      <c r="H904" s="57"/>
      <c r="I904" s="34"/>
    </row>
    <row r="905" spans="7:9" ht="14.25" customHeight="1" x14ac:dyDescent="0.25">
      <c r="G905" s="57"/>
      <c r="H905" s="57"/>
      <c r="I905" s="34"/>
    </row>
    <row r="906" spans="7:9" ht="14.25" customHeight="1" x14ac:dyDescent="0.25">
      <c r="G906" s="57"/>
      <c r="H906" s="57"/>
      <c r="I906" s="34"/>
    </row>
    <row r="907" spans="7:9" ht="14.25" customHeight="1" x14ac:dyDescent="0.25">
      <c r="G907" s="57"/>
      <c r="H907" s="57"/>
      <c r="I907" s="34"/>
    </row>
    <row r="908" spans="7:9" ht="14.25" customHeight="1" x14ac:dyDescent="0.25">
      <c r="G908" s="57"/>
      <c r="H908" s="57"/>
      <c r="I908" s="34"/>
    </row>
    <row r="909" spans="7:9" ht="14.25" customHeight="1" x14ac:dyDescent="0.25">
      <c r="G909" s="57"/>
      <c r="H909" s="57"/>
      <c r="I909" s="34"/>
    </row>
    <row r="910" spans="7:9" ht="14.25" customHeight="1" x14ac:dyDescent="0.25">
      <c r="G910" s="57"/>
      <c r="H910" s="57"/>
      <c r="I910" s="34"/>
    </row>
    <row r="911" spans="7:9" ht="14.25" customHeight="1" x14ac:dyDescent="0.25">
      <c r="G911" s="57"/>
      <c r="H911" s="57"/>
      <c r="I911" s="34"/>
    </row>
    <row r="912" spans="7:9" ht="14.25" customHeight="1" x14ac:dyDescent="0.25">
      <c r="G912" s="57"/>
      <c r="H912" s="57"/>
      <c r="I912" s="34"/>
    </row>
    <row r="913" spans="7:9" ht="14.25" customHeight="1" x14ac:dyDescent="0.25">
      <c r="G913" s="57"/>
      <c r="H913" s="57"/>
      <c r="I913" s="34"/>
    </row>
    <row r="914" spans="7:9" ht="14.25" customHeight="1" x14ac:dyDescent="0.25">
      <c r="G914" s="57"/>
      <c r="H914" s="57"/>
      <c r="I914" s="34"/>
    </row>
    <row r="915" spans="7:9" ht="14.25" customHeight="1" x14ac:dyDescent="0.25">
      <c r="G915" s="57"/>
      <c r="H915" s="57"/>
      <c r="I915" s="34"/>
    </row>
    <row r="916" spans="7:9" ht="14.25" customHeight="1" x14ac:dyDescent="0.25">
      <c r="G916" s="57"/>
      <c r="H916" s="57"/>
      <c r="I916" s="34"/>
    </row>
    <row r="917" spans="7:9" ht="14.25" customHeight="1" x14ac:dyDescent="0.25">
      <c r="G917" s="57"/>
      <c r="H917" s="57"/>
      <c r="I917" s="34"/>
    </row>
    <row r="918" spans="7:9" ht="14.25" customHeight="1" x14ac:dyDescent="0.25">
      <c r="G918" s="57"/>
      <c r="H918" s="57"/>
      <c r="I918" s="34"/>
    </row>
    <row r="919" spans="7:9" ht="14.25" customHeight="1" x14ac:dyDescent="0.25">
      <c r="G919" s="57"/>
      <c r="H919" s="57"/>
      <c r="I919" s="34"/>
    </row>
    <row r="920" spans="7:9" ht="14.25" customHeight="1" x14ac:dyDescent="0.25">
      <c r="G920" s="57"/>
      <c r="H920" s="57"/>
      <c r="I920" s="34"/>
    </row>
    <row r="921" spans="7:9" ht="14.25" customHeight="1" x14ac:dyDescent="0.25">
      <c r="G921" s="57"/>
      <c r="H921" s="57"/>
      <c r="I921" s="34"/>
    </row>
    <row r="922" spans="7:9" ht="14.25" customHeight="1" x14ac:dyDescent="0.25">
      <c r="G922" s="57"/>
      <c r="H922" s="57"/>
      <c r="I922" s="34"/>
    </row>
    <row r="923" spans="7:9" ht="14.25" customHeight="1" x14ac:dyDescent="0.25">
      <c r="G923" s="57"/>
      <c r="H923" s="57"/>
      <c r="I923" s="34"/>
    </row>
    <row r="924" spans="7:9" ht="14.25" customHeight="1" x14ac:dyDescent="0.25">
      <c r="G924" s="57"/>
      <c r="H924" s="57"/>
      <c r="I924" s="34"/>
    </row>
    <row r="925" spans="7:9" ht="14.25" customHeight="1" x14ac:dyDescent="0.25">
      <c r="G925" s="57"/>
      <c r="H925" s="57"/>
      <c r="I925" s="34"/>
    </row>
    <row r="926" spans="7:9" ht="14.25" customHeight="1" x14ac:dyDescent="0.25">
      <c r="G926" s="57"/>
      <c r="H926" s="57"/>
      <c r="I926" s="34"/>
    </row>
    <row r="927" spans="7:9" ht="14.25" customHeight="1" x14ac:dyDescent="0.25">
      <c r="G927" s="57"/>
      <c r="H927" s="57"/>
      <c r="I927" s="34"/>
    </row>
    <row r="928" spans="7:9" ht="14.25" customHeight="1" x14ac:dyDescent="0.25">
      <c r="G928" s="57"/>
      <c r="H928" s="57"/>
      <c r="I928" s="34"/>
    </row>
    <row r="929" spans="7:9" ht="14.25" customHeight="1" x14ac:dyDescent="0.25">
      <c r="G929" s="57"/>
      <c r="H929" s="57"/>
      <c r="I929" s="34"/>
    </row>
    <row r="930" spans="7:9" ht="14.25" customHeight="1" x14ac:dyDescent="0.25">
      <c r="G930" s="57"/>
      <c r="H930" s="57"/>
      <c r="I930" s="34"/>
    </row>
    <row r="931" spans="7:9" ht="14.25" customHeight="1" x14ac:dyDescent="0.25">
      <c r="G931" s="57"/>
      <c r="H931" s="57"/>
      <c r="I931" s="34"/>
    </row>
    <row r="932" spans="7:9" ht="14.25" customHeight="1" x14ac:dyDescent="0.25">
      <c r="G932" s="57"/>
      <c r="H932" s="57"/>
      <c r="I932" s="34"/>
    </row>
    <row r="933" spans="7:9" ht="14.25" customHeight="1" x14ac:dyDescent="0.25">
      <c r="G933" s="57"/>
      <c r="H933" s="57"/>
      <c r="I933" s="34"/>
    </row>
    <row r="934" spans="7:9" ht="14.25" customHeight="1" x14ac:dyDescent="0.25">
      <c r="G934" s="57"/>
      <c r="H934" s="57"/>
      <c r="I934" s="34"/>
    </row>
    <row r="935" spans="7:9" ht="14.25" customHeight="1" x14ac:dyDescent="0.25">
      <c r="G935" s="57"/>
      <c r="H935" s="57"/>
      <c r="I935" s="34"/>
    </row>
    <row r="936" spans="7:9" ht="14.25" customHeight="1" x14ac:dyDescent="0.25">
      <c r="G936" s="57"/>
      <c r="H936" s="57"/>
      <c r="I936" s="34"/>
    </row>
    <row r="937" spans="7:9" ht="14.25" customHeight="1" x14ac:dyDescent="0.25">
      <c r="G937" s="57"/>
      <c r="H937" s="57"/>
      <c r="I937" s="34"/>
    </row>
    <row r="938" spans="7:9" ht="14.25" customHeight="1" x14ac:dyDescent="0.25">
      <c r="G938" s="57"/>
      <c r="H938" s="57"/>
      <c r="I938" s="34"/>
    </row>
    <row r="939" spans="7:9" ht="14.25" customHeight="1" x14ac:dyDescent="0.25">
      <c r="G939" s="57"/>
      <c r="H939" s="57"/>
      <c r="I939" s="34"/>
    </row>
    <row r="940" spans="7:9" ht="14.25" customHeight="1" x14ac:dyDescent="0.25">
      <c r="G940" s="57"/>
      <c r="H940" s="57"/>
      <c r="I940" s="34"/>
    </row>
    <row r="941" spans="7:9" ht="14.25" customHeight="1" x14ac:dyDescent="0.25">
      <c r="G941" s="57"/>
      <c r="H941" s="57"/>
      <c r="I941" s="34"/>
    </row>
    <row r="942" spans="7:9" ht="14.25" customHeight="1" x14ac:dyDescent="0.25">
      <c r="G942" s="57"/>
      <c r="H942" s="57"/>
      <c r="I942" s="34"/>
    </row>
    <row r="943" spans="7:9" ht="14.25" customHeight="1" x14ac:dyDescent="0.25">
      <c r="G943" s="57"/>
      <c r="H943" s="57"/>
      <c r="I943" s="34"/>
    </row>
    <row r="944" spans="7:9" ht="14.25" customHeight="1" x14ac:dyDescent="0.25">
      <c r="G944" s="57"/>
      <c r="H944" s="57"/>
      <c r="I944" s="34"/>
    </row>
    <row r="945" spans="7:9" ht="14.25" customHeight="1" x14ac:dyDescent="0.25">
      <c r="G945" s="57"/>
      <c r="H945" s="57"/>
      <c r="I945" s="34"/>
    </row>
    <row r="946" spans="7:9" ht="14.25" customHeight="1" x14ac:dyDescent="0.25">
      <c r="G946" s="57"/>
      <c r="H946" s="57"/>
      <c r="I946" s="34"/>
    </row>
    <row r="947" spans="7:9" ht="14.25" customHeight="1" x14ac:dyDescent="0.25">
      <c r="G947" s="57"/>
      <c r="H947" s="57"/>
      <c r="I947" s="34"/>
    </row>
    <row r="948" spans="7:9" ht="14.25" customHeight="1" x14ac:dyDescent="0.25">
      <c r="G948" s="57"/>
      <c r="H948" s="57"/>
      <c r="I948" s="34"/>
    </row>
    <row r="949" spans="7:9" ht="14.25" customHeight="1" x14ac:dyDescent="0.25">
      <c r="G949" s="57"/>
      <c r="H949" s="57"/>
      <c r="I949" s="34"/>
    </row>
    <row r="950" spans="7:9" ht="14.25" customHeight="1" x14ac:dyDescent="0.25">
      <c r="G950" s="57"/>
      <c r="H950" s="57"/>
      <c r="I950" s="34"/>
    </row>
    <row r="951" spans="7:9" ht="14.25" customHeight="1" x14ac:dyDescent="0.25">
      <c r="G951" s="57"/>
      <c r="H951" s="57"/>
      <c r="I951" s="34"/>
    </row>
    <row r="952" spans="7:9" ht="14.25" customHeight="1" x14ac:dyDescent="0.25">
      <c r="G952" s="57"/>
      <c r="H952" s="57"/>
      <c r="I952" s="34"/>
    </row>
    <row r="953" spans="7:9" ht="14.25" customHeight="1" x14ac:dyDescent="0.25">
      <c r="G953" s="57"/>
      <c r="H953" s="57"/>
      <c r="I953" s="34"/>
    </row>
    <row r="954" spans="7:9" ht="14.25" customHeight="1" x14ac:dyDescent="0.25">
      <c r="G954" s="57"/>
      <c r="H954" s="57"/>
      <c r="I954" s="34"/>
    </row>
    <row r="955" spans="7:9" ht="14.25" customHeight="1" x14ac:dyDescent="0.25">
      <c r="G955" s="57"/>
      <c r="H955" s="57"/>
      <c r="I955" s="34"/>
    </row>
    <row r="956" spans="7:9" ht="14.25" customHeight="1" x14ac:dyDescent="0.25">
      <c r="G956" s="57"/>
      <c r="H956" s="57"/>
      <c r="I956" s="34"/>
    </row>
    <row r="957" spans="7:9" ht="14.25" customHeight="1" x14ac:dyDescent="0.25">
      <c r="G957" s="57"/>
      <c r="H957" s="57"/>
      <c r="I957" s="34"/>
    </row>
    <row r="958" spans="7:9" ht="14.25" customHeight="1" x14ac:dyDescent="0.25">
      <c r="G958" s="57"/>
      <c r="H958" s="57"/>
      <c r="I958" s="34"/>
    </row>
    <row r="959" spans="7:9" ht="14.25" customHeight="1" x14ac:dyDescent="0.25">
      <c r="G959" s="57"/>
      <c r="H959" s="57"/>
      <c r="I959" s="34"/>
    </row>
    <row r="960" spans="7:9" ht="14.25" customHeight="1" x14ac:dyDescent="0.25">
      <c r="G960" s="57"/>
      <c r="H960" s="57"/>
      <c r="I960" s="34"/>
    </row>
    <row r="961" spans="7:9" ht="14.25" customHeight="1" x14ac:dyDescent="0.25">
      <c r="G961" s="57"/>
      <c r="H961" s="57"/>
      <c r="I961" s="34"/>
    </row>
    <row r="962" spans="7:9" ht="14.25" customHeight="1" x14ac:dyDescent="0.25">
      <c r="G962" s="57"/>
      <c r="H962" s="57"/>
      <c r="I962" s="34"/>
    </row>
    <row r="963" spans="7:9" ht="14.25" customHeight="1" x14ac:dyDescent="0.25">
      <c r="G963" s="57"/>
      <c r="H963" s="57"/>
      <c r="I963" s="34"/>
    </row>
    <row r="964" spans="7:9" ht="14.25" customHeight="1" x14ac:dyDescent="0.25">
      <c r="G964" s="57"/>
      <c r="H964" s="57"/>
      <c r="I964" s="34"/>
    </row>
    <row r="965" spans="7:9" ht="14.25" customHeight="1" x14ac:dyDescent="0.25">
      <c r="G965" s="57"/>
      <c r="H965" s="57"/>
      <c r="I965" s="34"/>
    </row>
    <row r="966" spans="7:9" ht="14.25" customHeight="1" x14ac:dyDescent="0.25">
      <c r="G966" s="57"/>
      <c r="H966" s="57"/>
      <c r="I966" s="34"/>
    </row>
    <row r="967" spans="7:9" ht="14.25" customHeight="1" x14ac:dyDescent="0.25">
      <c r="G967" s="57"/>
      <c r="H967" s="57"/>
      <c r="I967" s="34"/>
    </row>
    <row r="968" spans="7:9" ht="14.25" customHeight="1" x14ac:dyDescent="0.25">
      <c r="G968" s="57"/>
      <c r="H968" s="57"/>
      <c r="I968" s="34"/>
    </row>
    <row r="969" spans="7:9" ht="14.25" customHeight="1" x14ac:dyDescent="0.25">
      <c r="G969" s="57"/>
      <c r="H969" s="57"/>
      <c r="I969" s="34"/>
    </row>
    <row r="970" spans="7:9" ht="14.25" customHeight="1" x14ac:dyDescent="0.25">
      <c r="G970" s="57"/>
      <c r="H970" s="57"/>
      <c r="I970" s="34"/>
    </row>
    <row r="971" spans="7:9" ht="14.25" customHeight="1" x14ac:dyDescent="0.25">
      <c r="G971" s="57"/>
      <c r="H971" s="57"/>
      <c r="I971" s="34"/>
    </row>
    <row r="972" spans="7:9" ht="14.25" customHeight="1" x14ac:dyDescent="0.25">
      <c r="G972" s="57"/>
      <c r="H972" s="57"/>
      <c r="I972" s="34"/>
    </row>
    <row r="973" spans="7:9" ht="14.25" customHeight="1" x14ac:dyDescent="0.25">
      <c r="G973" s="57"/>
      <c r="H973" s="57"/>
      <c r="I973" s="34"/>
    </row>
    <row r="974" spans="7:9" ht="14.25" customHeight="1" x14ac:dyDescent="0.25">
      <c r="G974" s="57"/>
      <c r="H974" s="57"/>
      <c r="I974" s="34"/>
    </row>
    <row r="975" spans="7:9" ht="14.25" customHeight="1" x14ac:dyDescent="0.25">
      <c r="G975" s="57"/>
      <c r="H975" s="57"/>
      <c r="I975" s="34"/>
    </row>
    <row r="976" spans="7:9" ht="14.25" customHeight="1" x14ac:dyDescent="0.25">
      <c r="G976" s="57"/>
      <c r="H976" s="57"/>
      <c r="I976" s="34"/>
    </row>
    <row r="977" spans="7:9" ht="14.25" customHeight="1" x14ac:dyDescent="0.25">
      <c r="G977" s="57"/>
      <c r="H977" s="57"/>
      <c r="I977" s="34"/>
    </row>
    <row r="978" spans="7:9" ht="14.25" customHeight="1" x14ac:dyDescent="0.25">
      <c r="G978" s="57"/>
      <c r="H978" s="57"/>
      <c r="I978" s="34"/>
    </row>
    <row r="979" spans="7:9" ht="14.25" customHeight="1" x14ac:dyDescent="0.25">
      <c r="G979" s="57"/>
      <c r="H979" s="57"/>
      <c r="I979" s="34"/>
    </row>
    <row r="980" spans="7:9" ht="14.25" customHeight="1" x14ac:dyDescent="0.25">
      <c r="G980" s="57"/>
      <c r="H980" s="57"/>
      <c r="I980" s="34"/>
    </row>
    <row r="981" spans="7:9" ht="14.25" customHeight="1" x14ac:dyDescent="0.25">
      <c r="G981" s="57"/>
      <c r="H981" s="57"/>
      <c r="I981" s="34"/>
    </row>
    <row r="982" spans="7:9" ht="14.25" customHeight="1" x14ac:dyDescent="0.25">
      <c r="G982" s="57"/>
      <c r="H982" s="57"/>
      <c r="I982" s="34"/>
    </row>
    <row r="983" spans="7:9" ht="14.25" customHeight="1" x14ac:dyDescent="0.25">
      <c r="G983" s="57"/>
      <c r="H983" s="57"/>
      <c r="I983" s="34"/>
    </row>
    <row r="984" spans="7:9" ht="14.25" customHeight="1" x14ac:dyDescent="0.25">
      <c r="G984" s="57"/>
      <c r="H984" s="57"/>
      <c r="I984" s="34"/>
    </row>
    <row r="985" spans="7:9" ht="14.25" customHeight="1" x14ac:dyDescent="0.25">
      <c r="G985" s="57"/>
      <c r="H985" s="57"/>
      <c r="I985" s="34"/>
    </row>
    <row r="986" spans="7:9" ht="14.25" customHeight="1" x14ac:dyDescent="0.25">
      <c r="G986" s="57"/>
      <c r="H986" s="57"/>
      <c r="I986" s="34"/>
    </row>
    <row r="987" spans="7:9" ht="14.25" customHeight="1" x14ac:dyDescent="0.25">
      <c r="G987" s="57"/>
      <c r="H987" s="57"/>
      <c r="I987" s="34"/>
    </row>
    <row r="988" spans="7:9" ht="14.25" customHeight="1" x14ac:dyDescent="0.25">
      <c r="G988" s="57"/>
      <c r="H988" s="57"/>
      <c r="I988" s="34"/>
    </row>
    <row r="989" spans="7:9" ht="14.25" customHeight="1" x14ac:dyDescent="0.25">
      <c r="G989" s="57"/>
      <c r="H989" s="57"/>
      <c r="I989" s="34"/>
    </row>
    <row r="990" spans="7:9" ht="14.25" customHeight="1" x14ac:dyDescent="0.25">
      <c r="G990" s="57"/>
      <c r="H990" s="57"/>
      <c r="I990" s="34"/>
    </row>
    <row r="991" spans="7:9" ht="14.25" customHeight="1" x14ac:dyDescent="0.25">
      <c r="G991" s="57"/>
      <c r="H991" s="57"/>
      <c r="I991" s="34"/>
    </row>
    <row r="992" spans="7:9" ht="14.25" customHeight="1" x14ac:dyDescent="0.25">
      <c r="G992" s="57"/>
      <c r="H992" s="57"/>
      <c r="I992" s="34"/>
    </row>
    <row r="993" spans="7:9" ht="14.25" customHeight="1" x14ac:dyDescent="0.25">
      <c r="G993" s="57"/>
      <c r="H993" s="57"/>
      <c r="I993" s="34"/>
    </row>
    <row r="994" spans="7:9" ht="14.25" customHeight="1" x14ac:dyDescent="0.25">
      <c r="G994" s="57"/>
      <c r="H994" s="57"/>
      <c r="I994" s="34"/>
    </row>
    <row r="995" spans="7:9" ht="14.25" customHeight="1" x14ac:dyDescent="0.25">
      <c r="G995" s="57"/>
      <c r="H995" s="57"/>
      <c r="I995" s="34"/>
    </row>
    <row r="996" spans="7:9" ht="14.25" customHeight="1" x14ac:dyDescent="0.25">
      <c r="G996" s="57"/>
      <c r="H996" s="57"/>
      <c r="I996" s="34"/>
    </row>
    <row r="997" spans="7:9" ht="14.25" customHeight="1" x14ac:dyDescent="0.25">
      <c r="G997" s="57"/>
      <c r="H997" s="57"/>
      <c r="I997" s="34"/>
    </row>
    <row r="998" spans="7:9" ht="14.25" customHeight="1" x14ac:dyDescent="0.25">
      <c r="G998" s="57"/>
      <c r="H998" s="57"/>
      <c r="I998" s="34"/>
    </row>
    <row r="999" spans="7:9" ht="14.25" customHeight="1" x14ac:dyDescent="0.25">
      <c r="G999" s="57"/>
      <c r="H999" s="57"/>
      <c r="I999" s="34"/>
    </row>
    <row r="1000" spans="7:9" ht="14.25" customHeight="1" x14ac:dyDescent="0.25">
      <c r="G1000" s="57"/>
      <c r="H1000" s="57"/>
      <c r="I1000" s="34"/>
    </row>
  </sheetData>
  <autoFilter ref="C3:I109" xr:uid="{00000000-0009-0000-0000-00000A000000}">
    <sortState xmlns:xlrd2="http://schemas.microsoft.com/office/spreadsheetml/2017/richdata2" ref="C3:I109">
      <sortCondition ref="D3:D109"/>
    </sortState>
  </autoFilter>
  <mergeCells count="1">
    <mergeCell ref="D2:I2"/>
  </mergeCells>
  <conditionalFormatting sqref="C20">
    <cfRule type="expression" dxfId="14" priority="1">
      <formula>AND(C20&gt;TODAY(), C20-TODAY()&gt;=WEEKDAY(C20), C20-TODAY()&lt;WEEKDAY(C20)+7)</formula>
    </cfRule>
    <cfRule type="expression" dxfId="13" priority="2">
      <formula>OR(AND(C20&lt;=TODAY(), TODAY()-C20&lt;WEEKDAY(TODAY())), AND(TODAY()&lt;C20, C20-TODAY()&lt;WEEKDAY(C20)))</formula>
    </cfRule>
  </conditionalFormatting>
  <conditionalFormatting sqref="D42:D44 E61:E67">
    <cfRule type="expression" dxfId="12" priority="3" stopIfTrue="1">
      <formula>AND(COUNTIF(#REF!, D42)+COUNTIF($C:$C, D42)&gt;1,NOT(ISBLANK(D42)))</formula>
    </cfRule>
  </conditionalFormatting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000"/>
  <sheetViews>
    <sheetView workbookViewId="0">
      <selection activeCell="J11" sqref="J11"/>
    </sheetView>
  </sheetViews>
  <sheetFormatPr defaultColWidth="12.5703125" defaultRowHeight="15" customHeight="1" x14ac:dyDescent="0.25"/>
  <cols>
    <col min="1" max="1" width="3" customWidth="1"/>
    <col min="2" max="3" width="16.140625" customWidth="1"/>
    <col min="4" max="4" width="23" customWidth="1"/>
    <col min="5" max="5" width="37" customWidth="1"/>
    <col min="6" max="6" width="9.85546875" customWidth="1"/>
    <col min="7" max="7" width="14.42578125" customWidth="1"/>
    <col min="8" max="9" width="16.85546875" customWidth="1"/>
    <col min="10" max="10" width="17.140625" customWidth="1"/>
    <col min="11" max="26" width="8.5703125" customWidth="1"/>
  </cols>
  <sheetData>
    <row r="1" spans="2:10" ht="33" customHeight="1" x14ac:dyDescent="0.25">
      <c r="B1" s="28" t="s">
        <v>219</v>
      </c>
      <c r="C1" s="28" t="s">
        <v>220</v>
      </c>
      <c r="D1" s="28" t="s">
        <v>1</v>
      </c>
      <c r="E1" s="28" t="s">
        <v>2</v>
      </c>
      <c r="F1" s="28" t="s">
        <v>3</v>
      </c>
      <c r="G1" s="28" t="s">
        <v>4</v>
      </c>
      <c r="H1" s="29" t="s">
        <v>5</v>
      </c>
      <c r="I1" s="29" t="s">
        <v>6</v>
      </c>
      <c r="J1" s="38" t="s">
        <v>233</v>
      </c>
    </row>
    <row r="2" spans="2:10" ht="14.25" customHeight="1" x14ac:dyDescent="0.25">
      <c r="B2" s="67">
        <v>46176</v>
      </c>
      <c r="C2" s="67">
        <v>46175</v>
      </c>
      <c r="D2" s="47" t="s">
        <v>340</v>
      </c>
      <c r="E2" s="68" t="s">
        <v>341</v>
      </c>
      <c r="F2" s="47" t="s">
        <v>342</v>
      </c>
      <c r="G2" s="47">
        <v>18</v>
      </c>
      <c r="H2" s="50">
        <v>297.5</v>
      </c>
      <c r="I2" s="50">
        <v>108</v>
      </c>
      <c r="J2" s="50"/>
    </row>
    <row r="3" spans="2:10" ht="14.25" customHeight="1" x14ac:dyDescent="0.25">
      <c r="B3" s="67">
        <v>46185</v>
      </c>
      <c r="C3" s="67">
        <v>46184</v>
      </c>
      <c r="D3" s="47" t="s">
        <v>343</v>
      </c>
      <c r="E3" s="68" t="s">
        <v>344</v>
      </c>
      <c r="F3" s="47" t="s">
        <v>345</v>
      </c>
      <c r="G3" s="47">
        <v>12</v>
      </c>
      <c r="H3" s="50">
        <v>198</v>
      </c>
      <c r="I3" s="50">
        <v>72</v>
      </c>
      <c r="J3" s="50"/>
    </row>
    <row r="4" spans="2:10" ht="14.25" customHeight="1" x14ac:dyDescent="0.25">
      <c r="B4" s="67">
        <v>46188</v>
      </c>
      <c r="C4" s="67">
        <v>46189</v>
      </c>
      <c r="D4" s="47" t="s">
        <v>346</v>
      </c>
      <c r="E4" s="68" t="s">
        <v>347</v>
      </c>
      <c r="F4" s="47" t="s">
        <v>13</v>
      </c>
      <c r="G4" s="47">
        <v>11</v>
      </c>
      <c r="H4" s="50">
        <v>181.5</v>
      </c>
      <c r="I4" s="50">
        <v>66</v>
      </c>
      <c r="J4" s="50"/>
    </row>
    <row r="5" spans="2:10" ht="14.25" customHeight="1" x14ac:dyDescent="0.25">
      <c r="B5" s="67">
        <v>46188</v>
      </c>
      <c r="C5" s="67">
        <v>46189</v>
      </c>
      <c r="D5" s="47" t="s">
        <v>348</v>
      </c>
      <c r="E5" s="68" t="s">
        <v>349</v>
      </c>
      <c r="F5" s="47" t="s">
        <v>143</v>
      </c>
      <c r="G5" s="47">
        <v>11</v>
      </c>
      <c r="H5" s="50">
        <v>181.5</v>
      </c>
      <c r="I5" s="50">
        <v>66</v>
      </c>
      <c r="J5" s="50"/>
    </row>
    <row r="6" spans="2:10" ht="14.25" customHeight="1" x14ac:dyDescent="0.25">
      <c r="B6" s="31">
        <v>46188</v>
      </c>
      <c r="C6" s="31">
        <v>46190</v>
      </c>
      <c r="D6" s="32" t="s">
        <v>350</v>
      </c>
      <c r="E6" s="69" t="s">
        <v>351</v>
      </c>
      <c r="F6" s="32" t="s">
        <v>13</v>
      </c>
      <c r="G6" s="32">
        <v>5</v>
      </c>
      <c r="H6" s="50">
        <f t="shared" ref="H6:H9" si="0">SUM(G6*16.5)</f>
        <v>82.5</v>
      </c>
      <c r="I6" s="62"/>
      <c r="J6" s="62" t="s">
        <v>241</v>
      </c>
    </row>
    <row r="7" spans="2:10" ht="14.25" customHeight="1" x14ac:dyDescent="0.25">
      <c r="B7" s="31">
        <v>46189</v>
      </c>
      <c r="C7" s="31">
        <v>46190</v>
      </c>
      <c r="D7" s="32" t="s">
        <v>352</v>
      </c>
      <c r="E7" s="69" t="s">
        <v>353</v>
      </c>
      <c r="F7" s="32" t="s">
        <v>13</v>
      </c>
      <c r="G7" s="32">
        <v>5</v>
      </c>
      <c r="H7" s="50">
        <f t="shared" si="0"/>
        <v>82.5</v>
      </c>
      <c r="I7" s="50">
        <v>54</v>
      </c>
      <c r="J7" s="62"/>
    </row>
    <row r="8" spans="2:10" ht="14.25" customHeight="1" x14ac:dyDescent="0.25">
      <c r="B8" s="31">
        <v>46189</v>
      </c>
      <c r="C8" s="31">
        <v>46190</v>
      </c>
      <c r="D8" s="32" t="s">
        <v>354</v>
      </c>
      <c r="E8" s="69" t="s">
        <v>355</v>
      </c>
      <c r="F8" s="32" t="s">
        <v>342</v>
      </c>
      <c r="G8" s="32">
        <v>5</v>
      </c>
      <c r="H8" s="50">
        <f t="shared" si="0"/>
        <v>82.5</v>
      </c>
      <c r="I8" s="62"/>
      <c r="J8" s="62" t="s">
        <v>241</v>
      </c>
    </row>
    <row r="9" spans="2:10" ht="14.25" customHeight="1" x14ac:dyDescent="0.25">
      <c r="B9" s="31">
        <v>46189</v>
      </c>
      <c r="C9" s="31">
        <v>46190</v>
      </c>
      <c r="D9" s="32" t="s">
        <v>356</v>
      </c>
      <c r="E9" s="69" t="s">
        <v>357</v>
      </c>
      <c r="F9" s="32" t="s">
        <v>342</v>
      </c>
      <c r="G9" s="32">
        <v>5</v>
      </c>
      <c r="H9" s="50">
        <f t="shared" si="0"/>
        <v>82.5</v>
      </c>
      <c r="I9" s="62" t="s">
        <v>10</v>
      </c>
      <c r="J9" s="62"/>
    </row>
    <row r="10" spans="2:10" ht="14.25" customHeight="1" x14ac:dyDescent="0.25">
      <c r="B10" s="51"/>
      <c r="C10" s="32"/>
      <c r="D10" s="32"/>
      <c r="E10" s="32"/>
      <c r="F10" s="32"/>
      <c r="G10" s="32"/>
      <c r="H10" s="70">
        <f>SUM(H2:H9)</f>
        <v>1188.5</v>
      </c>
      <c r="I10" s="62">
        <f>SUM(I2:I9)</f>
        <v>366</v>
      </c>
      <c r="J10" s="62"/>
    </row>
    <row r="11" spans="2:10" ht="14.25" customHeight="1" x14ac:dyDescent="0.25"/>
    <row r="12" spans="2:10" ht="14.25" customHeight="1" x14ac:dyDescent="0.25"/>
    <row r="13" spans="2:10" ht="14.25" customHeight="1" x14ac:dyDescent="0.25"/>
    <row r="14" spans="2:10" ht="14.25" customHeight="1" x14ac:dyDescent="0.25"/>
    <row r="15" spans="2:10" ht="14.25" customHeight="1" x14ac:dyDescent="0.25"/>
    <row r="16" spans="2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B1:J9" xr:uid="{00000000-0009-0000-0000-00000B000000}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H996"/>
  <sheetViews>
    <sheetView topLeftCell="B16" workbookViewId="0">
      <selection activeCell="D33" sqref="D33"/>
    </sheetView>
  </sheetViews>
  <sheetFormatPr defaultColWidth="12.5703125" defaultRowHeight="15" customHeight="1" x14ac:dyDescent="0.25"/>
  <cols>
    <col min="1" max="2" width="14.42578125" customWidth="1"/>
    <col min="3" max="3" width="15.42578125" customWidth="1"/>
    <col min="4" max="4" width="45.5703125" customWidth="1"/>
    <col min="5" max="5" width="39.85546875" customWidth="1"/>
    <col min="6" max="6" width="10.42578125" customWidth="1"/>
    <col min="7" max="8" width="13" customWidth="1"/>
    <col min="9" max="25" width="14.42578125" customWidth="1"/>
  </cols>
  <sheetData>
    <row r="1" spans="3:8" ht="14.25" customHeight="1" x14ac:dyDescent="0.25">
      <c r="C1" s="30"/>
      <c r="G1" s="57"/>
      <c r="H1" s="57"/>
    </row>
    <row r="2" spans="3:8" ht="14.25" customHeight="1" x14ac:dyDescent="0.25">
      <c r="C2" s="71"/>
      <c r="D2" s="366" t="s">
        <v>358</v>
      </c>
      <c r="E2" s="367"/>
      <c r="F2" s="367"/>
      <c r="G2" s="367"/>
      <c r="H2" s="367"/>
    </row>
    <row r="3" spans="3:8" ht="14.25" customHeight="1" x14ac:dyDescent="0.25">
      <c r="C3" s="2" t="s">
        <v>1</v>
      </c>
      <c r="D3" s="3" t="s">
        <v>2</v>
      </c>
      <c r="E3" s="4" t="s">
        <v>3</v>
      </c>
      <c r="F3" s="4" t="s">
        <v>4</v>
      </c>
      <c r="G3" s="5" t="s">
        <v>5</v>
      </c>
      <c r="H3" s="5" t="s">
        <v>232</v>
      </c>
    </row>
    <row r="4" spans="3:8" ht="14.25" customHeight="1" x14ac:dyDescent="0.25">
      <c r="C4" s="6" t="s">
        <v>318</v>
      </c>
      <c r="D4" s="35" t="s">
        <v>328</v>
      </c>
      <c r="E4" s="6" t="s">
        <v>23</v>
      </c>
      <c r="F4" s="6">
        <v>23</v>
      </c>
      <c r="G4" s="103">
        <f t="shared" ref="G4:G9" si="0">F4*16.5</f>
        <v>379.5</v>
      </c>
      <c r="H4" s="103" t="s">
        <v>10</v>
      </c>
    </row>
    <row r="5" spans="3:8" ht="14.25" customHeight="1" x14ac:dyDescent="0.25">
      <c r="C5" s="6" t="s">
        <v>7</v>
      </c>
      <c r="D5" s="7" t="s">
        <v>8</v>
      </c>
      <c r="E5" s="6" t="s">
        <v>86</v>
      </c>
      <c r="F5" s="6">
        <v>23</v>
      </c>
      <c r="G5" s="103">
        <f t="shared" si="0"/>
        <v>379.5</v>
      </c>
      <c r="H5" s="103" t="s">
        <v>10</v>
      </c>
    </row>
    <row r="6" spans="3:8" ht="14.25" customHeight="1" x14ac:dyDescent="0.25">
      <c r="C6" s="6" t="s">
        <v>354</v>
      </c>
      <c r="D6" s="9" t="s">
        <v>359</v>
      </c>
      <c r="E6" s="6" t="s">
        <v>23</v>
      </c>
      <c r="F6" s="6">
        <v>23</v>
      </c>
      <c r="G6" s="103">
        <f t="shared" si="0"/>
        <v>379.5</v>
      </c>
      <c r="H6" s="103" t="s">
        <v>10</v>
      </c>
    </row>
    <row r="7" spans="3:8" ht="14.25" customHeight="1" x14ac:dyDescent="0.25">
      <c r="C7" s="6" t="s">
        <v>343</v>
      </c>
      <c r="D7" s="9" t="s">
        <v>360</v>
      </c>
      <c r="E7" s="6" t="s">
        <v>29</v>
      </c>
      <c r="F7" s="6">
        <v>23</v>
      </c>
      <c r="G7" s="103">
        <f t="shared" si="0"/>
        <v>379.5</v>
      </c>
      <c r="H7" s="104">
        <v>120</v>
      </c>
    </row>
    <row r="8" spans="3:8" ht="14.25" customHeight="1" x14ac:dyDescent="0.25">
      <c r="C8" s="6" t="s">
        <v>264</v>
      </c>
      <c r="D8" s="9" t="s">
        <v>265</v>
      </c>
      <c r="E8" s="6" t="s">
        <v>23</v>
      </c>
      <c r="F8" s="6">
        <v>23</v>
      </c>
      <c r="G8" s="103">
        <f t="shared" si="0"/>
        <v>379.5</v>
      </c>
      <c r="H8" s="103">
        <v>120</v>
      </c>
    </row>
    <row r="9" spans="3:8" ht="14.25" customHeight="1" x14ac:dyDescent="0.25">
      <c r="C9" s="6" t="s">
        <v>310</v>
      </c>
      <c r="D9" s="35" t="s">
        <v>329</v>
      </c>
      <c r="E9" s="6" t="s">
        <v>86</v>
      </c>
      <c r="F9" s="6">
        <v>23</v>
      </c>
      <c r="G9" s="103">
        <f t="shared" si="0"/>
        <v>379.5</v>
      </c>
      <c r="H9" s="103">
        <v>120</v>
      </c>
    </row>
    <row r="10" spans="3:8" ht="14.25" customHeight="1" x14ac:dyDescent="0.25">
      <c r="C10" s="6" t="s">
        <v>14</v>
      </c>
      <c r="D10" s="9" t="s">
        <v>15</v>
      </c>
      <c r="E10" s="6" t="s">
        <v>16</v>
      </c>
      <c r="F10" s="6" t="s">
        <v>10</v>
      </c>
      <c r="G10" s="103" t="s">
        <v>10</v>
      </c>
      <c r="H10" s="103" t="s">
        <v>10</v>
      </c>
    </row>
    <row r="11" spans="3:8" ht="14.25" customHeight="1" x14ac:dyDescent="0.25">
      <c r="C11" s="6" t="s">
        <v>17</v>
      </c>
      <c r="D11" s="9" t="s">
        <v>18</v>
      </c>
      <c r="E11" s="6" t="s">
        <v>16</v>
      </c>
      <c r="F11" s="6">
        <v>23</v>
      </c>
      <c r="G11" s="103">
        <f t="shared" ref="G11:G18" si="1">F11*16.5</f>
        <v>379.5</v>
      </c>
      <c r="H11" s="103">
        <v>120</v>
      </c>
    </row>
    <row r="12" spans="3:8" ht="14.25" customHeight="1" x14ac:dyDescent="0.25">
      <c r="C12" s="6" t="s">
        <v>19</v>
      </c>
      <c r="D12" s="9" t="s">
        <v>20</v>
      </c>
      <c r="E12" s="6" t="s">
        <v>16</v>
      </c>
      <c r="F12" s="6">
        <v>23</v>
      </c>
      <c r="G12" s="103">
        <f t="shared" si="1"/>
        <v>379.5</v>
      </c>
      <c r="H12" s="103">
        <v>120</v>
      </c>
    </row>
    <row r="13" spans="3:8" ht="14.25" customHeight="1" x14ac:dyDescent="0.25">
      <c r="C13" s="6" t="s">
        <v>27</v>
      </c>
      <c r="D13" s="9" t="s">
        <v>28</v>
      </c>
      <c r="E13" s="6" t="s">
        <v>29</v>
      </c>
      <c r="F13" s="6">
        <v>23</v>
      </c>
      <c r="G13" s="103">
        <f t="shared" si="1"/>
        <v>379.5</v>
      </c>
      <c r="H13" s="103">
        <v>120</v>
      </c>
    </row>
    <row r="14" spans="3:8" ht="14.25" customHeight="1" x14ac:dyDescent="0.25">
      <c r="C14" s="6" t="s">
        <v>30</v>
      </c>
      <c r="D14" s="9" t="s">
        <v>31</v>
      </c>
      <c r="E14" s="6" t="s">
        <v>32</v>
      </c>
      <c r="F14" s="6">
        <v>23</v>
      </c>
      <c r="G14" s="103">
        <f t="shared" si="1"/>
        <v>379.5</v>
      </c>
      <c r="H14" s="103">
        <v>120</v>
      </c>
    </row>
    <row r="15" spans="3:8" ht="13.15" customHeight="1" x14ac:dyDescent="0.25">
      <c r="C15" s="6" t="s">
        <v>36</v>
      </c>
      <c r="D15" s="9" t="s">
        <v>37</v>
      </c>
      <c r="E15" s="6" t="s">
        <v>29</v>
      </c>
      <c r="F15" s="6">
        <v>23</v>
      </c>
      <c r="G15" s="103">
        <f t="shared" si="1"/>
        <v>379.5</v>
      </c>
      <c r="H15" s="103">
        <v>120</v>
      </c>
    </row>
    <row r="16" spans="3:8" ht="14.25" customHeight="1" x14ac:dyDescent="0.25">
      <c r="C16" s="6" t="s">
        <v>38</v>
      </c>
      <c r="D16" s="9" t="s">
        <v>39</v>
      </c>
      <c r="E16" s="6" t="s">
        <v>40</v>
      </c>
      <c r="F16" s="6">
        <v>23</v>
      </c>
      <c r="G16" s="103">
        <f t="shared" si="1"/>
        <v>379.5</v>
      </c>
      <c r="H16" s="103">
        <v>120</v>
      </c>
    </row>
    <row r="17" spans="3:8" ht="14.25" customHeight="1" x14ac:dyDescent="0.25">
      <c r="C17" s="6" t="s">
        <v>41</v>
      </c>
      <c r="D17" s="9" t="s">
        <v>42</v>
      </c>
      <c r="E17" s="6" t="s">
        <v>35</v>
      </c>
      <c r="F17" s="6">
        <v>23</v>
      </c>
      <c r="G17" s="103">
        <f t="shared" si="1"/>
        <v>379.5</v>
      </c>
      <c r="H17" s="103">
        <v>120</v>
      </c>
    </row>
    <row r="18" spans="3:8" ht="14.25" customHeight="1" x14ac:dyDescent="0.25">
      <c r="C18" s="6" t="s">
        <v>356</v>
      </c>
      <c r="D18" s="9" t="s">
        <v>361</v>
      </c>
      <c r="E18" s="6" t="s">
        <v>23</v>
      </c>
      <c r="F18" s="6">
        <v>23</v>
      </c>
      <c r="G18" s="103">
        <f t="shared" si="1"/>
        <v>379.5</v>
      </c>
      <c r="H18" s="103" t="s">
        <v>10</v>
      </c>
    </row>
    <row r="19" spans="3:8" ht="14.25" customHeight="1" x14ac:dyDescent="0.25">
      <c r="C19" s="6" t="s">
        <v>234</v>
      </c>
      <c r="D19" s="9" t="s">
        <v>235</v>
      </c>
      <c r="E19" s="6" t="s">
        <v>103</v>
      </c>
      <c r="F19" s="6" t="s">
        <v>330</v>
      </c>
      <c r="G19" s="103">
        <v>600</v>
      </c>
      <c r="H19" s="103" t="s">
        <v>10</v>
      </c>
    </row>
    <row r="20" spans="3:8" ht="14.25" customHeight="1" x14ac:dyDescent="0.25">
      <c r="C20" s="6" t="s">
        <v>312</v>
      </c>
      <c r="D20" s="35" t="s">
        <v>331</v>
      </c>
      <c r="E20" s="6" t="s">
        <v>86</v>
      </c>
      <c r="F20" s="6">
        <v>22</v>
      </c>
      <c r="G20" s="103">
        <f t="shared" ref="G20:G39" si="2">F20*16.5</f>
        <v>363</v>
      </c>
      <c r="H20" s="103">
        <v>120</v>
      </c>
    </row>
    <row r="21" spans="3:8" ht="14.25" customHeight="1" x14ac:dyDescent="0.25">
      <c r="C21" s="6" t="s">
        <v>316</v>
      </c>
      <c r="D21" s="35" t="s">
        <v>332</v>
      </c>
      <c r="E21" s="6" t="s">
        <v>32</v>
      </c>
      <c r="F21" s="6">
        <v>23</v>
      </c>
      <c r="G21" s="103">
        <f t="shared" si="2"/>
        <v>379.5</v>
      </c>
      <c r="H21" s="103">
        <v>120</v>
      </c>
    </row>
    <row r="22" spans="3:8" ht="14.25" customHeight="1" x14ac:dyDescent="0.25">
      <c r="C22" s="6" t="s">
        <v>301</v>
      </c>
      <c r="D22" s="9" t="s">
        <v>302</v>
      </c>
      <c r="E22" s="102" t="s">
        <v>389</v>
      </c>
      <c r="F22" s="6">
        <v>23</v>
      </c>
      <c r="G22" s="103">
        <f t="shared" si="2"/>
        <v>379.5</v>
      </c>
      <c r="H22" s="103">
        <v>120</v>
      </c>
    </row>
    <row r="23" spans="3:8" ht="14.25" customHeight="1" x14ac:dyDescent="0.25">
      <c r="C23" s="6" t="s">
        <v>288</v>
      </c>
      <c r="D23" s="9" t="s">
        <v>289</v>
      </c>
      <c r="E23" s="6" t="s">
        <v>32</v>
      </c>
      <c r="F23" s="6">
        <v>23</v>
      </c>
      <c r="G23" s="103">
        <f t="shared" si="2"/>
        <v>379.5</v>
      </c>
      <c r="H23" s="103">
        <v>120</v>
      </c>
    </row>
    <row r="24" spans="3:8" ht="14.25" customHeight="1" x14ac:dyDescent="0.25">
      <c r="C24" s="12">
        <v>10705364402</v>
      </c>
      <c r="D24" s="13" t="s">
        <v>51</v>
      </c>
      <c r="E24" s="6" t="s">
        <v>52</v>
      </c>
      <c r="F24" s="6">
        <v>23</v>
      </c>
      <c r="G24" s="103">
        <f t="shared" si="2"/>
        <v>379.5</v>
      </c>
      <c r="H24" s="103">
        <v>120</v>
      </c>
    </row>
    <row r="25" spans="3:8" ht="14.25" customHeight="1" x14ac:dyDescent="0.25">
      <c r="C25" s="6" t="s">
        <v>53</v>
      </c>
      <c r="D25" s="9" t="s">
        <v>54</v>
      </c>
      <c r="E25" s="6" t="s">
        <v>52</v>
      </c>
      <c r="F25" s="6">
        <v>5</v>
      </c>
      <c r="G25" s="103">
        <f t="shared" si="2"/>
        <v>82.5</v>
      </c>
      <c r="H25" s="103">
        <v>26.08</v>
      </c>
    </row>
    <row r="26" spans="3:8" ht="14.25" customHeight="1" x14ac:dyDescent="0.25">
      <c r="C26" s="14" t="s">
        <v>55</v>
      </c>
      <c r="D26" s="9" t="s">
        <v>56</v>
      </c>
      <c r="E26" s="102" t="s">
        <v>389</v>
      </c>
      <c r="F26" s="6">
        <v>23</v>
      </c>
      <c r="G26" s="103">
        <f t="shared" si="2"/>
        <v>379.5</v>
      </c>
      <c r="H26" s="103">
        <v>120</v>
      </c>
    </row>
    <row r="27" spans="3:8" ht="14.25" customHeight="1" x14ac:dyDescent="0.25">
      <c r="C27" s="14" t="s">
        <v>57</v>
      </c>
      <c r="D27" s="9" t="s">
        <v>58</v>
      </c>
      <c r="E27" s="102" t="s">
        <v>389</v>
      </c>
      <c r="F27" s="6">
        <v>23</v>
      </c>
      <c r="G27" s="103">
        <f t="shared" si="2"/>
        <v>379.5</v>
      </c>
      <c r="H27" s="103">
        <v>120</v>
      </c>
    </row>
    <row r="28" spans="3:8" ht="14.25" customHeight="1" x14ac:dyDescent="0.25">
      <c r="C28" s="6" t="s">
        <v>266</v>
      </c>
      <c r="D28" s="9" t="s">
        <v>267</v>
      </c>
      <c r="E28" s="6" t="s">
        <v>23</v>
      </c>
      <c r="F28" s="6">
        <v>23</v>
      </c>
      <c r="G28" s="103">
        <f t="shared" si="2"/>
        <v>379.5</v>
      </c>
      <c r="H28" s="103">
        <v>120</v>
      </c>
    </row>
    <row r="29" spans="3:8" ht="14.25" customHeight="1" x14ac:dyDescent="0.25">
      <c r="C29" s="6" t="s">
        <v>271</v>
      </c>
      <c r="D29" s="9" t="s">
        <v>272</v>
      </c>
      <c r="E29" s="6" t="s">
        <v>103</v>
      </c>
      <c r="F29" s="6">
        <v>23</v>
      </c>
      <c r="G29" s="103">
        <f t="shared" si="2"/>
        <v>379.5</v>
      </c>
      <c r="H29" s="103">
        <v>120</v>
      </c>
    </row>
    <row r="30" spans="3:8" ht="14.25" customHeight="1" x14ac:dyDescent="0.25">
      <c r="C30" s="14" t="s">
        <v>66</v>
      </c>
      <c r="D30" s="9" t="s">
        <v>67</v>
      </c>
      <c r="E30" s="6" t="s">
        <v>32</v>
      </c>
      <c r="F30" s="6">
        <v>23</v>
      </c>
      <c r="G30" s="103">
        <f t="shared" si="2"/>
        <v>379.5</v>
      </c>
      <c r="H30" s="103" t="s">
        <v>10</v>
      </c>
    </row>
    <row r="31" spans="3:8" ht="14.25" customHeight="1" x14ac:dyDescent="0.25">
      <c r="C31" s="6" t="s">
        <v>320</v>
      </c>
      <c r="D31" s="35" t="s">
        <v>333</v>
      </c>
      <c r="E31" s="102" t="s">
        <v>389</v>
      </c>
      <c r="F31" s="6">
        <v>23</v>
      </c>
      <c r="G31" s="103">
        <f t="shared" si="2"/>
        <v>379.5</v>
      </c>
      <c r="H31" s="103">
        <v>120</v>
      </c>
    </row>
    <row r="32" spans="3:8" ht="14.25" customHeight="1" x14ac:dyDescent="0.25">
      <c r="C32" s="6" t="s">
        <v>303</v>
      </c>
      <c r="D32" s="9" t="s">
        <v>304</v>
      </c>
      <c r="E32" s="6" t="s">
        <v>40</v>
      </c>
      <c r="F32" s="6">
        <v>23</v>
      </c>
      <c r="G32" s="103">
        <f t="shared" si="2"/>
        <v>379.5</v>
      </c>
      <c r="H32" s="103" t="s">
        <v>10</v>
      </c>
    </row>
    <row r="33" spans="3:8" ht="14.25" customHeight="1" x14ac:dyDescent="0.25">
      <c r="C33" s="6" t="s">
        <v>224</v>
      </c>
      <c r="D33" s="35" t="s">
        <v>225</v>
      </c>
      <c r="E33" s="6" t="s">
        <v>143</v>
      </c>
      <c r="F33" s="6">
        <v>23</v>
      </c>
      <c r="G33" s="103">
        <f t="shared" si="2"/>
        <v>379.5</v>
      </c>
      <c r="H33" s="103" t="s">
        <v>10</v>
      </c>
    </row>
    <row r="34" spans="3:8" ht="14.25" customHeight="1" x14ac:dyDescent="0.25">
      <c r="C34" s="6" t="s">
        <v>70</v>
      </c>
      <c r="D34" s="9" t="s">
        <v>71</v>
      </c>
      <c r="E34" s="6" t="s">
        <v>32</v>
      </c>
      <c r="F34" s="6">
        <v>23</v>
      </c>
      <c r="G34" s="103">
        <f t="shared" si="2"/>
        <v>379.5</v>
      </c>
      <c r="H34" s="103">
        <v>120</v>
      </c>
    </row>
    <row r="35" spans="3:8" ht="14.25" customHeight="1" x14ac:dyDescent="0.25">
      <c r="C35" s="6" t="s">
        <v>280</v>
      </c>
      <c r="D35" s="9" t="s">
        <v>281</v>
      </c>
      <c r="E35" s="6" t="s">
        <v>86</v>
      </c>
      <c r="F35" s="6">
        <v>22</v>
      </c>
      <c r="G35" s="103">
        <f t="shared" si="2"/>
        <v>363</v>
      </c>
      <c r="H35" s="103">
        <v>120</v>
      </c>
    </row>
    <row r="36" spans="3:8" ht="14.25" customHeight="1" x14ac:dyDescent="0.25">
      <c r="C36" s="6" t="s">
        <v>72</v>
      </c>
      <c r="D36" s="9" t="s">
        <v>73</v>
      </c>
      <c r="E36" s="6" t="s">
        <v>86</v>
      </c>
      <c r="F36" s="6">
        <v>23</v>
      </c>
      <c r="G36" s="103">
        <f t="shared" si="2"/>
        <v>379.5</v>
      </c>
      <c r="H36" s="103">
        <v>120</v>
      </c>
    </row>
    <row r="37" spans="3:8" ht="14.25" customHeight="1" x14ac:dyDescent="0.25">
      <c r="C37" s="14" t="s">
        <v>74</v>
      </c>
      <c r="D37" s="9" t="s">
        <v>75</v>
      </c>
      <c r="E37" s="6" t="s">
        <v>143</v>
      </c>
      <c r="F37" s="6">
        <v>23</v>
      </c>
      <c r="G37" s="103">
        <f t="shared" si="2"/>
        <v>379.5</v>
      </c>
      <c r="H37" s="103">
        <v>120</v>
      </c>
    </row>
    <row r="38" spans="3:8" ht="14.25" customHeight="1" x14ac:dyDescent="0.25">
      <c r="C38" s="6" t="s">
        <v>237</v>
      </c>
      <c r="D38" s="35" t="s">
        <v>238</v>
      </c>
      <c r="E38" s="6" t="s">
        <v>103</v>
      </c>
      <c r="F38" s="6">
        <v>23</v>
      </c>
      <c r="G38" s="103">
        <f t="shared" si="2"/>
        <v>379.5</v>
      </c>
      <c r="H38" s="103">
        <v>120</v>
      </c>
    </row>
    <row r="39" spans="3:8" ht="14.25" customHeight="1" x14ac:dyDescent="0.25">
      <c r="C39" s="6" t="s">
        <v>229</v>
      </c>
      <c r="D39" s="35" t="s">
        <v>230</v>
      </c>
      <c r="E39" s="6" t="s">
        <v>143</v>
      </c>
      <c r="F39" s="6">
        <v>23</v>
      </c>
      <c r="G39" s="103">
        <f t="shared" si="2"/>
        <v>379.5</v>
      </c>
      <c r="H39" s="103">
        <v>120</v>
      </c>
    </row>
    <row r="40" spans="3:8" ht="14.25" customHeight="1" x14ac:dyDescent="0.25">
      <c r="C40" s="14" t="s">
        <v>80</v>
      </c>
      <c r="D40" s="9" t="s">
        <v>81</v>
      </c>
      <c r="E40" s="6" t="s">
        <v>16</v>
      </c>
      <c r="F40" s="6" t="s">
        <v>10</v>
      </c>
      <c r="G40" s="103">
        <v>0</v>
      </c>
      <c r="H40" s="103" t="s">
        <v>10</v>
      </c>
    </row>
    <row r="41" spans="3:8" ht="14.25" customHeight="1" x14ac:dyDescent="0.25">
      <c r="C41" s="14" t="s">
        <v>84</v>
      </c>
      <c r="D41" s="9" t="s">
        <v>85</v>
      </c>
      <c r="E41" s="6" t="s">
        <v>86</v>
      </c>
      <c r="F41" s="6">
        <v>23</v>
      </c>
      <c r="G41" s="103">
        <f t="shared" ref="G41:G72" si="3">F41*16.5</f>
        <v>379.5</v>
      </c>
      <c r="H41" s="103">
        <v>120</v>
      </c>
    </row>
    <row r="42" spans="3:8" ht="14.25" customHeight="1" x14ac:dyDescent="0.25">
      <c r="C42" s="6" t="s">
        <v>298</v>
      </c>
      <c r="D42" s="9" t="s">
        <v>299</v>
      </c>
      <c r="E42" s="102" t="s">
        <v>389</v>
      </c>
      <c r="F42" s="6">
        <v>23</v>
      </c>
      <c r="G42" s="103">
        <f t="shared" si="3"/>
        <v>379.5</v>
      </c>
      <c r="H42" s="103">
        <v>120</v>
      </c>
    </row>
    <row r="43" spans="3:8" ht="14.25" customHeight="1" x14ac:dyDescent="0.25">
      <c r="C43" s="14" t="s">
        <v>87</v>
      </c>
      <c r="D43" s="9" t="s">
        <v>88</v>
      </c>
      <c r="E43" s="6" t="s">
        <v>23</v>
      </c>
      <c r="F43" s="6">
        <v>23</v>
      </c>
      <c r="G43" s="103">
        <f t="shared" si="3"/>
        <v>379.5</v>
      </c>
      <c r="H43" s="103" t="s">
        <v>10</v>
      </c>
    </row>
    <row r="44" spans="3:8" ht="14.25" customHeight="1" x14ac:dyDescent="0.25">
      <c r="C44" s="14" t="s">
        <v>89</v>
      </c>
      <c r="D44" s="9" t="s">
        <v>90</v>
      </c>
      <c r="E44" s="6" t="s">
        <v>35</v>
      </c>
      <c r="F44" s="6">
        <v>23</v>
      </c>
      <c r="G44" s="103">
        <f t="shared" si="3"/>
        <v>379.5</v>
      </c>
      <c r="H44" s="103" t="s">
        <v>10</v>
      </c>
    </row>
    <row r="45" spans="3:8" ht="14.25" customHeight="1" x14ac:dyDescent="0.25">
      <c r="C45" s="14" t="s">
        <v>91</v>
      </c>
      <c r="D45" s="9" t="s">
        <v>92</v>
      </c>
      <c r="E45" s="102" t="s">
        <v>377</v>
      </c>
      <c r="F45" s="6">
        <v>23</v>
      </c>
      <c r="G45" s="103">
        <f t="shared" si="3"/>
        <v>379.5</v>
      </c>
      <c r="H45" s="103">
        <v>120</v>
      </c>
    </row>
    <row r="46" spans="3:8" ht="14.25" customHeight="1" x14ac:dyDescent="0.25">
      <c r="C46" s="15" t="s">
        <v>93</v>
      </c>
      <c r="D46" s="7" t="s">
        <v>94</v>
      </c>
      <c r="E46" s="6" t="s">
        <v>52</v>
      </c>
      <c r="F46" s="6">
        <v>23</v>
      </c>
      <c r="G46" s="103">
        <f t="shared" si="3"/>
        <v>379.5</v>
      </c>
      <c r="H46" s="103" t="s">
        <v>10</v>
      </c>
    </row>
    <row r="47" spans="3:8" ht="14.25" customHeight="1" x14ac:dyDescent="0.25">
      <c r="C47" s="14" t="s">
        <v>95</v>
      </c>
      <c r="D47" s="9" t="s">
        <v>96</v>
      </c>
      <c r="E47" s="102" t="s">
        <v>389</v>
      </c>
      <c r="F47" s="6">
        <v>23</v>
      </c>
      <c r="G47" s="103">
        <f t="shared" si="3"/>
        <v>379.5</v>
      </c>
      <c r="H47" s="103">
        <v>120</v>
      </c>
    </row>
    <row r="48" spans="3:8" ht="14.25" customHeight="1" x14ac:dyDescent="0.25">
      <c r="C48" s="14" t="s">
        <v>97</v>
      </c>
      <c r="D48" s="9" t="s">
        <v>98</v>
      </c>
      <c r="E48" s="6" t="s">
        <v>86</v>
      </c>
      <c r="F48" s="6">
        <v>23</v>
      </c>
      <c r="G48" s="103">
        <f t="shared" si="3"/>
        <v>379.5</v>
      </c>
      <c r="H48" s="103">
        <v>120</v>
      </c>
    </row>
    <row r="49" spans="3:8" ht="14.25" customHeight="1" x14ac:dyDescent="0.25">
      <c r="C49" s="6" t="s">
        <v>99</v>
      </c>
      <c r="D49" s="9" t="s">
        <v>100</v>
      </c>
      <c r="E49" s="6" t="s">
        <v>13</v>
      </c>
      <c r="F49" s="6">
        <v>23</v>
      </c>
      <c r="G49" s="103">
        <f t="shared" si="3"/>
        <v>379.5</v>
      </c>
      <c r="H49" s="103">
        <v>120</v>
      </c>
    </row>
    <row r="50" spans="3:8" ht="14.25" customHeight="1" x14ac:dyDescent="0.25">
      <c r="C50" s="6" t="s">
        <v>273</v>
      </c>
      <c r="D50" s="35" t="s">
        <v>274</v>
      </c>
      <c r="E50" s="6" t="s">
        <v>35</v>
      </c>
      <c r="F50" s="6">
        <v>23</v>
      </c>
      <c r="G50" s="103">
        <f t="shared" si="3"/>
        <v>379.5</v>
      </c>
      <c r="H50" s="103">
        <v>120</v>
      </c>
    </row>
    <row r="51" spans="3:8" ht="14.25" customHeight="1" x14ac:dyDescent="0.25">
      <c r="C51" s="6" t="s">
        <v>348</v>
      </c>
      <c r="D51" s="9" t="s">
        <v>362</v>
      </c>
      <c r="E51" s="6" t="s">
        <v>143</v>
      </c>
      <c r="F51" s="6">
        <v>23</v>
      </c>
      <c r="G51" s="103">
        <f t="shared" si="3"/>
        <v>379.5</v>
      </c>
      <c r="H51" s="104">
        <v>120</v>
      </c>
    </row>
    <row r="52" spans="3:8" ht="14.25" customHeight="1" x14ac:dyDescent="0.25">
      <c r="C52" s="6" t="s">
        <v>227</v>
      </c>
      <c r="D52" s="35" t="s">
        <v>228</v>
      </c>
      <c r="E52" s="102" t="s">
        <v>103</v>
      </c>
      <c r="F52" s="6">
        <v>23</v>
      </c>
      <c r="G52" s="103">
        <f t="shared" si="3"/>
        <v>379.5</v>
      </c>
      <c r="H52" s="103">
        <v>120</v>
      </c>
    </row>
    <row r="53" spans="3:8" ht="14.25" customHeight="1" x14ac:dyDescent="0.25">
      <c r="C53" s="14" t="s">
        <v>106</v>
      </c>
      <c r="D53" s="9" t="s">
        <v>107</v>
      </c>
      <c r="E53" s="102" t="s">
        <v>389</v>
      </c>
      <c r="F53" s="6">
        <v>23</v>
      </c>
      <c r="G53" s="103">
        <f t="shared" si="3"/>
        <v>379.5</v>
      </c>
      <c r="H53" s="103">
        <v>120</v>
      </c>
    </row>
    <row r="54" spans="3:8" ht="14.25" customHeight="1" x14ac:dyDescent="0.25">
      <c r="C54" s="14" t="s">
        <v>108</v>
      </c>
      <c r="D54" s="9" t="s">
        <v>109</v>
      </c>
      <c r="E54" s="6" t="s">
        <v>23</v>
      </c>
      <c r="F54" s="6">
        <v>23</v>
      </c>
      <c r="G54" s="103">
        <f t="shared" si="3"/>
        <v>379.5</v>
      </c>
      <c r="H54" s="103">
        <v>120</v>
      </c>
    </row>
    <row r="55" spans="3:8" ht="14.25" customHeight="1" x14ac:dyDescent="0.25">
      <c r="C55" s="6" t="s">
        <v>277</v>
      </c>
      <c r="D55" s="9" t="s">
        <v>278</v>
      </c>
      <c r="E55" s="6" t="s">
        <v>86</v>
      </c>
      <c r="F55" s="6">
        <v>23</v>
      </c>
      <c r="G55" s="103">
        <f t="shared" si="3"/>
        <v>379.5</v>
      </c>
      <c r="H55" s="103">
        <v>120</v>
      </c>
    </row>
    <row r="56" spans="3:8" ht="14.25" customHeight="1" x14ac:dyDescent="0.25">
      <c r="C56" s="72" t="s">
        <v>112</v>
      </c>
      <c r="D56" s="73" t="s">
        <v>113</v>
      </c>
      <c r="E56" s="74" t="s">
        <v>52</v>
      </c>
      <c r="F56" s="74">
        <v>18</v>
      </c>
      <c r="G56" s="101">
        <f t="shared" si="3"/>
        <v>297</v>
      </c>
      <c r="H56" s="101">
        <v>93.91</v>
      </c>
    </row>
    <row r="57" spans="3:8" ht="14.25" customHeight="1" x14ac:dyDescent="0.25">
      <c r="C57" s="6" t="s">
        <v>338</v>
      </c>
      <c r="D57" s="9" t="s">
        <v>339</v>
      </c>
      <c r="E57" s="6" t="s">
        <v>23</v>
      </c>
      <c r="F57" s="6">
        <v>23</v>
      </c>
      <c r="G57" s="103">
        <f t="shared" si="3"/>
        <v>379.5</v>
      </c>
      <c r="H57" s="103">
        <v>120</v>
      </c>
    </row>
    <row r="58" spans="3:8" ht="14.25" customHeight="1" x14ac:dyDescent="0.25">
      <c r="C58" s="6" t="s">
        <v>324</v>
      </c>
      <c r="D58" s="35" t="s">
        <v>334</v>
      </c>
      <c r="E58" s="102" t="s">
        <v>388</v>
      </c>
      <c r="F58" s="6">
        <v>23</v>
      </c>
      <c r="G58" s="103">
        <f t="shared" si="3"/>
        <v>379.5</v>
      </c>
      <c r="H58" s="103" t="s">
        <v>10</v>
      </c>
    </row>
    <row r="59" spans="3:8" ht="14.25" customHeight="1" x14ac:dyDescent="0.25">
      <c r="C59" s="6" t="s">
        <v>239</v>
      </c>
      <c r="D59" s="35" t="s">
        <v>240</v>
      </c>
      <c r="E59" s="6" t="s">
        <v>143</v>
      </c>
      <c r="F59" s="6">
        <v>23</v>
      </c>
      <c r="G59" s="103">
        <f t="shared" si="3"/>
        <v>379.5</v>
      </c>
      <c r="H59" s="103" t="s">
        <v>10</v>
      </c>
    </row>
    <row r="60" spans="3:8" ht="14.25" customHeight="1" x14ac:dyDescent="0.25">
      <c r="C60" s="23" t="s">
        <v>114</v>
      </c>
      <c r="D60" s="9" t="s">
        <v>115</v>
      </c>
      <c r="E60" s="6" t="s">
        <v>143</v>
      </c>
      <c r="F60" s="6">
        <v>23</v>
      </c>
      <c r="G60" s="103">
        <f t="shared" si="3"/>
        <v>379.5</v>
      </c>
      <c r="H60" s="103">
        <v>120</v>
      </c>
    </row>
    <row r="61" spans="3:8" ht="14.25" customHeight="1" x14ac:dyDescent="0.25">
      <c r="C61" s="6" t="s">
        <v>314</v>
      </c>
      <c r="D61" s="35" t="s">
        <v>335</v>
      </c>
      <c r="E61" s="6" t="s">
        <v>86</v>
      </c>
      <c r="F61" s="6">
        <v>23</v>
      </c>
      <c r="G61" s="103">
        <f t="shared" si="3"/>
        <v>379.5</v>
      </c>
      <c r="H61" s="103" t="s">
        <v>10</v>
      </c>
    </row>
    <row r="62" spans="3:8" ht="14.25" customHeight="1" x14ac:dyDescent="0.25">
      <c r="C62" s="14" t="s">
        <v>118</v>
      </c>
      <c r="D62" s="9" t="s">
        <v>119</v>
      </c>
      <c r="E62" s="6" t="s">
        <v>86</v>
      </c>
      <c r="F62" s="6">
        <v>23</v>
      </c>
      <c r="G62" s="103">
        <f t="shared" si="3"/>
        <v>379.5</v>
      </c>
      <c r="H62" s="103">
        <v>120</v>
      </c>
    </row>
    <row r="63" spans="3:8" ht="14.25" customHeight="1" x14ac:dyDescent="0.25">
      <c r="C63" s="6" t="s">
        <v>120</v>
      </c>
      <c r="D63" s="9" t="s">
        <v>121</v>
      </c>
      <c r="E63" s="6" t="s">
        <v>52</v>
      </c>
      <c r="F63" s="6">
        <v>23</v>
      </c>
      <c r="G63" s="103">
        <f t="shared" si="3"/>
        <v>379.5</v>
      </c>
      <c r="H63" s="103">
        <v>120</v>
      </c>
    </row>
    <row r="64" spans="3:8" ht="14.25" customHeight="1" x14ac:dyDescent="0.25">
      <c r="C64" s="6" t="s">
        <v>352</v>
      </c>
      <c r="D64" s="9" t="s">
        <v>363</v>
      </c>
      <c r="E64" s="6" t="s">
        <v>13</v>
      </c>
      <c r="F64" s="6">
        <v>23</v>
      </c>
      <c r="G64" s="103">
        <f t="shared" si="3"/>
        <v>379.5</v>
      </c>
      <c r="H64" s="104">
        <v>120</v>
      </c>
    </row>
    <row r="65" spans="3:8" ht="14.25" customHeight="1" x14ac:dyDescent="0.25">
      <c r="C65" s="14" t="s">
        <v>122</v>
      </c>
      <c r="D65" s="9" t="s">
        <v>123</v>
      </c>
      <c r="E65" s="6" t="s">
        <v>143</v>
      </c>
      <c r="F65" s="6">
        <v>23</v>
      </c>
      <c r="G65" s="103">
        <f t="shared" si="3"/>
        <v>379.5</v>
      </c>
      <c r="H65" s="103">
        <v>120</v>
      </c>
    </row>
    <row r="66" spans="3:8" ht="14.25" customHeight="1" x14ac:dyDescent="0.25">
      <c r="C66" s="6" t="s">
        <v>306</v>
      </c>
      <c r="D66" s="9" t="s">
        <v>307</v>
      </c>
      <c r="E66" s="6" t="s">
        <v>40</v>
      </c>
      <c r="F66" s="6">
        <v>23</v>
      </c>
      <c r="G66" s="103">
        <f t="shared" si="3"/>
        <v>379.5</v>
      </c>
      <c r="H66" s="103">
        <v>120</v>
      </c>
    </row>
    <row r="67" spans="3:8" ht="15" customHeight="1" x14ac:dyDescent="0.25">
      <c r="C67" s="14" t="s">
        <v>124</v>
      </c>
      <c r="D67" s="9" t="s">
        <v>125</v>
      </c>
      <c r="E67" s="6" t="s">
        <v>86</v>
      </c>
      <c r="F67" s="6">
        <v>23</v>
      </c>
      <c r="G67" s="103">
        <f t="shared" si="3"/>
        <v>379.5</v>
      </c>
      <c r="H67" s="103">
        <v>120</v>
      </c>
    </row>
    <row r="68" spans="3:8" ht="14.25" customHeight="1" x14ac:dyDescent="0.25">
      <c r="C68" s="12">
        <v>4912836443</v>
      </c>
      <c r="D68" s="9" t="s">
        <v>128</v>
      </c>
      <c r="E68" s="6" t="s">
        <v>86</v>
      </c>
      <c r="F68" s="6">
        <v>23</v>
      </c>
      <c r="G68" s="103">
        <f t="shared" si="3"/>
        <v>379.5</v>
      </c>
      <c r="H68" s="103">
        <v>120</v>
      </c>
    </row>
    <row r="69" spans="3:8" ht="14.25" customHeight="1" x14ac:dyDescent="0.25">
      <c r="C69" s="6" t="s">
        <v>242</v>
      </c>
      <c r="D69" s="35" t="s">
        <v>243</v>
      </c>
      <c r="E69" s="6" t="s">
        <v>40</v>
      </c>
      <c r="F69" s="6">
        <v>23</v>
      </c>
      <c r="G69" s="103">
        <f t="shared" si="3"/>
        <v>379.5</v>
      </c>
      <c r="H69" s="103">
        <v>120</v>
      </c>
    </row>
    <row r="70" spans="3:8" ht="14.25" customHeight="1" x14ac:dyDescent="0.25">
      <c r="C70" s="6" t="s">
        <v>293</v>
      </c>
      <c r="D70" s="9" t="s">
        <v>294</v>
      </c>
      <c r="E70" s="102" t="s">
        <v>389</v>
      </c>
      <c r="F70" s="6">
        <v>23</v>
      </c>
      <c r="G70" s="103">
        <f t="shared" si="3"/>
        <v>379.5</v>
      </c>
      <c r="H70" s="103">
        <v>120</v>
      </c>
    </row>
    <row r="71" spans="3:8" ht="14.25" customHeight="1" x14ac:dyDescent="0.25">
      <c r="C71" s="14" t="s">
        <v>336</v>
      </c>
      <c r="D71" s="9" t="s">
        <v>132</v>
      </c>
      <c r="E71" s="6" t="s">
        <v>143</v>
      </c>
      <c r="F71" s="6">
        <v>23</v>
      </c>
      <c r="G71" s="103">
        <f t="shared" si="3"/>
        <v>379.5</v>
      </c>
      <c r="H71" s="103">
        <v>120</v>
      </c>
    </row>
    <row r="72" spans="3:8" ht="14.25" customHeight="1" x14ac:dyDescent="0.25">
      <c r="C72" s="14" t="s">
        <v>135</v>
      </c>
      <c r="D72" s="9" t="s">
        <v>136</v>
      </c>
      <c r="E72" s="6" t="s">
        <v>86</v>
      </c>
      <c r="F72" s="6">
        <v>23</v>
      </c>
      <c r="G72" s="103">
        <f t="shared" si="3"/>
        <v>379.5</v>
      </c>
      <c r="H72" s="103">
        <v>120</v>
      </c>
    </row>
    <row r="73" spans="3:8" ht="14.25" customHeight="1" x14ac:dyDescent="0.25">
      <c r="C73" s="6" t="s">
        <v>340</v>
      </c>
      <c r="D73" s="9" t="s">
        <v>364</v>
      </c>
      <c r="E73" s="6" t="s">
        <v>23</v>
      </c>
      <c r="F73" s="6">
        <v>23</v>
      </c>
      <c r="G73" s="103">
        <f t="shared" ref="G73:G104" si="4">F73*16.5</f>
        <v>379.5</v>
      </c>
      <c r="H73" s="104">
        <v>120</v>
      </c>
    </row>
    <row r="74" spans="3:8" ht="14.25" customHeight="1" x14ac:dyDescent="0.25">
      <c r="C74" s="14" t="s">
        <v>137</v>
      </c>
      <c r="D74" s="9" t="s">
        <v>138</v>
      </c>
      <c r="E74" s="6" t="s">
        <v>29</v>
      </c>
      <c r="F74" s="6">
        <v>23</v>
      </c>
      <c r="G74" s="103">
        <f t="shared" si="4"/>
        <v>379.5</v>
      </c>
      <c r="H74" s="103">
        <v>120</v>
      </c>
    </row>
    <row r="75" spans="3:8" ht="14.25" customHeight="1" x14ac:dyDescent="0.25">
      <c r="C75" s="6" t="s">
        <v>141</v>
      </c>
      <c r="D75" s="9" t="s">
        <v>142</v>
      </c>
      <c r="E75" s="6" t="s">
        <v>143</v>
      </c>
      <c r="F75" s="6">
        <v>23</v>
      </c>
      <c r="G75" s="103">
        <f t="shared" si="4"/>
        <v>379.5</v>
      </c>
      <c r="H75" s="103">
        <v>120</v>
      </c>
    </row>
    <row r="76" spans="3:8" ht="13.5" customHeight="1" x14ac:dyDescent="0.25">
      <c r="C76" s="6" t="s">
        <v>144</v>
      </c>
      <c r="D76" s="9" t="s">
        <v>145</v>
      </c>
      <c r="E76" s="6" t="s">
        <v>143</v>
      </c>
      <c r="F76" s="6">
        <v>23</v>
      </c>
      <c r="G76" s="103">
        <f t="shared" si="4"/>
        <v>379.5</v>
      </c>
      <c r="H76" s="103">
        <v>120</v>
      </c>
    </row>
    <row r="77" spans="3:8" ht="14.25" customHeight="1" x14ac:dyDescent="0.25">
      <c r="C77" s="14" t="s">
        <v>146</v>
      </c>
      <c r="D77" s="9" t="s">
        <v>147</v>
      </c>
      <c r="E77" s="6" t="s">
        <v>52</v>
      </c>
      <c r="F77" s="6">
        <v>23</v>
      </c>
      <c r="G77" s="103">
        <f t="shared" si="4"/>
        <v>379.5</v>
      </c>
      <c r="H77" s="103">
        <v>120</v>
      </c>
    </row>
    <row r="78" spans="3:8" ht="14.25" customHeight="1" x14ac:dyDescent="0.25">
      <c r="C78" s="14" t="s">
        <v>148</v>
      </c>
      <c r="D78" s="9" t="s">
        <v>149</v>
      </c>
      <c r="E78" s="102" t="s">
        <v>389</v>
      </c>
      <c r="F78" s="6">
        <v>15</v>
      </c>
      <c r="G78" s="103">
        <f t="shared" si="4"/>
        <v>247.5</v>
      </c>
      <c r="H78" s="103">
        <v>78.260000000000005</v>
      </c>
    </row>
    <row r="79" spans="3:8" ht="14.25" customHeight="1" x14ac:dyDescent="0.25">
      <c r="C79" s="6" t="s">
        <v>150</v>
      </c>
      <c r="D79" s="9" t="s">
        <v>151</v>
      </c>
      <c r="E79" s="6" t="s">
        <v>32</v>
      </c>
      <c r="F79" s="6">
        <v>23</v>
      </c>
      <c r="G79" s="103">
        <f t="shared" si="4"/>
        <v>379.5</v>
      </c>
      <c r="H79" s="103">
        <v>120</v>
      </c>
    </row>
    <row r="80" spans="3:8" ht="14.25" customHeight="1" x14ac:dyDescent="0.25">
      <c r="C80" s="6" t="s">
        <v>152</v>
      </c>
      <c r="D80" s="9" t="s">
        <v>153</v>
      </c>
      <c r="E80" s="102" t="s">
        <v>377</v>
      </c>
      <c r="F80" s="6">
        <v>23</v>
      </c>
      <c r="G80" s="103">
        <f t="shared" si="4"/>
        <v>379.5</v>
      </c>
      <c r="H80" s="103">
        <v>120</v>
      </c>
    </row>
    <row r="81" spans="3:8" ht="14.25" customHeight="1" x14ac:dyDescent="0.25">
      <c r="C81" s="6" t="s">
        <v>156</v>
      </c>
      <c r="D81" s="9" t="s">
        <v>157</v>
      </c>
      <c r="E81" s="6" t="s">
        <v>16</v>
      </c>
      <c r="F81" s="6">
        <v>23</v>
      </c>
      <c r="G81" s="103">
        <f t="shared" si="4"/>
        <v>379.5</v>
      </c>
      <c r="H81" s="103">
        <v>120</v>
      </c>
    </row>
    <row r="82" spans="3:8" ht="14.25" customHeight="1" x14ac:dyDescent="0.25">
      <c r="C82" s="6" t="s">
        <v>350</v>
      </c>
      <c r="D82" s="9" t="s">
        <v>365</v>
      </c>
      <c r="E82" s="102" t="s">
        <v>143</v>
      </c>
      <c r="F82" s="6">
        <v>23</v>
      </c>
      <c r="G82" s="103">
        <f t="shared" si="4"/>
        <v>379.5</v>
      </c>
      <c r="H82" s="103" t="s">
        <v>10</v>
      </c>
    </row>
    <row r="83" spans="3:8" ht="14.25" customHeight="1" x14ac:dyDescent="0.25">
      <c r="C83" s="72" t="s">
        <v>158</v>
      </c>
      <c r="D83" s="73" t="s">
        <v>159</v>
      </c>
      <c r="E83" s="74" t="s">
        <v>29</v>
      </c>
      <c r="F83" s="74">
        <v>23</v>
      </c>
      <c r="G83" s="101">
        <f t="shared" si="4"/>
        <v>379.5</v>
      </c>
      <c r="H83" s="101">
        <v>120</v>
      </c>
    </row>
    <row r="84" spans="3:8" ht="14.25" customHeight="1" x14ac:dyDescent="0.25">
      <c r="C84" s="6" t="s">
        <v>346</v>
      </c>
      <c r="D84" s="9" t="s">
        <v>366</v>
      </c>
      <c r="E84" s="102" t="s">
        <v>143</v>
      </c>
      <c r="F84" s="6">
        <v>23</v>
      </c>
      <c r="G84" s="103">
        <f t="shared" si="4"/>
        <v>379.5</v>
      </c>
      <c r="H84" s="104">
        <v>120</v>
      </c>
    </row>
    <row r="85" spans="3:8" ht="14.25" customHeight="1" x14ac:dyDescent="0.25">
      <c r="C85" s="6" t="s">
        <v>160</v>
      </c>
      <c r="D85" s="9" t="s">
        <v>161</v>
      </c>
      <c r="E85" s="6" t="s">
        <v>86</v>
      </c>
      <c r="F85" s="6">
        <v>23</v>
      </c>
      <c r="G85" s="103">
        <f t="shared" si="4"/>
        <v>379.5</v>
      </c>
      <c r="H85" s="103">
        <v>120</v>
      </c>
    </row>
    <row r="86" spans="3:8" ht="14.25" customHeight="1" x14ac:dyDescent="0.25">
      <c r="C86" s="14" t="s">
        <v>164</v>
      </c>
      <c r="D86" s="9" t="s">
        <v>165</v>
      </c>
      <c r="E86" s="6" t="s">
        <v>29</v>
      </c>
      <c r="F86" s="6">
        <v>23</v>
      </c>
      <c r="G86" s="103">
        <f t="shared" si="4"/>
        <v>379.5</v>
      </c>
      <c r="H86" s="103">
        <v>120</v>
      </c>
    </row>
    <row r="87" spans="3:8" ht="14.25" customHeight="1" x14ac:dyDescent="0.25">
      <c r="C87" s="6" t="s">
        <v>290</v>
      </c>
      <c r="D87" s="9" t="s">
        <v>291</v>
      </c>
      <c r="E87" s="6" t="s">
        <v>32</v>
      </c>
      <c r="F87" s="6">
        <v>23</v>
      </c>
      <c r="G87" s="103">
        <f t="shared" si="4"/>
        <v>379.5</v>
      </c>
      <c r="H87" s="103">
        <v>120</v>
      </c>
    </row>
    <row r="88" spans="3:8" ht="14.25" customHeight="1" x14ac:dyDescent="0.25">
      <c r="C88" s="6" t="s">
        <v>221</v>
      </c>
      <c r="D88" s="35" t="s">
        <v>222</v>
      </c>
      <c r="E88" s="6" t="s">
        <v>32</v>
      </c>
      <c r="F88" s="6">
        <v>23</v>
      </c>
      <c r="G88" s="103">
        <f t="shared" si="4"/>
        <v>379.5</v>
      </c>
      <c r="H88" s="103" t="s">
        <v>10</v>
      </c>
    </row>
    <row r="89" spans="3:8" ht="14.25" customHeight="1" x14ac:dyDescent="0.25">
      <c r="C89" s="6" t="s">
        <v>260</v>
      </c>
      <c r="D89" s="9" t="s">
        <v>261</v>
      </c>
      <c r="E89" s="6" t="s">
        <v>23</v>
      </c>
      <c r="F89" s="6">
        <v>23</v>
      </c>
      <c r="G89" s="103">
        <f t="shared" si="4"/>
        <v>379.5</v>
      </c>
      <c r="H89" s="103">
        <v>120</v>
      </c>
    </row>
    <row r="90" spans="3:8" ht="14.25" customHeight="1" x14ac:dyDescent="0.25">
      <c r="C90" s="6" t="s">
        <v>262</v>
      </c>
      <c r="D90" s="9" t="s">
        <v>263</v>
      </c>
      <c r="E90" s="6" t="s">
        <v>23</v>
      </c>
      <c r="F90" s="6">
        <v>23</v>
      </c>
      <c r="G90" s="103">
        <f t="shared" si="4"/>
        <v>379.5</v>
      </c>
      <c r="H90" s="103">
        <v>120</v>
      </c>
    </row>
    <row r="91" spans="3:8" ht="14.25" customHeight="1" x14ac:dyDescent="0.25">
      <c r="C91" s="6" t="s">
        <v>170</v>
      </c>
      <c r="D91" s="9" t="s">
        <v>171</v>
      </c>
      <c r="E91" s="6" t="s">
        <v>52</v>
      </c>
      <c r="F91" s="6">
        <v>23</v>
      </c>
      <c r="G91" s="103">
        <f t="shared" si="4"/>
        <v>379.5</v>
      </c>
      <c r="H91" s="103">
        <v>120</v>
      </c>
    </row>
    <row r="92" spans="3:8" ht="14.25" customHeight="1" x14ac:dyDescent="0.25">
      <c r="C92" s="14" t="s">
        <v>175</v>
      </c>
      <c r="D92" s="9" t="s">
        <v>176</v>
      </c>
      <c r="E92" s="6" t="s">
        <v>86</v>
      </c>
      <c r="F92" s="6">
        <v>22</v>
      </c>
      <c r="G92" s="103">
        <f t="shared" si="4"/>
        <v>363</v>
      </c>
      <c r="H92" s="103">
        <v>120</v>
      </c>
    </row>
    <row r="93" spans="3:8" ht="14.25" customHeight="1" x14ac:dyDescent="0.25">
      <c r="C93" s="14" t="s">
        <v>177</v>
      </c>
      <c r="D93" s="9" t="s">
        <v>178</v>
      </c>
      <c r="E93" s="6" t="s">
        <v>86</v>
      </c>
      <c r="F93" s="6">
        <v>22</v>
      </c>
      <c r="G93" s="103">
        <f t="shared" si="4"/>
        <v>363</v>
      </c>
      <c r="H93" s="103">
        <v>120</v>
      </c>
    </row>
    <row r="94" spans="3:8" ht="14.25" customHeight="1" x14ac:dyDescent="0.25">
      <c r="C94" s="6" t="s">
        <v>181</v>
      </c>
      <c r="D94" s="9" t="s">
        <v>182</v>
      </c>
      <c r="E94" s="6" t="s">
        <v>23</v>
      </c>
      <c r="F94" s="6">
        <v>23</v>
      </c>
      <c r="G94" s="103">
        <f t="shared" si="4"/>
        <v>379.5</v>
      </c>
      <c r="H94" s="103">
        <v>120</v>
      </c>
    </row>
    <row r="95" spans="3:8" ht="14.25" customHeight="1" x14ac:dyDescent="0.25">
      <c r="C95" s="6" t="s">
        <v>183</v>
      </c>
      <c r="D95" s="9" t="s">
        <v>184</v>
      </c>
      <c r="E95" s="6" t="s">
        <v>32</v>
      </c>
      <c r="F95" s="6">
        <v>23</v>
      </c>
      <c r="G95" s="103">
        <f t="shared" si="4"/>
        <v>379.5</v>
      </c>
      <c r="H95" s="103" t="s">
        <v>10</v>
      </c>
    </row>
    <row r="96" spans="3:8" ht="14.25" customHeight="1" x14ac:dyDescent="0.25">
      <c r="C96" s="14" t="s">
        <v>187</v>
      </c>
      <c r="D96" s="9" t="s">
        <v>188</v>
      </c>
      <c r="E96" s="6" t="s">
        <v>29</v>
      </c>
      <c r="F96" s="6">
        <v>23</v>
      </c>
      <c r="G96" s="103">
        <f t="shared" si="4"/>
        <v>379.5</v>
      </c>
      <c r="H96" s="103" t="s">
        <v>10</v>
      </c>
    </row>
    <row r="97" spans="3:8" ht="14.25" customHeight="1" x14ac:dyDescent="0.25">
      <c r="C97" s="14" t="s">
        <v>189</v>
      </c>
      <c r="D97" s="9" t="s">
        <v>190</v>
      </c>
      <c r="E97" s="6" t="s">
        <v>16</v>
      </c>
      <c r="F97" s="6">
        <v>23</v>
      </c>
      <c r="G97" s="103">
        <f t="shared" si="4"/>
        <v>379.5</v>
      </c>
      <c r="H97" s="103">
        <v>120</v>
      </c>
    </row>
    <row r="98" spans="3:8" ht="14.25" customHeight="1" x14ac:dyDescent="0.25">
      <c r="C98" s="6" t="s">
        <v>322</v>
      </c>
      <c r="D98" s="35" t="s">
        <v>337</v>
      </c>
      <c r="E98" s="102" t="s">
        <v>389</v>
      </c>
      <c r="F98" s="6">
        <v>23</v>
      </c>
      <c r="G98" s="103">
        <f t="shared" si="4"/>
        <v>379.5</v>
      </c>
      <c r="H98" s="103" t="s">
        <v>10</v>
      </c>
    </row>
    <row r="99" spans="3:8" ht="14.25" customHeight="1" x14ac:dyDescent="0.25">
      <c r="C99" s="14" t="s">
        <v>191</v>
      </c>
      <c r="D99" s="9" t="s">
        <v>192</v>
      </c>
      <c r="E99" s="102" t="s">
        <v>389</v>
      </c>
      <c r="F99" s="6">
        <v>23</v>
      </c>
      <c r="G99" s="103">
        <f t="shared" si="4"/>
        <v>379.5</v>
      </c>
      <c r="H99" s="103">
        <v>120</v>
      </c>
    </row>
    <row r="100" spans="3:8" ht="14.25" customHeight="1" x14ac:dyDescent="0.25">
      <c r="C100" s="14" t="s">
        <v>193</v>
      </c>
      <c r="D100" s="9" t="s">
        <v>194</v>
      </c>
      <c r="E100" s="6" t="s">
        <v>52</v>
      </c>
      <c r="F100" s="6">
        <v>23</v>
      </c>
      <c r="G100" s="103">
        <f t="shared" si="4"/>
        <v>379.5</v>
      </c>
      <c r="H100" s="103" t="s">
        <v>10</v>
      </c>
    </row>
    <row r="101" spans="3:8" ht="14.25" customHeight="1" x14ac:dyDescent="0.25">
      <c r="C101" s="14" t="s">
        <v>195</v>
      </c>
      <c r="D101" s="9" t="s">
        <v>196</v>
      </c>
      <c r="E101" s="6" t="s">
        <v>86</v>
      </c>
      <c r="F101" s="6">
        <v>23</v>
      </c>
      <c r="G101" s="103">
        <f t="shared" si="4"/>
        <v>379.5</v>
      </c>
      <c r="H101" s="103">
        <v>120</v>
      </c>
    </row>
    <row r="102" spans="3:8" ht="14.25" customHeight="1" x14ac:dyDescent="0.25">
      <c r="C102" s="6" t="s">
        <v>197</v>
      </c>
      <c r="D102" s="9" t="s">
        <v>198</v>
      </c>
      <c r="E102" s="6" t="s">
        <v>52</v>
      </c>
      <c r="F102" s="6">
        <v>23</v>
      </c>
      <c r="G102" s="103">
        <f t="shared" si="4"/>
        <v>379.5</v>
      </c>
      <c r="H102" s="103">
        <v>120</v>
      </c>
    </row>
    <row r="103" spans="3:8" ht="14.25" customHeight="1" x14ac:dyDescent="0.25">
      <c r="C103" s="6" t="s">
        <v>252</v>
      </c>
      <c r="D103" s="9" t="s">
        <v>253</v>
      </c>
      <c r="E103" s="6" t="s">
        <v>103</v>
      </c>
      <c r="F103" s="6">
        <v>23</v>
      </c>
      <c r="G103" s="103">
        <f t="shared" si="4"/>
        <v>379.5</v>
      </c>
      <c r="H103" s="103">
        <v>120</v>
      </c>
    </row>
    <row r="104" spans="3:8" ht="14.25" customHeight="1" x14ac:dyDescent="0.25">
      <c r="C104" s="6" t="s">
        <v>199</v>
      </c>
      <c r="D104" s="9" t="s">
        <v>200</v>
      </c>
      <c r="E104" s="6" t="s">
        <v>86</v>
      </c>
      <c r="F104" s="6">
        <v>23</v>
      </c>
      <c r="G104" s="103">
        <f t="shared" si="4"/>
        <v>379.5</v>
      </c>
      <c r="H104" s="103">
        <v>120</v>
      </c>
    </row>
    <row r="105" spans="3:8" ht="14.25" customHeight="1" x14ac:dyDescent="0.25">
      <c r="C105" s="6" t="s">
        <v>201</v>
      </c>
      <c r="D105" s="9" t="s">
        <v>202</v>
      </c>
      <c r="E105" s="6" t="s">
        <v>86</v>
      </c>
      <c r="F105" s="6">
        <v>23</v>
      </c>
      <c r="G105" s="103">
        <f t="shared" ref="G105:G113" si="5">F105*16.5</f>
        <v>379.5</v>
      </c>
      <c r="H105" s="103" t="s">
        <v>10</v>
      </c>
    </row>
    <row r="106" spans="3:8" ht="14.25" customHeight="1" x14ac:dyDescent="0.25">
      <c r="C106" s="14" t="s">
        <v>203</v>
      </c>
      <c r="D106" s="35" t="s">
        <v>204</v>
      </c>
      <c r="E106" s="6" t="s">
        <v>52</v>
      </c>
      <c r="F106" s="6">
        <v>23</v>
      </c>
      <c r="G106" s="103">
        <f t="shared" si="5"/>
        <v>379.5</v>
      </c>
      <c r="H106" s="103">
        <v>120</v>
      </c>
    </row>
    <row r="107" spans="3:8" ht="14.25" customHeight="1" x14ac:dyDescent="0.25">
      <c r="C107" s="6" t="s">
        <v>205</v>
      </c>
      <c r="D107" s="35" t="s">
        <v>206</v>
      </c>
      <c r="E107" s="6" t="s">
        <v>32</v>
      </c>
      <c r="F107" s="6">
        <v>23</v>
      </c>
      <c r="G107" s="103">
        <f t="shared" si="5"/>
        <v>379.5</v>
      </c>
      <c r="H107" s="103" t="s">
        <v>10</v>
      </c>
    </row>
    <row r="108" spans="3:8" ht="14.25" customHeight="1" x14ac:dyDescent="0.25">
      <c r="C108" s="75" t="s">
        <v>207</v>
      </c>
      <c r="D108" s="100" t="s">
        <v>208</v>
      </c>
      <c r="E108" s="102" t="s">
        <v>390</v>
      </c>
      <c r="F108" s="6">
        <v>23</v>
      </c>
      <c r="G108" s="103">
        <f t="shared" si="5"/>
        <v>379.5</v>
      </c>
      <c r="H108" s="103">
        <v>120</v>
      </c>
    </row>
    <row r="109" spans="3:8" ht="14.25" customHeight="1" x14ac:dyDescent="0.25">
      <c r="C109" s="14" t="s">
        <v>209</v>
      </c>
      <c r="D109" s="35" t="s">
        <v>210</v>
      </c>
      <c r="E109" s="6" t="s">
        <v>23</v>
      </c>
      <c r="F109" s="6">
        <v>23</v>
      </c>
      <c r="G109" s="103">
        <f t="shared" si="5"/>
        <v>379.5</v>
      </c>
      <c r="H109" s="103">
        <v>120</v>
      </c>
    </row>
    <row r="110" spans="3:8" ht="14.25" customHeight="1" x14ac:dyDescent="0.25">
      <c r="C110" s="6" t="s">
        <v>211</v>
      </c>
      <c r="D110" s="35" t="s">
        <v>212</v>
      </c>
      <c r="E110" s="102" t="s">
        <v>86</v>
      </c>
      <c r="F110" s="6">
        <v>23</v>
      </c>
      <c r="G110" s="103">
        <f t="shared" si="5"/>
        <v>379.5</v>
      </c>
      <c r="H110" s="103">
        <v>120</v>
      </c>
    </row>
    <row r="111" spans="3:8" ht="14.25" customHeight="1" x14ac:dyDescent="0.25">
      <c r="C111" s="6" t="s">
        <v>258</v>
      </c>
      <c r="D111" s="35" t="s">
        <v>259</v>
      </c>
      <c r="E111" s="6" t="s">
        <v>23</v>
      </c>
      <c r="F111" s="6">
        <v>23</v>
      </c>
      <c r="G111" s="103">
        <f t="shared" si="5"/>
        <v>379.5</v>
      </c>
      <c r="H111" s="103" t="s">
        <v>10</v>
      </c>
    </row>
    <row r="112" spans="3:8" ht="14.25" customHeight="1" x14ac:dyDescent="0.25">
      <c r="C112" s="14" t="s">
        <v>213</v>
      </c>
      <c r="D112" s="35" t="s">
        <v>214</v>
      </c>
      <c r="E112" s="102" t="s">
        <v>32</v>
      </c>
      <c r="F112" s="6">
        <v>23</v>
      </c>
      <c r="G112" s="103">
        <f t="shared" si="5"/>
        <v>379.5</v>
      </c>
      <c r="H112" s="103">
        <v>120</v>
      </c>
    </row>
    <row r="113" spans="3:8" ht="14.25" customHeight="1" x14ac:dyDescent="0.25">
      <c r="C113" s="6" t="s">
        <v>254</v>
      </c>
      <c r="D113" s="35" t="s">
        <v>255</v>
      </c>
      <c r="E113" s="6" t="s">
        <v>13</v>
      </c>
      <c r="F113" s="6">
        <v>23</v>
      </c>
      <c r="G113" s="103">
        <f t="shared" si="5"/>
        <v>379.5</v>
      </c>
      <c r="H113" s="103" t="s">
        <v>10</v>
      </c>
    </row>
    <row r="114" spans="3:8" ht="14.25" customHeight="1" x14ac:dyDescent="0.25">
      <c r="C114" s="105"/>
      <c r="D114" s="106"/>
      <c r="E114" s="106"/>
      <c r="F114" s="107" t="s">
        <v>217</v>
      </c>
      <c r="G114" s="108">
        <f>SUM(G4:G113)</f>
        <v>40629</v>
      </c>
      <c r="H114" s="108">
        <f>SUM(H6:H113)</f>
        <v>9918.25</v>
      </c>
    </row>
    <row r="115" spans="3:8" ht="14.25" customHeight="1" x14ac:dyDescent="0.25">
      <c r="C115" s="30"/>
      <c r="G115" s="57"/>
      <c r="H115" s="57"/>
    </row>
    <row r="116" spans="3:8" ht="14.25" customHeight="1" x14ac:dyDescent="0.25">
      <c r="C116" s="30"/>
      <c r="G116" s="57"/>
      <c r="H116" s="57"/>
    </row>
    <row r="117" spans="3:8" ht="14.25" customHeight="1" x14ac:dyDescent="0.25">
      <c r="C117" s="30"/>
      <c r="G117" s="57"/>
      <c r="H117" s="57"/>
    </row>
    <row r="118" spans="3:8" ht="14.25" customHeight="1" x14ac:dyDescent="0.25">
      <c r="C118" s="30"/>
      <c r="G118" s="57"/>
      <c r="H118" s="57"/>
    </row>
    <row r="119" spans="3:8" ht="14.25" customHeight="1" x14ac:dyDescent="0.25">
      <c r="C119" s="30"/>
      <c r="G119" s="57"/>
      <c r="H119" s="57"/>
    </row>
    <row r="120" spans="3:8" ht="14.25" customHeight="1" x14ac:dyDescent="0.25">
      <c r="C120" s="30"/>
      <c r="G120" s="57"/>
      <c r="H120" s="57"/>
    </row>
    <row r="121" spans="3:8" ht="14.25" customHeight="1" x14ac:dyDescent="0.25">
      <c r="C121" s="30"/>
      <c r="G121" s="57"/>
      <c r="H121" s="57"/>
    </row>
    <row r="122" spans="3:8" ht="14.25" customHeight="1" x14ac:dyDescent="0.25">
      <c r="C122" s="30"/>
      <c r="G122" s="57"/>
      <c r="H122" s="57"/>
    </row>
    <row r="123" spans="3:8" ht="14.25" customHeight="1" x14ac:dyDescent="0.25">
      <c r="C123" s="30"/>
      <c r="G123" s="57"/>
      <c r="H123" s="57"/>
    </row>
    <row r="124" spans="3:8" ht="14.25" customHeight="1" x14ac:dyDescent="0.25">
      <c r="C124" s="30"/>
      <c r="G124" s="57"/>
      <c r="H124" s="57"/>
    </row>
    <row r="125" spans="3:8" ht="14.25" customHeight="1" x14ac:dyDescent="0.25">
      <c r="C125" s="30"/>
      <c r="G125" s="57"/>
      <c r="H125" s="57"/>
    </row>
    <row r="126" spans="3:8" ht="14.25" customHeight="1" x14ac:dyDescent="0.25">
      <c r="C126" s="30"/>
      <c r="G126" s="57"/>
      <c r="H126" s="57"/>
    </row>
    <row r="127" spans="3:8" ht="14.25" customHeight="1" x14ac:dyDescent="0.25">
      <c r="C127" s="30"/>
      <c r="G127" s="57"/>
      <c r="H127" s="57"/>
    </row>
    <row r="128" spans="3:8" ht="14.25" customHeight="1" x14ac:dyDescent="0.25">
      <c r="C128" s="30"/>
      <c r="G128" s="57"/>
      <c r="H128" s="57"/>
    </row>
    <row r="129" spans="3:8" ht="14.25" customHeight="1" x14ac:dyDescent="0.25">
      <c r="C129" s="30"/>
      <c r="G129" s="57"/>
      <c r="H129" s="57"/>
    </row>
    <row r="130" spans="3:8" ht="14.25" customHeight="1" x14ac:dyDescent="0.25">
      <c r="C130" s="30"/>
      <c r="G130" s="57"/>
      <c r="H130" s="57"/>
    </row>
    <row r="131" spans="3:8" ht="14.25" customHeight="1" x14ac:dyDescent="0.25">
      <c r="C131" s="30"/>
      <c r="G131" s="57"/>
      <c r="H131" s="57"/>
    </row>
    <row r="132" spans="3:8" ht="14.25" customHeight="1" x14ac:dyDescent="0.25">
      <c r="C132" s="30"/>
      <c r="G132" s="57"/>
      <c r="H132" s="57"/>
    </row>
    <row r="133" spans="3:8" ht="14.25" customHeight="1" x14ac:dyDescent="0.25">
      <c r="C133" s="30"/>
      <c r="G133" s="57"/>
      <c r="H133" s="57"/>
    </row>
    <row r="134" spans="3:8" ht="14.25" customHeight="1" x14ac:dyDescent="0.25">
      <c r="C134" s="30"/>
      <c r="G134" s="57"/>
      <c r="H134" s="57"/>
    </row>
    <row r="135" spans="3:8" ht="14.25" customHeight="1" x14ac:dyDescent="0.25">
      <c r="C135" s="30"/>
      <c r="G135" s="57"/>
      <c r="H135" s="57"/>
    </row>
    <row r="136" spans="3:8" ht="14.25" customHeight="1" x14ac:dyDescent="0.25">
      <c r="C136" s="30"/>
      <c r="G136" s="57"/>
      <c r="H136" s="57"/>
    </row>
    <row r="137" spans="3:8" ht="14.25" customHeight="1" x14ac:dyDescent="0.25">
      <c r="C137" s="30"/>
      <c r="G137" s="57"/>
      <c r="H137" s="57"/>
    </row>
    <row r="138" spans="3:8" ht="14.25" customHeight="1" x14ac:dyDescent="0.25">
      <c r="C138" s="30"/>
      <c r="G138" s="57"/>
      <c r="H138" s="57"/>
    </row>
    <row r="139" spans="3:8" ht="14.25" customHeight="1" x14ac:dyDescent="0.25">
      <c r="C139" s="30"/>
      <c r="G139" s="57"/>
      <c r="H139" s="57"/>
    </row>
    <row r="140" spans="3:8" ht="14.25" customHeight="1" x14ac:dyDescent="0.25">
      <c r="C140" s="30"/>
      <c r="G140" s="57"/>
      <c r="H140" s="57"/>
    </row>
    <row r="141" spans="3:8" ht="14.25" customHeight="1" x14ac:dyDescent="0.25">
      <c r="C141" s="30"/>
      <c r="G141" s="57"/>
      <c r="H141" s="57"/>
    </row>
    <row r="142" spans="3:8" ht="14.25" customHeight="1" x14ac:dyDescent="0.25">
      <c r="C142" s="30"/>
      <c r="G142" s="57"/>
      <c r="H142" s="57"/>
    </row>
    <row r="143" spans="3:8" ht="14.25" customHeight="1" x14ac:dyDescent="0.25">
      <c r="C143" s="30"/>
      <c r="G143" s="57"/>
      <c r="H143" s="57"/>
    </row>
    <row r="144" spans="3:8" ht="14.25" customHeight="1" x14ac:dyDescent="0.25">
      <c r="C144" s="30"/>
      <c r="G144" s="57"/>
      <c r="H144" s="57"/>
    </row>
    <row r="145" spans="3:8" ht="14.25" customHeight="1" x14ac:dyDescent="0.25">
      <c r="C145" s="30"/>
      <c r="G145" s="57"/>
      <c r="H145" s="57"/>
    </row>
    <row r="146" spans="3:8" ht="14.25" customHeight="1" x14ac:dyDescent="0.25">
      <c r="C146" s="30"/>
      <c r="G146" s="57"/>
      <c r="H146" s="57"/>
    </row>
    <row r="147" spans="3:8" ht="14.25" customHeight="1" x14ac:dyDescent="0.25">
      <c r="C147" s="30"/>
      <c r="G147" s="57"/>
      <c r="H147" s="57"/>
    </row>
    <row r="148" spans="3:8" ht="14.25" customHeight="1" x14ac:dyDescent="0.25">
      <c r="C148" s="30"/>
      <c r="G148" s="57"/>
      <c r="H148" s="57"/>
    </row>
    <row r="149" spans="3:8" ht="14.25" customHeight="1" x14ac:dyDescent="0.25">
      <c r="C149" s="30"/>
      <c r="G149" s="57"/>
      <c r="H149" s="57"/>
    </row>
    <row r="150" spans="3:8" ht="14.25" customHeight="1" x14ac:dyDescent="0.25">
      <c r="C150" s="30"/>
      <c r="G150" s="57"/>
      <c r="H150" s="57"/>
    </row>
    <row r="151" spans="3:8" ht="14.25" customHeight="1" x14ac:dyDescent="0.25">
      <c r="C151" s="30"/>
      <c r="G151" s="57"/>
      <c r="H151" s="57"/>
    </row>
    <row r="152" spans="3:8" ht="14.25" customHeight="1" x14ac:dyDescent="0.25">
      <c r="C152" s="30"/>
      <c r="G152" s="57"/>
      <c r="H152" s="57"/>
    </row>
    <row r="153" spans="3:8" ht="14.25" customHeight="1" x14ac:dyDescent="0.25">
      <c r="C153" s="30"/>
      <c r="G153" s="57"/>
      <c r="H153" s="57"/>
    </row>
    <row r="154" spans="3:8" ht="14.25" customHeight="1" x14ac:dyDescent="0.25">
      <c r="C154" s="30"/>
      <c r="G154" s="57"/>
      <c r="H154" s="57"/>
    </row>
    <row r="155" spans="3:8" ht="14.25" customHeight="1" x14ac:dyDescent="0.25">
      <c r="C155" s="30"/>
      <c r="G155" s="57"/>
      <c r="H155" s="57"/>
    </row>
    <row r="156" spans="3:8" ht="14.25" customHeight="1" x14ac:dyDescent="0.25">
      <c r="C156" s="30"/>
      <c r="G156" s="57"/>
      <c r="H156" s="57"/>
    </row>
    <row r="157" spans="3:8" ht="14.25" customHeight="1" x14ac:dyDescent="0.25">
      <c r="C157" s="30"/>
      <c r="G157" s="57"/>
      <c r="H157" s="57"/>
    </row>
    <row r="158" spans="3:8" ht="14.25" customHeight="1" x14ac:dyDescent="0.25">
      <c r="C158" s="30"/>
      <c r="G158" s="57"/>
      <c r="H158" s="57"/>
    </row>
    <row r="159" spans="3:8" ht="14.25" customHeight="1" x14ac:dyDescent="0.25">
      <c r="C159" s="30"/>
      <c r="G159" s="57"/>
      <c r="H159" s="57"/>
    </row>
    <row r="160" spans="3:8" ht="14.25" customHeight="1" x14ac:dyDescent="0.25">
      <c r="C160" s="30"/>
      <c r="G160" s="57"/>
      <c r="H160" s="57"/>
    </row>
    <row r="161" spans="3:8" ht="14.25" customHeight="1" x14ac:dyDescent="0.25">
      <c r="C161" s="30"/>
      <c r="G161" s="57"/>
      <c r="H161" s="57"/>
    </row>
    <row r="162" spans="3:8" ht="14.25" customHeight="1" x14ac:dyDescent="0.25">
      <c r="C162" s="30"/>
      <c r="G162" s="57"/>
      <c r="H162" s="57"/>
    </row>
    <row r="163" spans="3:8" ht="14.25" customHeight="1" x14ac:dyDescent="0.25">
      <c r="C163" s="30"/>
      <c r="G163" s="57"/>
      <c r="H163" s="57"/>
    </row>
    <row r="164" spans="3:8" ht="14.25" customHeight="1" x14ac:dyDescent="0.25">
      <c r="C164" s="30"/>
      <c r="G164" s="57"/>
      <c r="H164" s="57"/>
    </row>
    <row r="165" spans="3:8" ht="14.25" customHeight="1" x14ac:dyDescent="0.25">
      <c r="C165" s="30"/>
      <c r="G165" s="57"/>
      <c r="H165" s="57"/>
    </row>
    <row r="166" spans="3:8" ht="14.25" customHeight="1" x14ac:dyDescent="0.25">
      <c r="C166" s="30"/>
      <c r="G166" s="57"/>
      <c r="H166" s="57"/>
    </row>
    <row r="167" spans="3:8" ht="14.25" customHeight="1" x14ac:dyDescent="0.25">
      <c r="C167" s="30"/>
      <c r="G167" s="57"/>
      <c r="H167" s="57"/>
    </row>
    <row r="168" spans="3:8" ht="14.25" customHeight="1" x14ac:dyDescent="0.25">
      <c r="C168" s="30"/>
      <c r="G168" s="57"/>
      <c r="H168" s="57"/>
    </row>
    <row r="169" spans="3:8" ht="14.25" customHeight="1" x14ac:dyDescent="0.25">
      <c r="C169" s="30"/>
      <c r="G169" s="57"/>
      <c r="H169" s="57"/>
    </row>
    <row r="170" spans="3:8" ht="14.25" customHeight="1" x14ac:dyDescent="0.25">
      <c r="C170" s="30"/>
      <c r="G170" s="57"/>
      <c r="H170" s="57"/>
    </row>
    <row r="171" spans="3:8" ht="14.25" customHeight="1" x14ac:dyDescent="0.25">
      <c r="C171" s="30"/>
      <c r="G171" s="57"/>
      <c r="H171" s="57"/>
    </row>
    <row r="172" spans="3:8" ht="14.25" customHeight="1" x14ac:dyDescent="0.25">
      <c r="C172" s="30"/>
      <c r="G172" s="57"/>
      <c r="H172" s="57"/>
    </row>
    <row r="173" spans="3:8" ht="14.25" customHeight="1" x14ac:dyDescent="0.25">
      <c r="C173" s="30"/>
      <c r="G173" s="57"/>
      <c r="H173" s="57"/>
    </row>
    <row r="174" spans="3:8" ht="14.25" customHeight="1" x14ac:dyDescent="0.25">
      <c r="C174" s="30"/>
      <c r="G174" s="57"/>
      <c r="H174" s="57"/>
    </row>
    <row r="175" spans="3:8" ht="14.25" customHeight="1" x14ac:dyDescent="0.25">
      <c r="C175" s="30"/>
      <c r="G175" s="57"/>
      <c r="H175" s="57"/>
    </row>
    <row r="176" spans="3:8" ht="14.25" customHeight="1" x14ac:dyDescent="0.25">
      <c r="C176" s="30"/>
      <c r="G176" s="57"/>
      <c r="H176" s="57"/>
    </row>
    <row r="177" spans="3:8" ht="14.25" customHeight="1" x14ac:dyDescent="0.25">
      <c r="C177" s="30"/>
      <c r="G177" s="57"/>
      <c r="H177" s="57"/>
    </row>
    <row r="178" spans="3:8" ht="14.25" customHeight="1" x14ac:dyDescent="0.25">
      <c r="C178" s="30"/>
      <c r="G178" s="57"/>
      <c r="H178" s="57"/>
    </row>
    <row r="179" spans="3:8" ht="14.25" customHeight="1" x14ac:dyDescent="0.25">
      <c r="C179" s="30"/>
      <c r="G179" s="57"/>
      <c r="H179" s="57"/>
    </row>
    <row r="180" spans="3:8" ht="14.25" customHeight="1" x14ac:dyDescent="0.25">
      <c r="C180" s="30"/>
      <c r="G180" s="57"/>
      <c r="H180" s="57"/>
    </row>
    <row r="181" spans="3:8" ht="14.25" customHeight="1" x14ac:dyDescent="0.25">
      <c r="C181" s="30"/>
      <c r="G181" s="57"/>
      <c r="H181" s="57"/>
    </row>
    <row r="182" spans="3:8" ht="14.25" customHeight="1" x14ac:dyDescent="0.25">
      <c r="C182" s="30"/>
      <c r="G182" s="57"/>
      <c r="H182" s="57"/>
    </row>
    <row r="183" spans="3:8" ht="14.25" customHeight="1" x14ac:dyDescent="0.25">
      <c r="C183" s="30"/>
      <c r="G183" s="57"/>
      <c r="H183" s="57"/>
    </row>
    <row r="184" spans="3:8" ht="14.25" customHeight="1" x14ac:dyDescent="0.25">
      <c r="C184" s="30"/>
      <c r="G184" s="57"/>
      <c r="H184" s="57"/>
    </row>
    <row r="185" spans="3:8" ht="14.25" customHeight="1" x14ac:dyDescent="0.25">
      <c r="C185" s="30"/>
      <c r="G185" s="57"/>
      <c r="H185" s="57"/>
    </row>
    <row r="186" spans="3:8" ht="14.25" customHeight="1" x14ac:dyDescent="0.25">
      <c r="C186" s="30"/>
      <c r="G186" s="57"/>
      <c r="H186" s="57"/>
    </row>
    <row r="187" spans="3:8" ht="14.25" customHeight="1" x14ac:dyDescent="0.25">
      <c r="C187" s="30"/>
      <c r="G187" s="57"/>
      <c r="H187" s="57"/>
    </row>
    <row r="188" spans="3:8" ht="14.25" customHeight="1" x14ac:dyDescent="0.25">
      <c r="C188" s="30"/>
      <c r="G188" s="57"/>
      <c r="H188" s="57"/>
    </row>
    <row r="189" spans="3:8" ht="14.25" customHeight="1" x14ac:dyDescent="0.25">
      <c r="C189" s="30"/>
      <c r="G189" s="57"/>
      <c r="H189" s="57"/>
    </row>
    <row r="190" spans="3:8" ht="14.25" customHeight="1" x14ac:dyDescent="0.25">
      <c r="C190" s="30"/>
      <c r="G190" s="57"/>
      <c r="H190" s="57"/>
    </row>
    <row r="191" spans="3:8" ht="14.25" customHeight="1" x14ac:dyDescent="0.25">
      <c r="C191" s="30"/>
      <c r="G191" s="57"/>
      <c r="H191" s="57"/>
    </row>
    <row r="192" spans="3:8" ht="14.25" customHeight="1" x14ac:dyDescent="0.25">
      <c r="C192" s="30"/>
      <c r="G192" s="57"/>
      <c r="H192" s="57"/>
    </row>
    <row r="193" spans="3:8" ht="14.25" customHeight="1" x14ac:dyDescent="0.25">
      <c r="C193" s="30"/>
      <c r="G193" s="57"/>
      <c r="H193" s="57"/>
    </row>
    <row r="194" spans="3:8" ht="14.25" customHeight="1" x14ac:dyDescent="0.25">
      <c r="C194" s="30"/>
      <c r="G194" s="57"/>
      <c r="H194" s="57"/>
    </row>
    <row r="195" spans="3:8" ht="14.25" customHeight="1" x14ac:dyDescent="0.25">
      <c r="C195" s="30"/>
      <c r="G195" s="57"/>
      <c r="H195" s="57"/>
    </row>
    <row r="196" spans="3:8" ht="14.25" customHeight="1" x14ac:dyDescent="0.25">
      <c r="C196" s="30"/>
      <c r="G196" s="57"/>
      <c r="H196" s="57"/>
    </row>
    <row r="197" spans="3:8" ht="14.25" customHeight="1" x14ac:dyDescent="0.25">
      <c r="C197" s="30"/>
      <c r="G197" s="57"/>
      <c r="H197" s="57"/>
    </row>
    <row r="198" spans="3:8" ht="14.25" customHeight="1" x14ac:dyDescent="0.25">
      <c r="C198" s="30"/>
      <c r="G198" s="57"/>
      <c r="H198" s="57"/>
    </row>
    <row r="199" spans="3:8" ht="14.25" customHeight="1" x14ac:dyDescent="0.25">
      <c r="C199" s="30"/>
      <c r="G199" s="57"/>
      <c r="H199" s="57"/>
    </row>
    <row r="200" spans="3:8" ht="14.25" customHeight="1" x14ac:dyDescent="0.25">
      <c r="C200" s="30"/>
      <c r="G200" s="57"/>
      <c r="H200" s="57"/>
    </row>
    <row r="201" spans="3:8" ht="14.25" customHeight="1" x14ac:dyDescent="0.25">
      <c r="C201" s="30"/>
      <c r="G201" s="57"/>
      <c r="H201" s="57"/>
    </row>
    <row r="202" spans="3:8" ht="14.25" customHeight="1" x14ac:dyDescent="0.25">
      <c r="C202" s="30"/>
      <c r="G202" s="57"/>
      <c r="H202" s="57"/>
    </row>
    <row r="203" spans="3:8" ht="14.25" customHeight="1" x14ac:dyDescent="0.25">
      <c r="C203" s="30"/>
      <c r="G203" s="57"/>
      <c r="H203" s="57"/>
    </row>
    <row r="204" spans="3:8" ht="14.25" customHeight="1" x14ac:dyDescent="0.25">
      <c r="C204" s="30"/>
      <c r="G204" s="57"/>
      <c r="H204" s="57"/>
    </row>
    <row r="205" spans="3:8" ht="14.25" customHeight="1" x14ac:dyDescent="0.25">
      <c r="C205" s="30"/>
      <c r="G205" s="57"/>
      <c r="H205" s="57"/>
    </row>
    <row r="206" spans="3:8" ht="14.25" customHeight="1" x14ac:dyDescent="0.25">
      <c r="C206" s="30"/>
      <c r="G206" s="57"/>
      <c r="H206" s="57"/>
    </row>
    <row r="207" spans="3:8" ht="14.25" customHeight="1" x14ac:dyDescent="0.25">
      <c r="C207" s="30"/>
      <c r="G207" s="57"/>
      <c r="H207" s="57"/>
    </row>
    <row r="208" spans="3:8" ht="14.25" customHeight="1" x14ac:dyDescent="0.25">
      <c r="C208" s="30"/>
      <c r="G208" s="57"/>
      <c r="H208" s="57"/>
    </row>
    <row r="209" spans="3:8" ht="14.25" customHeight="1" x14ac:dyDescent="0.25">
      <c r="C209" s="30"/>
      <c r="G209" s="57"/>
      <c r="H209" s="57"/>
    </row>
    <row r="210" spans="3:8" ht="14.25" customHeight="1" x14ac:dyDescent="0.25">
      <c r="C210" s="30"/>
      <c r="G210" s="57"/>
      <c r="H210" s="57"/>
    </row>
    <row r="211" spans="3:8" ht="14.25" customHeight="1" x14ac:dyDescent="0.25">
      <c r="C211" s="30"/>
      <c r="G211" s="57"/>
      <c r="H211" s="57"/>
    </row>
    <row r="212" spans="3:8" ht="14.25" customHeight="1" x14ac:dyDescent="0.25">
      <c r="C212" s="30"/>
      <c r="G212" s="57"/>
      <c r="H212" s="57"/>
    </row>
    <row r="213" spans="3:8" ht="14.25" customHeight="1" x14ac:dyDescent="0.25">
      <c r="C213" s="30"/>
      <c r="G213" s="57"/>
      <c r="H213" s="57"/>
    </row>
    <row r="214" spans="3:8" ht="14.25" customHeight="1" x14ac:dyDescent="0.25">
      <c r="C214" s="30"/>
      <c r="G214" s="57"/>
      <c r="H214" s="57"/>
    </row>
    <row r="215" spans="3:8" ht="14.25" customHeight="1" x14ac:dyDescent="0.25">
      <c r="C215" s="30"/>
      <c r="G215" s="57"/>
      <c r="H215" s="57"/>
    </row>
    <row r="216" spans="3:8" ht="14.25" customHeight="1" x14ac:dyDescent="0.25">
      <c r="C216" s="30"/>
      <c r="G216" s="57"/>
      <c r="H216" s="57"/>
    </row>
    <row r="217" spans="3:8" ht="14.25" customHeight="1" x14ac:dyDescent="0.25">
      <c r="C217" s="30"/>
      <c r="G217" s="57"/>
      <c r="H217" s="57"/>
    </row>
    <row r="218" spans="3:8" ht="14.25" customHeight="1" x14ac:dyDescent="0.25">
      <c r="C218" s="30"/>
      <c r="G218" s="57"/>
      <c r="H218" s="57"/>
    </row>
    <row r="219" spans="3:8" ht="14.25" customHeight="1" x14ac:dyDescent="0.25">
      <c r="C219" s="30"/>
      <c r="G219" s="57"/>
      <c r="H219" s="57"/>
    </row>
    <row r="220" spans="3:8" ht="14.25" customHeight="1" x14ac:dyDescent="0.25">
      <c r="C220" s="30"/>
      <c r="G220" s="57"/>
      <c r="H220" s="57"/>
    </row>
    <row r="221" spans="3:8" ht="14.25" customHeight="1" x14ac:dyDescent="0.25">
      <c r="C221" s="30"/>
      <c r="G221" s="57"/>
      <c r="H221" s="57"/>
    </row>
    <row r="222" spans="3:8" ht="14.25" customHeight="1" x14ac:dyDescent="0.25">
      <c r="C222" s="30"/>
      <c r="G222" s="57"/>
      <c r="H222" s="57"/>
    </row>
    <row r="223" spans="3:8" ht="14.25" customHeight="1" x14ac:dyDescent="0.25">
      <c r="C223" s="30"/>
      <c r="G223" s="57"/>
      <c r="H223" s="57"/>
    </row>
    <row r="224" spans="3:8" ht="14.25" customHeight="1" x14ac:dyDescent="0.25">
      <c r="C224" s="30"/>
      <c r="G224" s="57"/>
      <c r="H224" s="57"/>
    </row>
    <row r="225" spans="3:8" ht="14.25" customHeight="1" x14ac:dyDescent="0.25">
      <c r="C225" s="30"/>
      <c r="G225" s="57"/>
      <c r="H225" s="57"/>
    </row>
    <row r="226" spans="3:8" ht="14.25" customHeight="1" x14ac:dyDescent="0.25">
      <c r="C226" s="30"/>
      <c r="G226" s="57"/>
      <c r="H226" s="57"/>
    </row>
    <row r="227" spans="3:8" ht="14.25" customHeight="1" x14ac:dyDescent="0.25">
      <c r="C227" s="30"/>
      <c r="G227" s="57"/>
      <c r="H227" s="57"/>
    </row>
    <row r="228" spans="3:8" ht="14.25" customHeight="1" x14ac:dyDescent="0.25">
      <c r="C228" s="30"/>
      <c r="G228" s="57"/>
      <c r="H228" s="57"/>
    </row>
    <row r="229" spans="3:8" ht="14.25" customHeight="1" x14ac:dyDescent="0.25">
      <c r="C229" s="30"/>
      <c r="G229" s="57"/>
      <c r="H229" s="57"/>
    </row>
    <row r="230" spans="3:8" ht="14.25" customHeight="1" x14ac:dyDescent="0.25">
      <c r="C230" s="30"/>
      <c r="G230" s="57"/>
      <c r="H230" s="57"/>
    </row>
    <row r="231" spans="3:8" ht="14.25" customHeight="1" x14ac:dyDescent="0.25">
      <c r="C231" s="30"/>
      <c r="G231" s="57"/>
      <c r="H231" s="57"/>
    </row>
    <row r="232" spans="3:8" ht="14.25" customHeight="1" x14ac:dyDescent="0.25">
      <c r="C232" s="30"/>
      <c r="G232" s="57"/>
      <c r="H232" s="57"/>
    </row>
    <row r="233" spans="3:8" ht="14.25" customHeight="1" x14ac:dyDescent="0.25">
      <c r="C233" s="30"/>
      <c r="G233" s="57"/>
      <c r="H233" s="57"/>
    </row>
    <row r="234" spans="3:8" ht="14.25" customHeight="1" x14ac:dyDescent="0.25">
      <c r="C234" s="30"/>
      <c r="G234" s="57"/>
      <c r="H234" s="57"/>
    </row>
    <row r="235" spans="3:8" ht="14.25" customHeight="1" x14ac:dyDescent="0.25">
      <c r="C235" s="30"/>
      <c r="G235" s="57"/>
      <c r="H235" s="57"/>
    </row>
    <row r="236" spans="3:8" ht="14.25" customHeight="1" x14ac:dyDescent="0.25">
      <c r="C236" s="30"/>
      <c r="G236" s="57"/>
      <c r="H236" s="57"/>
    </row>
    <row r="237" spans="3:8" ht="14.25" customHeight="1" x14ac:dyDescent="0.25">
      <c r="C237" s="30"/>
      <c r="G237" s="57"/>
      <c r="H237" s="57"/>
    </row>
    <row r="238" spans="3:8" ht="14.25" customHeight="1" x14ac:dyDescent="0.25">
      <c r="C238" s="30"/>
      <c r="G238" s="57"/>
      <c r="H238" s="57"/>
    </row>
    <row r="239" spans="3:8" ht="14.25" customHeight="1" x14ac:dyDescent="0.25">
      <c r="C239" s="30"/>
      <c r="G239" s="57"/>
      <c r="H239" s="57"/>
    </row>
    <row r="240" spans="3:8" ht="14.25" customHeight="1" x14ac:dyDescent="0.25">
      <c r="C240" s="30"/>
      <c r="G240" s="57"/>
      <c r="H240" s="57"/>
    </row>
    <row r="241" spans="3:8" ht="14.25" customHeight="1" x14ac:dyDescent="0.25">
      <c r="C241" s="30"/>
      <c r="G241" s="57"/>
      <c r="H241" s="57"/>
    </row>
    <row r="242" spans="3:8" ht="14.25" customHeight="1" x14ac:dyDescent="0.25">
      <c r="C242" s="30"/>
      <c r="G242" s="57"/>
      <c r="H242" s="57"/>
    </row>
    <row r="243" spans="3:8" ht="14.25" customHeight="1" x14ac:dyDescent="0.25">
      <c r="C243" s="30"/>
      <c r="G243" s="57"/>
      <c r="H243" s="57"/>
    </row>
    <row r="244" spans="3:8" ht="14.25" customHeight="1" x14ac:dyDescent="0.25">
      <c r="C244" s="30"/>
      <c r="G244" s="57"/>
      <c r="H244" s="57"/>
    </row>
    <row r="245" spans="3:8" ht="14.25" customHeight="1" x14ac:dyDescent="0.25">
      <c r="C245" s="30"/>
      <c r="G245" s="57"/>
      <c r="H245" s="57"/>
    </row>
    <row r="246" spans="3:8" ht="14.25" customHeight="1" x14ac:dyDescent="0.25">
      <c r="C246" s="30"/>
      <c r="G246" s="57"/>
      <c r="H246" s="57"/>
    </row>
    <row r="247" spans="3:8" ht="14.25" customHeight="1" x14ac:dyDescent="0.25">
      <c r="C247" s="30"/>
      <c r="G247" s="57"/>
      <c r="H247" s="57"/>
    </row>
    <row r="248" spans="3:8" ht="14.25" customHeight="1" x14ac:dyDescent="0.25">
      <c r="C248" s="30"/>
      <c r="G248" s="57"/>
      <c r="H248" s="57"/>
    </row>
    <row r="249" spans="3:8" ht="14.25" customHeight="1" x14ac:dyDescent="0.25">
      <c r="C249" s="30"/>
      <c r="G249" s="57"/>
      <c r="H249" s="57"/>
    </row>
    <row r="250" spans="3:8" ht="14.25" customHeight="1" x14ac:dyDescent="0.25">
      <c r="C250" s="30"/>
      <c r="G250" s="57"/>
      <c r="H250" s="57"/>
    </row>
    <row r="251" spans="3:8" ht="14.25" customHeight="1" x14ac:dyDescent="0.25">
      <c r="C251" s="30"/>
      <c r="G251" s="57"/>
      <c r="H251" s="57"/>
    </row>
    <row r="252" spans="3:8" ht="14.25" customHeight="1" x14ac:dyDescent="0.25">
      <c r="C252" s="30"/>
      <c r="G252" s="57"/>
      <c r="H252" s="57"/>
    </row>
    <row r="253" spans="3:8" ht="14.25" customHeight="1" x14ac:dyDescent="0.25">
      <c r="C253" s="30"/>
      <c r="G253" s="57"/>
      <c r="H253" s="57"/>
    </row>
    <row r="254" spans="3:8" ht="14.25" customHeight="1" x14ac:dyDescent="0.25">
      <c r="C254" s="30"/>
      <c r="G254" s="57"/>
      <c r="H254" s="57"/>
    </row>
    <row r="255" spans="3:8" ht="14.25" customHeight="1" x14ac:dyDescent="0.25">
      <c r="C255" s="30"/>
      <c r="G255" s="57"/>
      <c r="H255" s="57"/>
    </row>
    <row r="256" spans="3:8" ht="14.25" customHeight="1" x14ac:dyDescent="0.25">
      <c r="C256" s="30"/>
      <c r="G256" s="57"/>
      <c r="H256" s="57"/>
    </row>
    <row r="257" spans="3:8" ht="14.25" customHeight="1" x14ac:dyDescent="0.25">
      <c r="C257" s="30"/>
      <c r="G257" s="57"/>
      <c r="H257" s="57"/>
    </row>
    <row r="258" spans="3:8" ht="14.25" customHeight="1" x14ac:dyDescent="0.25">
      <c r="C258" s="30"/>
      <c r="G258" s="57"/>
      <c r="H258" s="57"/>
    </row>
    <row r="259" spans="3:8" ht="14.25" customHeight="1" x14ac:dyDescent="0.25">
      <c r="C259" s="30"/>
      <c r="G259" s="57"/>
      <c r="H259" s="57"/>
    </row>
    <row r="260" spans="3:8" ht="14.25" customHeight="1" x14ac:dyDescent="0.25">
      <c r="C260" s="30"/>
      <c r="G260" s="57"/>
      <c r="H260" s="57"/>
    </row>
    <row r="261" spans="3:8" ht="14.25" customHeight="1" x14ac:dyDescent="0.25">
      <c r="C261" s="30"/>
      <c r="G261" s="57"/>
      <c r="H261" s="57"/>
    </row>
    <row r="262" spans="3:8" ht="14.25" customHeight="1" x14ac:dyDescent="0.25">
      <c r="C262" s="30"/>
      <c r="G262" s="57"/>
      <c r="H262" s="57"/>
    </row>
    <row r="263" spans="3:8" ht="14.25" customHeight="1" x14ac:dyDescent="0.25">
      <c r="C263" s="30"/>
      <c r="G263" s="57"/>
      <c r="H263" s="57"/>
    </row>
    <row r="264" spans="3:8" ht="14.25" customHeight="1" x14ac:dyDescent="0.25">
      <c r="C264" s="30"/>
      <c r="G264" s="57"/>
      <c r="H264" s="57"/>
    </row>
    <row r="265" spans="3:8" ht="14.25" customHeight="1" x14ac:dyDescent="0.25">
      <c r="C265" s="30"/>
      <c r="G265" s="57"/>
      <c r="H265" s="57"/>
    </row>
    <row r="266" spans="3:8" ht="14.25" customHeight="1" x14ac:dyDescent="0.25">
      <c r="C266" s="30"/>
      <c r="G266" s="57"/>
      <c r="H266" s="57"/>
    </row>
    <row r="267" spans="3:8" ht="14.25" customHeight="1" x14ac:dyDescent="0.25">
      <c r="C267" s="30"/>
      <c r="G267" s="57"/>
      <c r="H267" s="57"/>
    </row>
    <row r="268" spans="3:8" ht="14.25" customHeight="1" x14ac:dyDescent="0.25">
      <c r="C268" s="30"/>
      <c r="G268" s="57"/>
      <c r="H268" s="57"/>
    </row>
    <row r="269" spans="3:8" ht="14.25" customHeight="1" x14ac:dyDescent="0.25">
      <c r="C269" s="30"/>
      <c r="G269" s="57"/>
      <c r="H269" s="57"/>
    </row>
    <row r="270" spans="3:8" ht="14.25" customHeight="1" x14ac:dyDescent="0.25">
      <c r="C270" s="30"/>
      <c r="G270" s="57"/>
      <c r="H270" s="57"/>
    </row>
    <row r="271" spans="3:8" ht="14.25" customHeight="1" x14ac:dyDescent="0.25">
      <c r="C271" s="30"/>
      <c r="G271" s="57"/>
      <c r="H271" s="57"/>
    </row>
    <row r="272" spans="3:8" ht="14.25" customHeight="1" x14ac:dyDescent="0.25">
      <c r="C272" s="30"/>
      <c r="G272" s="57"/>
      <c r="H272" s="57"/>
    </row>
    <row r="273" spans="3:8" ht="14.25" customHeight="1" x14ac:dyDescent="0.25">
      <c r="C273" s="30"/>
      <c r="G273" s="57"/>
      <c r="H273" s="57"/>
    </row>
    <row r="274" spans="3:8" ht="14.25" customHeight="1" x14ac:dyDescent="0.25">
      <c r="C274" s="30"/>
      <c r="G274" s="57"/>
      <c r="H274" s="57"/>
    </row>
    <row r="275" spans="3:8" ht="14.25" customHeight="1" x14ac:dyDescent="0.25">
      <c r="C275" s="30"/>
      <c r="G275" s="57"/>
      <c r="H275" s="57"/>
    </row>
    <row r="276" spans="3:8" ht="14.25" customHeight="1" x14ac:dyDescent="0.25">
      <c r="C276" s="30"/>
      <c r="G276" s="57"/>
      <c r="H276" s="57"/>
    </row>
    <row r="277" spans="3:8" ht="14.25" customHeight="1" x14ac:dyDescent="0.25">
      <c r="C277" s="30"/>
      <c r="G277" s="57"/>
      <c r="H277" s="57"/>
    </row>
    <row r="278" spans="3:8" ht="14.25" customHeight="1" x14ac:dyDescent="0.25">
      <c r="C278" s="30"/>
      <c r="G278" s="57"/>
      <c r="H278" s="57"/>
    </row>
    <row r="279" spans="3:8" ht="14.25" customHeight="1" x14ac:dyDescent="0.25">
      <c r="C279" s="30"/>
      <c r="G279" s="57"/>
      <c r="H279" s="57"/>
    </row>
    <row r="280" spans="3:8" ht="14.25" customHeight="1" x14ac:dyDescent="0.25">
      <c r="C280" s="30"/>
      <c r="G280" s="57"/>
      <c r="H280" s="57"/>
    </row>
    <row r="281" spans="3:8" ht="14.25" customHeight="1" x14ac:dyDescent="0.25">
      <c r="C281" s="30"/>
      <c r="G281" s="57"/>
      <c r="H281" s="57"/>
    </row>
    <row r="282" spans="3:8" ht="14.25" customHeight="1" x14ac:dyDescent="0.25">
      <c r="C282" s="30"/>
      <c r="G282" s="57"/>
      <c r="H282" s="57"/>
    </row>
    <row r="283" spans="3:8" ht="14.25" customHeight="1" x14ac:dyDescent="0.25">
      <c r="C283" s="30"/>
      <c r="G283" s="57"/>
      <c r="H283" s="57"/>
    </row>
    <row r="284" spans="3:8" ht="14.25" customHeight="1" x14ac:dyDescent="0.25">
      <c r="C284" s="30"/>
      <c r="G284" s="57"/>
      <c r="H284" s="57"/>
    </row>
    <row r="285" spans="3:8" ht="14.25" customHeight="1" x14ac:dyDescent="0.25">
      <c r="C285" s="30"/>
      <c r="G285" s="57"/>
      <c r="H285" s="57"/>
    </row>
    <row r="286" spans="3:8" ht="14.25" customHeight="1" x14ac:dyDescent="0.25">
      <c r="C286" s="30"/>
      <c r="G286" s="57"/>
      <c r="H286" s="57"/>
    </row>
    <row r="287" spans="3:8" ht="14.25" customHeight="1" x14ac:dyDescent="0.25">
      <c r="C287" s="30"/>
      <c r="G287" s="57"/>
      <c r="H287" s="57"/>
    </row>
    <row r="288" spans="3:8" ht="14.25" customHeight="1" x14ac:dyDescent="0.25">
      <c r="C288" s="30"/>
      <c r="G288" s="57"/>
      <c r="H288" s="57"/>
    </row>
    <row r="289" spans="3:8" ht="14.25" customHeight="1" x14ac:dyDescent="0.25">
      <c r="C289" s="30"/>
      <c r="G289" s="57"/>
      <c r="H289" s="57"/>
    </row>
    <row r="290" spans="3:8" ht="14.25" customHeight="1" x14ac:dyDescent="0.25">
      <c r="C290" s="30"/>
      <c r="G290" s="57"/>
      <c r="H290" s="57"/>
    </row>
    <row r="291" spans="3:8" ht="14.25" customHeight="1" x14ac:dyDescent="0.25">
      <c r="C291" s="30"/>
      <c r="G291" s="57"/>
      <c r="H291" s="57"/>
    </row>
    <row r="292" spans="3:8" ht="14.25" customHeight="1" x14ac:dyDescent="0.25">
      <c r="C292" s="30"/>
      <c r="G292" s="57"/>
      <c r="H292" s="57"/>
    </row>
    <row r="293" spans="3:8" ht="14.25" customHeight="1" x14ac:dyDescent="0.25">
      <c r="C293" s="30"/>
      <c r="G293" s="57"/>
      <c r="H293" s="57"/>
    </row>
    <row r="294" spans="3:8" ht="14.25" customHeight="1" x14ac:dyDescent="0.25">
      <c r="C294" s="30"/>
      <c r="G294" s="57"/>
      <c r="H294" s="57"/>
    </row>
    <row r="295" spans="3:8" ht="14.25" customHeight="1" x14ac:dyDescent="0.25">
      <c r="C295" s="30"/>
      <c r="G295" s="57"/>
      <c r="H295" s="57"/>
    </row>
    <row r="296" spans="3:8" ht="14.25" customHeight="1" x14ac:dyDescent="0.25">
      <c r="C296" s="30"/>
      <c r="G296" s="57"/>
      <c r="H296" s="57"/>
    </row>
    <row r="297" spans="3:8" ht="14.25" customHeight="1" x14ac:dyDescent="0.25">
      <c r="C297" s="30"/>
      <c r="G297" s="57"/>
      <c r="H297" s="57"/>
    </row>
    <row r="298" spans="3:8" ht="14.25" customHeight="1" x14ac:dyDescent="0.25">
      <c r="C298" s="30"/>
      <c r="G298" s="57"/>
      <c r="H298" s="57"/>
    </row>
    <row r="299" spans="3:8" ht="14.25" customHeight="1" x14ac:dyDescent="0.25">
      <c r="C299" s="30"/>
      <c r="G299" s="57"/>
      <c r="H299" s="57"/>
    </row>
    <row r="300" spans="3:8" ht="14.25" customHeight="1" x14ac:dyDescent="0.25">
      <c r="C300" s="30"/>
      <c r="G300" s="57"/>
      <c r="H300" s="57"/>
    </row>
    <row r="301" spans="3:8" ht="14.25" customHeight="1" x14ac:dyDescent="0.25">
      <c r="C301" s="30"/>
      <c r="G301" s="57"/>
      <c r="H301" s="57"/>
    </row>
    <row r="302" spans="3:8" ht="14.25" customHeight="1" x14ac:dyDescent="0.25">
      <c r="C302" s="30"/>
      <c r="G302" s="57"/>
      <c r="H302" s="57"/>
    </row>
    <row r="303" spans="3:8" ht="14.25" customHeight="1" x14ac:dyDescent="0.25">
      <c r="C303" s="30"/>
      <c r="G303" s="57"/>
      <c r="H303" s="57"/>
    </row>
    <row r="304" spans="3:8" ht="14.25" customHeight="1" x14ac:dyDescent="0.25">
      <c r="C304" s="30"/>
      <c r="G304" s="57"/>
      <c r="H304" s="57"/>
    </row>
    <row r="305" spans="3:8" ht="14.25" customHeight="1" x14ac:dyDescent="0.25">
      <c r="C305" s="30"/>
      <c r="G305" s="57"/>
      <c r="H305" s="57"/>
    </row>
    <row r="306" spans="3:8" ht="14.25" customHeight="1" x14ac:dyDescent="0.25">
      <c r="C306" s="30"/>
      <c r="G306" s="57"/>
      <c r="H306" s="57"/>
    </row>
    <row r="307" spans="3:8" ht="14.25" customHeight="1" x14ac:dyDescent="0.25">
      <c r="C307" s="30"/>
      <c r="G307" s="57"/>
      <c r="H307" s="57"/>
    </row>
    <row r="308" spans="3:8" ht="14.25" customHeight="1" x14ac:dyDescent="0.25">
      <c r="C308" s="30"/>
      <c r="G308" s="57"/>
      <c r="H308" s="57"/>
    </row>
    <row r="309" spans="3:8" ht="14.25" customHeight="1" x14ac:dyDescent="0.25">
      <c r="C309" s="30"/>
      <c r="G309" s="57"/>
      <c r="H309" s="57"/>
    </row>
    <row r="310" spans="3:8" ht="14.25" customHeight="1" x14ac:dyDescent="0.25">
      <c r="C310" s="30"/>
      <c r="G310" s="57"/>
      <c r="H310" s="57"/>
    </row>
    <row r="311" spans="3:8" ht="14.25" customHeight="1" x14ac:dyDescent="0.25">
      <c r="C311" s="30"/>
      <c r="G311" s="57"/>
      <c r="H311" s="57"/>
    </row>
    <row r="312" spans="3:8" ht="14.25" customHeight="1" x14ac:dyDescent="0.25">
      <c r="C312" s="30"/>
      <c r="G312" s="57"/>
      <c r="H312" s="57"/>
    </row>
    <row r="313" spans="3:8" ht="14.25" customHeight="1" x14ac:dyDescent="0.25">
      <c r="C313" s="30"/>
      <c r="G313" s="57"/>
      <c r="H313" s="57"/>
    </row>
    <row r="314" spans="3:8" ht="14.25" customHeight="1" x14ac:dyDescent="0.25">
      <c r="C314" s="30"/>
      <c r="G314" s="57"/>
      <c r="H314" s="57"/>
    </row>
    <row r="315" spans="3:8" ht="14.25" customHeight="1" x14ac:dyDescent="0.25">
      <c r="C315" s="30"/>
      <c r="G315" s="57"/>
      <c r="H315" s="57"/>
    </row>
    <row r="316" spans="3:8" ht="14.25" customHeight="1" x14ac:dyDescent="0.25">
      <c r="C316" s="30"/>
      <c r="G316" s="57"/>
      <c r="H316" s="57"/>
    </row>
    <row r="317" spans="3:8" ht="14.25" customHeight="1" x14ac:dyDescent="0.25">
      <c r="C317" s="30"/>
      <c r="G317" s="57"/>
      <c r="H317" s="57"/>
    </row>
    <row r="318" spans="3:8" ht="14.25" customHeight="1" x14ac:dyDescent="0.25">
      <c r="C318" s="30"/>
      <c r="G318" s="57"/>
      <c r="H318" s="57"/>
    </row>
    <row r="319" spans="3:8" ht="14.25" customHeight="1" x14ac:dyDescent="0.25">
      <c r="C319" s="30"/>
      <c r="G319" s="57"/>
      <c r="H319" s="57"/>
    </row>
    <row r="320" spans="3:8" ht="14.25" customHeight="1" x14ac:dyDescent="0.25">
      <c r="C320" s="30"/>
      <c r="G320" s="57"/>
      <c r="H320" s="57"/>
    </row>
    <row r="321" spans="3:8" ht="14.25" customHeight="1" x14ac:dyDescent="0.25">
      <c r="C321" s="30"/>
      <c r="G321" s="57"/>
      <c r="H321" s="57"/>
    </row>
    <row r="322" spans="3:8" ht="14.25" customHeight="1" x14ac:dyDescent="0.25">
      <c r="C322" s="30"/>
      <c r="G322" s="57"/>
      <c r="H322" s="57"/>
    </row>
    <row r="323" spans="3:8" ht="14.25" customHeight="1" x14ac:dyDescent="0.25">
      <c r="C323" s="30"/>
      <c r="G323" s="57"/>
      <c r="H323" s="57"/>
    </row>
    <row r="324" spans="3:8" ht="14.25" customHeight="1" x14ac:dyDescent="0.25">
      <c r="C324" s="30"/>
      <c r="G324" s="57"/>
      <c r="H324" s="57"/>
    </row>
    <row r="325" spans="3:8" ht="14.25" customHeight="1" x14ac:dyDescent="0.25">
      <c r="C325" s="30"/>
      <c r="G325" s="57"/>
      <c r="H325" s="57"/>
    </row>
    <row r="326" spans="3:8" ht="14.25" customHeight="1" x14ac:dyDescent="0.25">
      <c r="C326" s="30"/>
      <c r="G326" s="57"/>
      <c r="H326" s="57"/>
    </row>
    <row r="327" spans="3:8" ht="14.25" customHeight="1" x14ac:dyDescent="0.25">
      <c r="C327" s="30"/>
      <c r="G327" s="57"/>
      <c r="H327" s="57"/>
    </row>
    <row r="328" spans="3:8" ht="14.25" customHeight="1" x14ac:dyDescent="0.25">
      <c r="C328" s="30"/>
      <c r="G328" s="57"/>
      <c r="H328" s="57"/>
    </row>
    <row r="329" spans="3:8" ht="14.25" customHeight="1" x14ac:dyDescent="0.25">
      <c r="C329" s="30"/>
      <c r="G329" s="57"/>
      <c r="H329" s="57"/>
    </row>
    <row r="330" spans="3:8" ht="14.25" customHeight="1" x14ac:dyDescent="0.25">
      <c r="C330" s="30"/>
      <c r="G330" s="57"/>
      <c r="H330" s="57"/>
    </row>
    <row r="331" spans="3:8" ht="14.25" customHeight="1" x14ac:dyDescent="0.25">
      <c r="C331" s="30"/>
      <c r="G331" s="57"/>
      <c r="H331" s="57"/>
    </row>
    <row r="332" spans="3:8" ht="14.25" customHeight="1" x14ac:dyDescent="0.25">
      <c r="C332" s="30"/>
      <c r="G332" s="57"/>
      <c r="H332" s="57"/>
    </row>
    <row r="333" spans="3:8" ht="14.25" customHeight="1" x14ac:dyDescent="0.25">
      <c r="C333" s="30"/>
      <c r="G333" s="57"/>
      <c r="H333" s="57"/>
    </row>
    <row r="334" spans="3:8" ht="14.25" customHeight="1" x14ac:dyDescent="0.25">
      <c r="C334" s="30"/>
      <c r="G334" s="57"/>
      <c r="H334" s="57"/>
    </row>
    <row r="335" spans="3:8" ht="14.25" customHeight="1" x14ac:dyDescent="0.25">
      <c r="C335" s="30"/>
      <c r="G335" s="57"/>
      <c r="H335" s="57"/>
    </row>
    <row r="336" spans="3:8" ht="14.25" customHeight="1" x14ac:dyDescent="0.25">
      <c r="C336" s="30"/>
      <c r="G336" s="57"/>
      <c r="H336" s="57"/>
    </row>
    <row r="337" spans="3:8" ht="14.25" customHeight="1" x14ac:dyDescent="0.25">
      <c r="C337" s="30"/>
      <c r="G337" s="57"/>
      <c r="H337" s="57"/>
    </row>
    <row r="338" spans="3:8" ht="14.25" customHeight="1" x14ac:dyDescent="0.25">
      <c r="C338" s="30"/>
      <c r="G338" s="57"/>
      <c r="H338" s="57"/>
    </row>
    <row r="339" spans="3:8" ht="14.25" customHeight="1" x14ac:dyDescent="0.25">
      <c r="C339" s="30"/>
      <c r="G339" s="57"/>
      <c r="H339" s="57"/>
    </row>
    <row r="340" spans="3:8" ht="14.25" customHeight="1" x14ac:dyDescent="0.25">
      <c r="C340" s="30"/>
      <c r="G340" s="57"/>
      <c r="H340" s="57"/>
    </row>
    <row r="341" spans="3:8" ht="14.25" customHeight="1" x14ac:dyDescent="0.25">
      <c r="C341" s="30"/>
      <c r="G341" s="57"/>
      <c r="H341" s="57"/>
    </row>
    <row r="342" spans="3:8" ht="14.25" customHeight="1" x14ac:dyDescent="0.25">
      <c r="C342" s="30"/>
      <c r="G342" s="57"/>
      <c r="H342" s="57"/>
    </row>
    <row r="343" spans="3:8" ht="14.25" customHeight="1" x14ac:dyDescent="0.25">
      <c r="C343" s="30"/>
      <c r="G343" s="57"/>
      <c r="H343" s="57"/>
    </row>
    <row r="344" spans="3:8" ht="14.25" customHeight="1" x14ac:dyDescent="0.25">
      <c r="C344" s="30"/>
      <c r="G344" s="57"/>
      <c r="H344" s="57"/>
    </row>
    <row r="345" spans="3:8" ht="14.25" customHeight="1" x14ac:dyDescent="0.25">
      <c r="C345" s="30"/>
      <c r="G345" s="57"/>
      <c r="H345" s="57"/>
    </row>
    <row r="346" spans="3:8" ht="14.25" customHeight="1" x14ac:dyDescent="0.25">
      <c r="C346" s="30"/>
      <c r="G346" s="57"/>
      <c r="H346" s="57"/>
    </row>
    <row r="347" spans="3:8" ht="14.25" customHeight="1" x14ac:dyDescent="0.25">
      <c r="C347" s="30"/>
      <c r="G347" s="57"/>
      <c r="H347" s="57"/>
    </row>
    <row r="348" spans="3:8" ht="14.25" customHeight="1" x14ac:dyDescent="0.25">
      <c r="C348" s="30"/>
      <c r="G348" s="57"/>
      <c r="H348" s="57"/>
    </row>
    <row r="349" spans="3:8" ht="14.25" customHeight="1" x14ac:dyDescent="0.25">
      <c r="C349" s="30"/>
      <c r="G349" s="57"/>
      <c r="H349" s="57"/>
    </row>
    <row r="350" spans="3:8" ht="14.25" customHeight="1" x14ac:dyDescent="0.25">
      <c r="C350" s="30"/>
      <c r="G350" s="57"/>
      <c r="H350" s="57"/>
    </row>
    <row r="351" spans="3:8" ht="14.25" customHeight="1" x14ac:dyDescent="0.25">
      <c r="C351" s="30"/>
      <c r="G351" s="57"/>
      <c r="H351" s="57"/>
    </row>
    <row r="352" spans="3:8" ht="14.25" customHeight="1" x14ac:dyDescent="0.25">
      <c r="C352" s="30"/>
      <c r="G352" s="57"/>
      <c r="H352" s="57"/>
    </row>
    <row r="353" spans="3:8" ht="14.25" customHeight="1" x14ac:dyDescent="0.25">
      <c r="C353" s="30"/>
      <c r="G353" s="57"/>
      <c r="H353" s="57"/>
    </row>
    <row r="354" spans="3:8" ht="14.25" customHeight="1" x14ac:dyDescent="0.25">
      <c r="C354" s="30"/>
      <c r="G354" s="57"/>
      <c r="H354" s="57"/>
    </row>
    <row r="355" spans="3:8" ht="14.25" customHeight="1" x14ac:dyDescent="0.25">
      <c r="C355" s="30"/>
      <c r="G355" s="57"/>
      <c r="H355" s="57"/>
    </row>
    <row r="356" spans="3:8" ht="14.25" customHeight="1" x14ac:dyDescent="0.25">
      <c r="C356" s="30"/>
      <c r="G356" s="57"/>
      <c r="H356" s="57"/>
    </row>
    <row r="357" spans="3:8" ht="14.25" customHeight="1" x14ac:dyDescent="0.25">
      <c r="C357" s="30"/>
      <c r="G357" s="57"/>
      <c r="H357" s="57"/>
    </row>
    <row r="358" spans="3:8" ht="14.25" customHeight="1" x14ac:dyDescent="0.25">
      <c r="C358" s="30"/>
      <c r="G358" s="57"/>
      <c r="H358" s="57"/>
    </row>
    <row r="359" spans="3:8" ht="14.25" customHeight="1" x14ac:dyDescent="0.25">
      <c r="C359" s="30"/>
      <c r="G359" s="57"/>
      <c r="H359" s="57"/>
    </row>
    <row r="360" spans="3:8" ht="14.25" customHeight="1" x14ac:dyDescent="0.25">
      <c r="C360" s="30"/>
      <c r="G360" s="57"/>
      <c r="H360" s="57"/>
    </row>
    <row r="361" spans="3:8" ht="14.25" customHeight="1" x14ac:dyDescent="0.25">
      <c r="C361" s="30"/>
      <c r="G361" s="57"/>
      <c r="H361" s="57"/>
    </row>
    <row r="362" spans="3:8" ht="14.25" customHeight="1" x14ac:dyDescent="0.25">
      <c r="C362" s="30"/>
      <c r="G362" s="57"/>
      <c r="H362" s="57"/>
    </row>
    <row r="363" spans="3:8" ht="14.25" customHeight="1" x14ac:dyDescent="0.25">
      <c r="C363" s="30"/>
      <c r="G363" s="57"/>
      <c r="H363" s="57"/>
    </row>
    <row r="364" spans="3:8" ht="14.25" customHeight="1" x14ac:dyDescent="0.25">
      <c r="C364" s="30"/>
      <c r="G364" s="57"/>
      <c r="H364" s="57"/>
    </row>
    <row r="365" spans="3:8" ht="14.25" customHeight="1" x14ac:dyDescent="0.25">
      <c r="C365" s="30"/>
      <c r="G365" s="57"/>
      <c r="H365" s="57"/>
    </row>
    <row r="366" spans="3:8" ht="14.25" customHeight="1" x14ac:dyDescent="0.25">
      <c r="C366" s="30"/>
      <c r="G366" s="57"/>
      <c r="H366" s="57"/>
    </row>
    <row r="367" spans="3:8" ht="14.25" customHeight="1" x14ac:dyDescent="0.25">
      <c r="C367" s="30"/>
      <c r="G367" s="57"/>
      <c r="H367" s="57"/>
    </row>
    <row r="368" spans="3:8" ht="14.25" customHeight="1" x14ac:dyDescent="0.25">
      <c r="C368" s="30"/>
      <c r="G368" s="57"/>
      <c r="H368" s="57"/>
    </row>
    <row r="369" spans="3:8" ht="14.25" customHeight="1" x14ac:dyDescent="0.25">
      <c r="C369" s="30"/>
      <c r="G369" s="57"/>
      <c r="H369" s="57"/>
    </row>
    <row r="370" spans="3:8" ht="14.25" customHeight="1" x14ac:dyDescent="0.25">
      <c r="C370" s="30"/>
      <c r="G370" s="57"/>
      <c r="H370" s="57"/>
    </row>
    <row r="371" spans="3:8" ht="14.25" customHeight="1" x14ac:dyDescent="0.25">
      <c r="C371" s="30"/>
      <c r="G371" s="57"/>
      <c r="H371" s="57"/>
    </row>
    <row r="372" spans="3:8" ht="14.25" customHeight="1" x14ac:dyDescent="0.25">
      <c r="C372" s="30"/>
      <c r="G372" s="57"/>
      <c r="H372" s="57"/>
    </row>
    <row r="373" spans="3:8" ht="14.25" customHeight="1" x14ac:dyDescent="0.25">
      <c r="C373" s="30"/>
      <c r="G373" s="57"/>
      <c r="H373" s="57"/>
    </row>
    <row r="374" spans="3:8" ht="14.25" customHeight="1" x14ac:dyDescent="0.25">
      <c r="C374" s="30"/>
      <c r="G374" s="57"/>
      <c r="H374" s="57"/>
    </row>
    <row r="375" spans="3:8" ht="14.25" customHeight="1" x14ac:dyDescent="0.25">
      <c r="C375" s="30"/>
      <c r="G375" s="57"/>
      <c r="H375" s="57"/>
    </row>
    <row r="376" spans="3:8" ht="14.25" customHeight="1" x14ac:dyDescent="0.25">
      <c r="C376" s="30"/>
      <c r="G376" s="57"/>
      <c r="H376" s="57"/>
    </row>
    <row r="377" spans="3:8" ht="14.25" customHeight="1" x14ac:dyDescent="0.25">
      <c r="C377" s="30"/>
      <c r="G377" s="57"/>
      <c r="H377" s="57"/>
    </row>
    <row r="378" spans="3:8" ht="14.25" customHeight="1" x14ac:dyDescent="0.25">
      <c r="C378" s="30"/>
      <c r="G378" s="57"/>
      <c r="H378" s="57"/>
    </row>
    <row r="379" spans="3:8" ht="14.25" customHeight="1" x14ac:dyDescent="0.25">
      <c r="C379" s="30"/>
      <c r="G379" s="57"/>
      <c r="H379" s="57"/>
    </row>
    <row r="380" spans="3:8" ht="14.25" customHeight="1" x14ac:dyDescent="0.25">
      <c r="C380" s="30"/>
      <c r="G380" s="57"/>
      <c r="H380" s="57"/>
    </row>
    <row r="381" spans="3:8" ht="14.25" customHeight="1" x14ac:dyDescent="0.25">
      <c r="C381" s="30"/>
      <c r="G381" s="57"/>
      <c r="H381" s="57"/>
    </row>
    <row r="382" spans="3:8" ht="14.25" customHeight="1" x14ac:dyDescent="0.25">
      <c r="C382" s="30"/>
      <c r="G382" s="57"/>
      <c r="H382" s="57"/>
    </row>
    <row r="383" spans="3:8" ht="14.25" customHeight="1" x14ac:dyDescent="0.25">
      <c r="C383" s="30"/>
      <c r="G383" s="57"/>
      <c r="H383" s="57"/>
    </row>
    <row r="384" spans="3:8" ht="14.25" customHeight="1" x14ac:dyDescent="0.25">
      <c r="C384" s="30"/>
      <c r="G384" s="57"/>
      <c r="H384" s="57"/>
    </row>
    <row r="385" spans="3:8" ht="14.25" customHeight="1" x14ac:dyDescent="0.25">
      <c r="C385" s="30"/>
      <c r="G385" s="57"/>
      <c r="H385" s="57"/>
    </row>
    <row r="386" spans="3:8" ht="14.25" customHeight="1" x14ac:dyDescent="0.25">
      <c r="C386" s="30"/>
      <c r="G386" s="57"/>
      <c r="H386" s="57"/>
    </row>
    <row r="387" spans="3:8" ht="14.25" customHeight="1" x14ac:dyDescent="0.25">
      <c r="C387" s="30"/>
      <c r="G387" s="57"/>
      <c r="H387" s="57"/>
    </row>
    <row r="388" spans="3:8" ht="14.25" customHeight="1" x14ac:dyDescent="0.25">
      <c r="C388" s="30"/>
      <c r="G388" s="57"/>
      <c r="H388" s="57"/>
    </row>
    <row r="389" spans="3:8" ht="14.25" customHeight="1" x14ac:dyDescent="0.25">
      <c r="C389" s="30"/>
      <c r="G389" s="57"/>
      <c r="H389" s="57"/>
    </row>
    <row r="390" spans="3:8" ht="14.25" customHeight="1" x14ac:dyDescent="0.25">
      <c r="C390" s="30"/>
      <c r="G390" s="57"/>
      <c r="H390" s="57"/>
    </row>
    <row r="391" spans="3:8" ht="14.25" customHeight="1" x14ac:dyDescent="0.25">
      <c r="C391" s="30"/>
      <c r="G391" s="57"/>
      <c r="H391" s="57"/>
    </row>
    <row r="392" spans="3:8" ht="14.25" customHeight="1" x14ac:dyDescent="0.25">
      <c r="C392" s="30"/>
      <c r="G392" s="57"/>
      <c r="H392" s="57"/>
    </row>
    <row r="393" spans="3:8" ht="14.25" customHeight="1" x14ac:dyDescent="0.25">
      <c r="C393" s="30"/>
      <c r="G393" s="57"/>
      <c r="H393" s="57"/>
    </row>
    <row r="394" spans="3:8" ht="14.25" customHeight="1" x14ac:dyDescent="0.25">
      <c r="C394" s="30"/>
      <c r="G394" s="57"/>
      <c r="H394" s="57"/>
    </row>
    <row r="395" spans="3:8" ht="14.25" customHeight="1" x14ac:dyDescent="0.25">
      <c r="C395" s="30"/>
      <c r="G395" s="57"/>
      <c r="H395" s="57"/>
    </row>
    <row r="396" spans="3:8" ht="14.25" customHeight="1" x14ac:dyDescent="0.25">
      <c r="C396" s="30"/>
      <c r="G396" s="57"/>
      <c r="H396" s="57"/>
    </row>
    <row r="397" spans="3:8" ht="14.25" customHeight="1" x14ac:dyDescent="0.25">
      <c r="C397" s="30"/>
      <c r="G397" s="57"/>
      <c r="H397" s="57"/>
    </row>
    <row r="398" spans="3:8" ht="14.25" customHeight="1" x14ac:dyDescent="0.25">
      <c r="C398" s="30"/>
      <c r="G398" s="57"/>
      <c r="H398" s="57"/>
    </row>
    <row r="399" spans="3:8" ht="14.25" customHeight="1" x14ac:dyDescent="0.25">
      <c r="C399" s="30"/>
      <c r="G399" s="57"/>
      <c r="H399" s="57"/>
    </row>
    <row r="400" spans="3:8" ht="14.25" customHeight="1" x14ac:dyDescent="0.25">
      <c r="C400" s="30"/>
      <c r="G400" s="57"/>
      <c r="H400" s="57"/>
    </row>
    <row r="401" spans="3:8" ht="14.25" customHeight="1" x14ac:dyDescent="0.25">
      <c r="C401" s="30"/>
      <c r="G401" s="57"/>
      <c r="H401" s="57"/>
    </row>
    <row r="402" spans="3:8" ht="14.25" customHeight="1" x14ac:dyDescent="0.25">
      <c r="C402" s="30"/>
      <c r="G402" s="57"/>
      <c r="H402" s="57"/>
    </row>
    <row r="403" spans="3:8" ht="14.25" customHeight="1" x14ac:dyDescent="0.25">
      <c r="C403" s="30"/>
      <c r="G403" s="57"/>
      <c r="H403" s="57"/>
    </row>
    <row r="404" spans="3:8" ht="14.25" customHeight="1" x14ac:dyDescent="0.25">
      <c r="C404" s="30"/>
      <c r="G404" s="57"/>
      <c r="H404" s="57"/>
    </row>
    <row r="405" spans="3:8" ht="14.25" customHeight="1" x14ac:dyDescent="0.25">
      <c r="C405" s="30"/>
      <c r="G405" s="57"/>
      <c r="H405" s="57"/>
    </row>
    <row r="406" spans="3:8" ht="14.25" customHeight="1" x14ac:dyDescent="0.25">
      <c r="C406" s="30"/>
      <c r="G406" s="57"/>
      <c r="H406" s="57"/>
    </row>
    <row r="407" spans="3:8" ht="14.25" customHeight="1" x14ac:dyDescent="0.25">
      <c r="C407" s="30"/>
      <c r="G407" s="57"/>
      <c r="H407" s="57"/>
    </row>
    <row r="408" spans="3:8" ht="14.25" customHeight="1" x14ac:dyDescent="0.25">
      <c r="C408" s="30"/>
      <c r="G408" s="57"/>
      <c r="H408" s="57"/>
    </row>
    <row r="409" spans="3:8" ht="14.25" customHeight="1" x14ac:dyDescent="0.25">
      <c r="C409" s="30"/>
      <c r="G409" s="57"/>
      <c r="H409" s="57"/>
    </row>
    <row r="410" spans="3:8" ht="14.25" customHeight="1" x14ac:dyDescent="0.25">
      <c r="C410" s="30"/>
      <c r="G410" s="57"/>
      <c r="H410" s="57"/>
    </row>
    <row r="411" spans="3:8" ht="14.25" customHeight="1" x14ac:dyDescent="0.25">
      <c r="C411" s="30"/>
      <c r="G411" s="57"/>
      <c r="H411" s="57"/>
    </row>
    <row r="412" spans="3:8" ht="14.25" customHeight="1" x14ac:dyDescent="0.25">
      <c r="C412" s="30"/>
      <c r="G412" s="57"/>
      <c r="H412" s="57"/>
    </row>
    <row r="413" spans="3:8" ht="14.25" customHeight="1" x14ac:dyDescent="0.25">
      <c r="C413" s="30"/>
      <c r="G413" s="57"/>
      <c r="H413" s="57"/>
    </row>
    <row r="414" spans="3:8" ht="14.25" customHeight="1" x14ac:dyDescent="0.25">
      <c r="C414" s="30"/>
      <c r="G414" s="57"/>
      <c r="H414" s="57"/>
    </row>
    <row r="415" spans="3:8" ht="14.25" customHeight="1" x14ac:dyDescent="0.25">
      <c r="C415" s="30"/>
      <c r="G415" s="57"/>
      <c r="H415" s="57"/>
    </row>
    <row r="416" spans="3:8" ht="14.25" customHeight="1" x14ac:dyDescent="0.25">
      <c r="C416" s="30"/>
      <c r="G416" s="57"/>
      <c r="H416" s="57"/>
    </row>
    <row r="417" spans="3:8" ht="14.25" customHeight="1" x14ac:dyDescent="0.25">
      <c r="C417" s="30"/>
      <c r="G417" s="57"/>
      <c r="H417" s="57"/>
    </row>
    <row r="418" spans="3:8" ht="14.25" customHeight="1" x14ac:dyDescent="0.25">
      <c r="C418" s="30"/>
      <c r="G418" s="57"/>
      <c r="H418" s="57"/>
    </row>
    <row r="419" spans="3:8" ht="14.25" customHeight="1" x14ac:dyDescent="0.25">
      <c r="C419" s="30"/>
      <c r="G419" s="57"/>
      <c r="H419" s="57"/>
    </row>
    <row r="420" spans="3:8" ht="14.25" customHeight="1" x14ac:dyDescent="0.25">
      <c r="C420" s="30"/>
      <c r="G420" s="57"/>
      <c r="H420" s="57"/>
    </row>
    <row r="421" spans="3:8" ht="14.25" customHeight="1" x14ac:dyDescent="0.25">
      <c r="C421" s="30"/>
      <c r="G421" s="57"/>
      <c r="H421" s="57"/>
    </row>
    <row r="422" spans="3:8" ht="14.25" customHeight="1" x14ac:dyDescent="0.25">
      <c r="C422" s="30"/>
      <c r="G422" s="57"/>
      <c r="H422" s="57"/>
    </row>
    <row r="423" spans="3:8" ht="14.25" customHeight="1" x14ac:dyDescent="0.25">
      <c r="C423" s="30"/>
      <c r="G423" s="57"/>
      <c r="H423" s="57"/>
    </row>
    <row r="424" spans="3:8" ht="14.25" customHeight="1" x14ac:dyDescent="0.25">
      <c r="C424" s="30"/>
      <c r="G424" s="57"/>
      <c r="H424" s="57"/>
    </row>
    <row r="425" spans="3:8" ht="14.25" customHeight="1" x14ac:dyDescent="0.25">
      <c r="C425" s="30"/>
      <c r="G425" s="57"/>
      <c r="H425" s="57"/>
    </row>
    <row r="426" spans="3:8" ht="14.25" customHeight="1" x14ac:dyDescent="0.25">
      <c r="C426" s="30"/>
      <c r="G426" s="57"/>
      <c r="H426" s="57"/>
    </row>
    <row r="427" spans="3:8" ht="14.25" customHeight="1" x14ac:dyDescent="0.25">
      <c r="C427" s="30"/>
      <c r="G427" s="57"/>
      <c r="H427" s="57"/>
    </row>
    <row r="428" spans="3:8" ht="14.25" customHeight="1" x14ac:dyDescent="0.25">
      <c r="C428" s="30"/>
      <c r="G428" s="57"/>
      <c r="H428" s="57"/>
    </row>
    <row r="429" spans="3:8" ht="14.25" customHeight="1" x14ac:dyDescent="0.25">
      <c r="C429" s="30"/>
      <c r="G429" s="57"/>
      <c r="H429" s="57"/>
    </row>
    <row r="430" spans="3:8" ht="14.25" customHeight="1" x14ac:dyDescent="0.25">
      <c r="C430" s="30"/>
      <c r="G430" s="57"/>
      <c r="H430" s="57"/>
    </row>
    <row r="431" spans="3:8" ht="14.25" customHeight="1" x14ac:dyDescent="0.25">
      <c r="C431" s="30"/>
      <c r="G431" s="57"/>
      <c r="H431" s="57"/>
    </row>
    <row r="432" spans="3:8" ht="14.25" customHeight="1" x14ac:dyDescent="0.25">
      <c r="C432" s="30"/>
      <c r="G432" s="57"/>
      <c r="H432" s="57"/>
    </row>
    <row r="433" spans="3:8" ht="14.25" customHeight="1" x14ac:dyDescent="0.25">
      <c r="C433" s="30"/>
      <c r="G433" s="57"/>
      <c r="H433" s="57"/>
    </row>
    <row r="434" spans="3:8" ht="14.25" customHeight="1" x14ac:dyDescent="0.25">
      <c r="C434" s="30"/>
      <c r="G434" s="57"/>
      <c r="H434" s="57"/>
    </row>
    <row r="435" spans="3:8" ht="14.25" customHeight="1" x14ac:dyDescent="0.25">
      <c r="C435" s="30"/>
      <c r="G435" s="57"/>
      <c r="H435" s="57"/>
    </row>
    <row r="436" spans="3:8" ht="14.25" customHeight="1" x14ac:dyDescent="0.25">
      <c r="C436" s="30"/>
      <c r="G436" s="57"/>
      <c r="H436" s="57"/>
    </row>
    <row r="437" spans="3:8" ht="14.25" customHeight="1" x14ac:dyDescent="0.25">
      <c r="C437" s="30"/>
      <c r="G437" s="57"/>
      <c r="H437" s="57"/>
    </row>
    <row r="438" spans="3:8" ht="14.25" customHeight="1" x14ac:dyDescent="0.25">
      <c r="C438" s="30"/>
      <c r="G438" s="57"/>
      <c r="H438" s="57"/>
    </row>
    <row r="439" spans="3:8" ht="14.25" customHeight="1" x14ac:dyDescent="0.25">
      <c r="C439" s="30"/>
      <c r="G439" s="57"/>
      <c r="H439" s="57"/>
    </row>
    <row r="440" spans="3:8" ht="14.25" customHeight="1" x14ac:dyDescent="0.25">
      <c r="C440" s="30"/>
      <c r="G440" s="57"/>
      <c r="H440" s="57"/>
    </row>
    <row r="441" spans="3:8" ht="14.25" customHeight="1" x14ac:dyDescent="0.25">
      <c r="C441" s="30"/>
      <c r="G441" s="57"/>
      <c r="H441" s="57"/>
    </row>
    <row r="442" spans="3:8" ht="14.25" customHeight="1" x14ac:dyDescent="0.25">
      <c r="C442" s="30"/>
      <c r="G442" s="57"/>
      <c r="H442" s="57"/>
    </row>
    <row r="443" spans="3:8" ht="14.25" customHeight="1" x14ac:dyDescent="0.25">
      <c r="C443" s="30"/>
      <c r="G443" s="57"/>
      <c r="H443" s="57"/>
    </row>
    <row r="444" spans="3:8" ht="14.25" customHeight="1" x14ac:dyDescent="0.25">
      <c r="C444" s="30"/>
      <c r="G444" s="57"/>
      <c r="H444" s="57"/>
    </row>
    <row r="445" spans="3:8" ht="14.25" customHeight="1" x14ac:dyDescent="0.25">
      <c r="C445" s="30"/>
      <c r="G445" s="57"/>
      <c r="H445" s="57"/>
    </row>
    <row r="446" spans="3:8" ht="14.25" customHeight="1" x14ac:dyDescent="0.25">
      <c r="C446" s="30"/>
      <c r="G446" s="57"/>
      <c r="H446" s="57"/>
    </row>
    <row r="447" spans="3:8" ht="14.25" customHeight="1" x14ac:dyDescent="0.25">
      <c r="C447" s="30"/>
      <c r="G447" s="57"/>
      <c r="H447" s="57"/>
    </row>
    <row r="448" spans="3:8" ht="14.25" customHeight="1" x14ac:dyDescent="0.25">
      <c r="C448" s="30"/>
      <c r="G448" s="57"/>
      <c r="H448" s="57"/>
    </row>
    <row r="449" spans="3:8" ht="14.25" customHeight="1" x14ac:dyDescent="0.25">
      <c r="C449" s="30"/>
      <c r="G449" s="57"/>
      <c r="H449" s="57"/>
    </row>
    <row r="450" spans="3:8" ht="14.25" customHeight="1" x14ac:dyDescent="0.25">
      <c r="C450" s="30"/>
      <c r="G450" s="57"/>
      <c r="H450" s="57"/>
    </row>
    <row r="451" spans="3:8" ht="14.25" customHeight="1" x14ac:dyDescent="0.25">
      <c r="C451" s="30"/>
      <c r="G451" s="57"/>
      <c r="H451" s="57"/>
    </row>
    <row r="452" spans="3:8" ht="14.25" customHeight="1" x14ac:dyDescent="0.25">
      <c r="C452" s="30"/>
      <c r="G452" s="57"/>
      <c r="H452" s="57"/>
    </row>
    <row r="453" spans="3:8" ht="14.25" customHeight="1" x14ac:dyDescent="0.25">
      <c r="C453" s="30"/>
      <c r="G453" s="57"/>
      <c r="H453" s="57"/>
    </row>
    <row r="454" spans="3:8" ht="14.25" customHeight="1" x14ac:dyDescent="0.25">
      <c r="C454" s="30"/>
      <c r="G454" s="57"/>
      <c r="H454" s="57"/>
    </row>
    <row r="455" spans="3:8" ht="14.25" customHeight="1" x14ac:dyDescent="0.25">
      <c r="C455" s="30"/>
      <c r="G455" s="57"/>
      <c r="H455" s="57"/>
    </row>
    <row r="456" spans="3:8" ht="14.25" customHeight="1" x14ac:dyDescent="0.25">
      <c r="C456" s="30"/>
      <c r="G456" s="57"/>
      <c r="H456" s="57"/>
    </row>
    <row r="457" spans="3:8" ht="14.25" customHeight="1" x14ac:dyDescent="0.25">
      <c r="C457" s="30"/>
      <c r="G457" s="57"/>
      <c r="H457" s="57"/>
    </row>
    <row r="458" spans="3:8" ht="14.25" customHeight="1" x14ac:dyDescent="0.25">
      <c r="C458" s="30"/>
      <c r="G458" s="57"/>
      <c r="H458" s="57"/>
    </row>
    <row r="459" spans="3:8" ht="14.25" customHeight="1" x14ac:dyDescent="0.25">
      <c r="C459" s="30"/>
      <c r="G459" s="57"/>
      <c r="H459" s="57"/>
    </row>
    <row r="460" spans="3:8" ht="14.25" customHeight="1" x14ac:dyDescent="0.25">
      <c r="C460" s="30"/>
      <c r="G460" s="57"/>
      <c r="H460" s="57"/>
    </row>
    <row r="461" spans="3:8" ht="14.25" customHeight="1" x14ac:dyDescent="0.25">
      <c r="C461" s="30"/>
      <c r="G461" s="57"/>
      <c r="H461" s="57"/>
    </row>
    <row r="462" spans="3:8" ht="14.25" customHeight="1" x14ac:dyDescent="0.25">
      <c r="C462" s="30"/>
      <c r="G462" s="57"/>
      <c r="H462" s="57"/>
    </row>
    <row r="463" spans="3:8" ht="14.25" customHeight="1" x14ac:dyDescent="0.25">
      <c r="C463" s="30"/>
      <c r="G463" s="57"/>
      <c r="H463" s="57"/>
    </row>
    <row r="464" spans="3:8" ht="14.25" customHeight="1" x14ac:dyDescent="0.25">
      <c r="C464" s="30"/>
      <c r="G464" s="57"/>
      <c r="H464" s="57"/>
    </row>
    <row r="465" spans="3:8" ht="14.25" customHeight="1" x14ac:dyDescent="0.25">
      <c r="C465" s="30"/>
      <c r="G465" s="57"/>
      <c r="H465" s="57"/>
    </row>
    <row r="466" spans="3:8" ht="14.25" customHeight="1" x14ac:dyDescent="0.25">
      <c r="C466" s="30"/>
      <c r="G466" s="57"/>
      <c r="H466" s="57"/>
    </row>
    <row r="467" spans="3:8" ht="14.25" customHeight="1" x14ac:dyDescent="0.25">
      <c r="C467" s="30"/>
      <c r="G467" s="57"/>
      <c r="H467" s="57"/>
    </row>
    <row r="468" spans="3:8" ht="14.25" customHeight="1" x14ac:dyDescent="0.25">
      <c r="C468" s="30"/>
      <c r="G468" s="57"/>
      <c r="H468" s="57"/>
    </row>
    <row r="469" spans="3:8" ht="14.25" customHeight="1" x14ac:dyDescent="0.25">
      <c r="C469" s="30"/>
      <c r="G469" s="57"/>
      <c r="H469" s="57"/>
    </row>
    <row r="470" spans="3:8" ht="14.25" customHeight="1" x14ac:dyDescent="0.25">
      <c r="C470" s="30"/>
      <c r="G470" s="57"/>
      <c r="H470" s="57"/>
    </row>
    <row r="471" spans="3:8" ht="14.25" customHeight="1" x14ac:dyDescent="0.25">
      <c r="C471" s="30"/>
      <c r="G471" s="57"/>
      <c r="H471" s="57"/>
    </row>
    <row r="472" spans="3:8" ht="14.25" customHeight="1" x14ac:dyDescent="0.25">
      <c r="C472" s="30"/>
      <c r="G472" s="57"/>
      <c r="H472" s="57"/>
    </row>
    <row r="473" spans="3:8" ht="14.25" customHeight="1" x14ac:dyDescent="0.25">
      <c r="C473" s="30"/>
      <c r="G473" s="57"/>
      <c r="H473" s="57"/>
    </row>
    <row r="474" spans="3:8" ht="14.25" customHeight="1" x14ac:dyDescent="0.25">
      <c r="C474" s="30"/>
      <c r="G474" s="57"/>
      <c r="H474" s="57"/>
    </row>
    <row r="475" spans="3:8" ht="14.25" customHeight="1" x14ac:dyDescent="0.25">
      <c r="C475" s="30"/>
      <c r="G475" s="57"/>
      <c r="H475" s="57"/>
    </row>
    <row r="476" spans="3:8" ht="14.25" customHeight="1" x14ac:dyDescent="0.25">
      <c r="C476" s="30"/>
      <c r="G476" s="57"/>
      <c r="H476" s="57"/>
    </row>
    <row r="477" spans="3:8" ht="14.25" customHeight="1" x14ac:dyDescent="0.25">
      <c r="C477" s="30"/>
      <c r="G477" s="57"/>
      <c r="H477" s="57"/>
    </row>
    <row r="478" spans="3:8" ht="14.25" customHeight="1" x14ac:dyDescent="0.25">
      <c r="C478" s="30"/>
      <c r="G478" s="57"/>
      <c r="H478" s="57"/>
    </row>
    <row r="479" spans="3:8" ht="14.25" customHeight="1" x14ac:dyDescent="0.25">
      <c r="C479" s="30"/>
      <c r="G479" s="57"/>
      <c r="H479" s="57"/>
    </row>
    <row r="480" spans="3:8" ht="14.25" customHeight="1" x14ac:dyDescent="0.25">
      <c r="C480" s="30"/>
      <c r="G480" s="57"/>
      <c r="H480" s="57"/>
    </row>
    <row r="481" spans="3:8" ht="14.25" customHeight="1" x14ac:dyDescent="0.25">
      <c r="C481" s="30"/>
      <c r="G481" s="57"/>
      <c r="H481" s="57"/>
    </row>
    <row r="482" spans="3:8" ht="14.25" customHeight="1" x14ac:dyDescent="0.25">
      <c r="C482" s="30"/>
      <c r="G482" s="57"/>
      <c r="H482" s="57"/>
    </row>
    <row r="483" spans="3:8" ht="14.25" customHeight="1" x14ac:dyDescent="0.25">
      <c r="C483" s="30"/>
      <c r="G483" s="57"/>
      <c r="H483" s="57"/>
    </row>
    <row r="484" spans="3:8" ht="14.25" customHeight="1" x14ac:dyDescent="0.25">
      <c r="C484" s="30"/>
      <c r="G484" s="57"/>
      <c r="H484" s="57"/>
    </row>
    <row r="485" spans="3:8" ht="14.25" customHeight="1" x14ac:dyDescent="0.25">
      <c r="C485" s="30"/>
      <c r="G485" s="57"/>
      <c r="H485" s="57"/>
    </row>
    <row r="486" spans="3:8" ht="14.25" customHeight="1" x14ac:dyDescent="0.25">
      <c r="C486" s="30"/>
      <c r="G486" s="57"/>
      <c r="H486" s="57"/>
    </row>
    <row r="487" spans="3:8" ht="14.25" customHeight="1" x14ac:dyDescent="0.25">
      <c r="C487" s="30"/>
      <c r="G487" s="57"/>
      <c r="H487" s="57"/>
    </row>
    <row r="488" spans="3:8" ht="14.25" customHeight="1" x14ac:dyDescent="0.25">
      <c r="C488" s="30"/>
      <c r="G488" s="57"/>
      <c r="H488" s="57"/>
    </row>
    <row r="489" spans="3:8" ht="14.25" customHeight="1" x14ac:dyDescent="0.25">
      <c r="C489" s="30"/>
      <c r="G489" s="57"/>
      <c r="H489" s="57"/>
    </row>
    <row r="490" spans="3:8" ht="14.25" customHeight="1" x14ac:dyDescent="0.25">
      <c r="C490" s="30"/>
      <c r="G490" s="57"/>
      <c r="H490" s="57"/>
    </row>
    <row r="491" spans="3:8" ht="14.25" customHeight="1" x14ac:dyDescent="0.25">
      <c r="C491" s="30"/>
      <c r="G491" s="57"/>
      <c r="H491" s="57"/>
    </row>
    <row r="492" spans="3:8" ht="14.25" customHeight="1" x14ac:dyDescent="0.25">
      <c r="C492" s="30"/>
      <c r="G492" s="57"/>
      <c r="H492" s="57"/>
    </row>
    <row r="493" spans="3:8" ht="14.25" customHeight="1" x14ac:dyDescent="0.25">
      <c r="C493" s="30"/>
      <c r="G493" s="57"/>
      <c r="H493" s="57"/>
    </row>
    <row r="494" spans="3:8" ht="14.25" customHeight="1" x14ac:dyDescent="0.25">
      <c r="C494" s="30"/>
      <c r="G494" s="57"/>
      <c r="H494" s="57"/>
    </row>
    <row r="495" spans="3:8" ht="14.25" customHeight="1" x14ac:dyDescent="0.25">
      <c r="C495" s="30"/>
      <c r="G495" s="57"/>
      <c r="H495" s="57"/>
    </row>
    <row r="496" spans="3:8" ht="14.25" customHeight="1" x14ac:dyDescent="0.25">
      <c r="C496" s="30"/>
      <c r="G496" s="57"/>
      <c r="H496" s="57"/>
    </row>
    <row r="497" spans="3:8" ht="14.25" customHeight="1" x14ac:dyDescent="0.25">
      <c r="C497" s="30"/>
      <c r="G497" s="57"/>
      <c r="H497" s="57"/>
    </row>
    <row r="498" spans="3:8" ht="14.25" customHeight="1" x14ac:dyDescent="0.25">
      <c r="C498" s="30"/>
      <c r="G498" s="57"/>
      <c r="H498" s="57"/>
    </row>
    <row r="499" spans="3:8" ht="14.25" customHeight="1" x14ac:dyDescent="0.25">
      <c r="C499" s="30"/>
      <c r="G499" s="57"/>
      <c r="H499" s="57"/>
    </row>
    <row r="500" spans="3:8" ht="14.25" customHeight="1" x14ac:dyDescent="0.25">
      <c r="C500" s="30"/>
      <c r="G500" s="57"/>
      <c r="H500" s="57"/>
    </row>
    <row r="501" spans="3:8" ht="14.25" customHeight="1" x14ac:dyDescent="0.25">
      <c r="C501" s="30"/>
      <c r="G501" s="57"/>
      <c r="H501" s="57"/>
    </row>
    <row r="502" spans="3:8" ht="14.25" customHeight="1" x14ac:dyDescent="0.25">
      <c r="C502" s="30"/>
      <c r="G502" s="57"/>
      <c r="H502" s="57"/>
    </row>
    <row r="503" spans="3:8" ht="14.25" customHeight="1" x14ac:dyDescent="0.25">
      <c r="C503" s="30"/>
      <c r="G503" s="57"/>
      <c r="H503" s="57"/>
    </row>
    <row r="504" spans="3:8" ht="14.25" customHeight="1" x14ac:dyDescent="0.25">
      <c r="C504" s="30"/>
      <c r="G504" s="57"/>
      <c r="H504" s="57"/>
    </row>
    <row r="505" spans="3:8" ht="14.25" customHeight="1" x14ac:dyDescent="0.25">
      <c r="C505" s="30"/>
      <c r="G505" s="57"/>
      <c r="H505" s="57"/>
    </row>
    <row r="506" spans="3:8" ht="14.25" customHeight="1" x14ac:dyDescent="0.25">
      <c r="C506" s="30"/>
      <c r="G506" s="57"/>
      <c r="H506" s="57"/>
    </row>
    <row r="507" spans="3:8" ht="14.25" customHeight="1" x14ac:dyDescent="0.25">
      <c r="C507" s="30"/>
      <c r="G507" s="57"/>
      <c r="H507" s="57"/>
    </row>
    <row r="508" spans="3:8" ht="14.25" customHeight="1" x14ac:dyDescent="0.25">
      <c r="C508" s="30"/>
      <c r="G508" s="57"/>
      <c r="H508" s="57"/>
    </row>
    <row r="509" spans="3:8" ht="14.25" customHeight="1" x14ac:dyDescent="0.25">
      <c r="C509" s="30"/>
      <c r="G509" s="57"/>
      <c r="H509" s="57"/>
    </row>
    <row r="510" spans="3:8" ht="14.25" customHeight="1" x14ac:dyDescent="0.25">
      <c r="C510" s="30"/>
      <c r="G510" s="57"/>
      <c r="H510" s="57"/>
    </row>
    <row r="511" spans="3:8" ht="14.25" customHeight="1" x14ac:dyDescent="0.25">
      <c r="C511" s="30"/>
      <c r="G511" s="57"/>
      <c r="H511" s="57"/>
    </row>
    <row r="512" spans="3:8" ht="14.25" customHeight="1" x14ac:dyDescent="0.25">
      <c r="C512" s="30"/>
      <c r="G512" s="57"/>
      <c r="H512" s="57"/>
    </row>
    <row r="513" spans="3:8" ht="14.25" customHeight="1" x14ac:dyDescent="0.25">
      <c r="C513" s="30"/>
      <c r="G513" s="57"/>
      <c r="H513" s="57"/>
    </row>
    <row r="514" spans="3:8" ht="14.25" customHeight="1" x14ac:dyDescent="0.25">
      <c r="C514" s="30"/>
      <c r="G514" s="57"/>
      <c r="H514" s="57"/>
    </row>
    <row r="515" spans="3:8" ht="14.25" customHeight="1" x14ac:dyDescent="0.25">
      <c r="C515" s="30"/>
      <c r="G515" s="57"/>
      <c r="H515" s="57"/>
    </row>
    <row r="516" spans="3:8" ht="14.25" customHeight="1" x14ac:dyDescent="0.25">
      <c r="C516" s="30"/>
      <c r="G516" s="57"/>
      <c r="H516" s="57"/>
    </row>
    <row r="517" spans="3:8" ht="14.25" customHeight="1" x14ac:dyDescent="0.25">
      <c r="C517" s="30"/>
      <c r="G517" s="57"/>
      <c r="H517" s="57"/>
    </row>
    <row r="518" spans="3:8" ht="14.25" customHeight="1" x14ac:dyDescent="0.25">
      <c r="C518" s="30"/>
      <c r="G518" s="57"/>
      <c r="H518" s="57"/>
    </row>
    <row r="519" spans="3:8" ht="14.25" customHeight="1" x14ac:dyDescent="0.25">
      <c r="C519" s="30"/>
      <c r="G519" s="57"/>
      <c r="H519" s="57"/>
    </row>
    <row r="520" spans="3:8" ht="14.25" customHeight="1" x14ac:dyDescent="0.25">
      <c r="C520" s="30"/>
      <c r="G520" s="57"/>
      <c r="H520" s="57"/>
    </row>
    <row r="521" spans="3:8" ht="14.25" customHeight="1" x14ac:dyDescent="0.25">
      <c r="C521" s="30"/>
      <c r="G521" s="57"/>
      <c r="H521" s="57"/>
    </row>
    <row r="522" spans="3:8" ht="14.25" customHeight="1" x14ac:dyDescent="0.25">
      <c r="C522" s="30"/>
      <c r="G522" s="57"/>
      <c r="H522" s="57"/>
    </row>
    <row r="523" spans="3:8" ht="14.25" customHeight="1" x14ac:dyDescent="0.25">
      <c r="C523" s="30"/>
      <c r="G523" s="57"/>
      <c r="H523" s="57"/>
    </row>
    <row r="524" spans="3:8" ht="14.25" customHeight="1" x14ac:dyDescent="0.25">
      <c r="C524" s="30"/>
      <c r="G524" s="57"/>
      <c r="H524" s="57"/>
    </row>
    <row r="525" spans="3:8" ht="14.25" customHeight="1" x14ac:dyDescent="0.25">
      <c r="C525" s="30"/>
      <c r="G525" s="57"/>
      <c r="H525" s="57"/>
    </row>
    <row r="526" spans="3:8" ht="14.25" customHeight="1" x14ac:dyDescent="0.25">
      <c r="C526" s="30"/>
      <c r="G526" s="57"/>
      <c r="H526" s="57"/>
    </row>
    <row r="527" spans="3:8" ht="14.25" customHeight="1" x14ac:dyDescent="0.25">
      <c r="C527" s="30"/>
      <c r="G527" s="57"/>
      <c r="H527" s="57"/>
    </row>
    <row r="528" spans="3:8" ht="14.25" customHeight="1" x14ac:dyDescent="0.25">
      <c r="C528" s="30"/>
      <c r="G528" s="57"/>
      <c r="H528" s="57"/>
    </row>
    <row r="529" spans="3:8" ht="14.25" customHeight="1" x14ac:dyDescent="0.25">
      <c r="C529" s="30"/>
      <c r="G529" s="57"/>
      <c r="H529" s="57"/>
    </row>
    <row r="530" spans="3:8" ht="14.25" customHeight="1" x14ac:dyDescent="0.25">
      <c r="C530" s="30"/>
      <c r="G530" s="57"/>
      <c r="H530" s="57"/>
    </row>
    <row r="531" spans="3:8" ht="14.25" customHeight="1" x14ac:dyDescent="0.25">
      <c r="C531" s="30"/>
      <c r="G531" s="57"/>
      <c r="H531" s="57"/>
    </row>
    <row r="532" spans="3:8" ht="14.25" customHeight="1" x14ac:dyDescent="0.25">
      <c r="C532" s="30"/>
      <c r="G532" s="57"/>
      <c r="H532" s="57"/>
    </row>
    <row r="533" spans="3:8" ht="14.25" customHeight="1" x14ac:dyDescent="0.25">
      <c r="C533" s="30"/>
      <c r="G533" s="57"/>
      <c r="H533" s="57"/>
    </row>
    <row r="534" spans="3:8" ht="14.25" customHeight="1" x14ac:dyDescent="0.25">
      <c r="C534" s="30"/>
      <c r="G534" s="57"/>
      <c r="H534" s="57"/>
    </row>
    <row r="535" spans="3:8" ht="14.25" customHeight="1" x14ac:dyDescent="0.25">
      <c r="C535" s="30"/>
      <c r="G535" s="57"/>
      <c r="H535" s="57"/>
    </row>
    <row r="536" spans="3:8" ht="14.25" customHeight="1" x14ac:dyDescent="0.25">
      <c r="C536" s="30"/>
      <c r="G536" s="57"/>
      <c r="H536" s="57"/>
    </row>
    <row r="537" spans="3:8" ht="14.25" customHeight="1" x14ac:dyDescent="0.25">
      <c r="C537" s="30"/>
      <c r="G537" s="57"/>
      <c r="H537" s="57"/>
    </row>
    <row r="538" spans="3:8" ht="14.25" customHeight="1" x14ac:dyDescent="0.25">
      <c r="C538" s="30"/>
      <c r="G538" s="57"/>
      <c r="H538" s="57"/>
    </row>
    <row r="539" spans="3:8" ht="14.25" customHeight="1" x14ac:dyDescent="0.25">
      <c r="C539" s="30"/>
      <c r="G539" s="57"/>
      <c r="H539" s="57"/>
    </row>
    <row r="540" spans="3:8" ht="14.25" customHeight="1" x14ac:dyDescent="0.25">
      <c r="C540" s="30"/>
      <c r="G540" s="57"/>
      <c r="H540" s="57"/>
    </row>
    <row r="541" spans="3:8" ht="14.25" customHeight="1" x14ac:dyDescent="0.25">
      <c r="C541" s="30"/>
      <c r="G541" s="57"/>
      <c r="H541" s="57"/>
    </row>
    <row r="542" spans="3:8" ht="14.25" customHeight="1" x14ac:dyDescent="0.25">
      <c r="C542" s="30"/>
      <c r="G542" s="57"/>
      <c r="H542" s="57"/>
    </row>
    <row r="543" spans="3:8" ht="14.25" customHeight="1" x14ac:dyDescent="0.25">
      <c r="C543" s="30"/>
      <c r="G543" s="57"/>
      <c r="H543" s="57"/>
    </row>
    <row r="544" spans="3:8" ht="14.25" customHeight="1" x14ac:dyDescent="0.25">
      <c r="C544" s="30"/>
      <c r="G544" s="57"/>
      <c r="H544" s="57"/>
    </row>
    <row r="545" spans="3:8" ht="14.25" customHeight="1" x14ac:dyDescent="0.25">
      <c r="C545" s="30"/>
      <c r="G545" s="57"/>
      <c r="H545" s="57"/>
    </row>
    <row r="546" spans="3:8" ht="14.25" customHeight="1" x14ac:dyDescent="0.25">
      <c r="C546" s="30"/>
      <c r="G546" s="57"/>
      <c r="H546" s="57"/>
    </row>
    <row r="547" spans="3:8" ht="14.25" customHeight="1" x14ac:dyDescent="0.25">
      <c r="C547" s="30"/>
      <c r="G547" s="57"/>
      <c r="H547" s="57"/>
    </row>
    <row r="548" spans="3:8" ht="14.25" customHeight="1" x14ac:dyDescent="0.25">
      <c r="C548" s="30"/>
      <c r="G548" s="57"/>
      <c r="H548" s="57"/>
    </row>
    <row r="549" spans="3:8" ht="14.25" customHeight="1" x14ac:dyDescent="0.25">
      <c r="C549" s="30"/>
      <c r="G549" s="57"/>
      <c r="H549" s="57"/>
    </row>
    <row r="550" spans="3:8" ht="14.25" customHeight="1" x14ac:dyDescent="0.25">
      <c r="C550" s="30"/>
      <c r="G550" s="57"/>
      <c r="H550" s="57"/>
    </row>
    <row r="551" spans="3:8" ht="14.25" customHeight="1" x14ac:dyDescent="0.25">
      <c r="C551" s="30"/>
      <c r="G551" s="57"/>
      <c r="H551" s="57"/>
    </row>
    <row r="552" spans="3:8" ht="14.25" customHeight="1" x14ac:dyDescent="0.25">
      <c r="C552" s="30"/>
      <c r="G552" s="57"/>
      <c r="H552" s="57"/>
    </row>
    <row r="553" spans="3:8" ht="14.25" customHeight="1" x14ac:dyDescent="0.25">
      <c r="C553" s="30"/>
      <c r="G553" s="57"/>
      <c r="H553" s="57"/>
    </row>
    <row r="554" spans="3:8" ht="14.25" customHeight="1" x14ac:dyDescent="0.25">
      <c r="C554" s="30"/>
      <c r="G554" s="57"/>
      <c r="H554" s="57"/>
    </row>
    <row r="555" spans="3:8" ht="14.25" customHeight="1" x14ac:dyDescent="0.25">
      <c r="C555" s="30"/>
      <c r="G555" s="57"/>
      <c r="H555" s="57"/>
    </row>
    <row r="556" spans="3:8" ht="14.25" customHeight="1" x14ac:dyDescent="0.25">
      <c r="C556" s="30"/>
      <c r="G556" s="57"/>
      <c r="H556" s="57"/>
    </row>
    <row r="557" spans="3:8" ht="14.25" customHeight="1" x14ac:dyDescent="0.25">
      <c r="C557" s="30"/>
      <c r="G557" s="57"/>
      <c r="H557" s="57"/>
    </row>
    <row r="558" spans="3:8" ht="14.25" customHeight="1" x14ac:dyDescent="0.25">
      <c r="C558" s="30"/>
      <c r="G558" s="57"/>
      <c r="H558" s="57"/>
    </row>
    <row r="559" spans="3:8" ht="14.25" customHeight="1" x14ac:dyDescent="0.25">
      <c r="C559" s="30"/>
      <c r="G559" s="57"/>
      <c r="H559" s="57"/>
    </row>
    <row r="560" spans="3:8" ht="14.25" customHeight="1" x14ac:dyDescent="0.25">
      <c r="C560" s="30"/>
      <c r="G560" s="57"/>
      <c r="H560" s="57"/>
    </row>
    <row r="561" spans="3:8" ht="14.25" customHeight="1" x14ac:dyDescent="0.25">
      <c r="C561" s="30"/>
      <c r="G561" s="57"/>
      <c r="H561" s="57"/>
    </row>
    <row r="562" spans="3:8" ht="14.25" customHeight="1" x14ac:dyDescent="0.25">
      <c r="C562" s="30"/>
      <c r="G562" s="57"/>
      <c r="H562" s="57"/>
    </row>
    <row r="563" spans="3:8" ht="14.25" customHeight="1" x14ac:dyDescent="0.25">
      <c r="C563" s="30"/>
      <c r="G563" s="57"/>
      <c r="H563" s="57"/>
    </row>
    <row r="564" spans="3:8" ht="14.25" customHeight="1" x14ac:dyDescent="0.25">
      <c r="C564" s="30"/>
      <c r="G564" s="57"/>
      <c r="H564" s="57"/>
    </row>
    <row r="565" spans="3:8" ht="14.25" customHeight="1" x14ac:dyDescent="0.25">
      <c r="C565" s="30"/>
      <c r="G565" s="57"/>
      <c r="H565" s="57"/>
    </row>
    <row r="566" spans="3:8" ht="14.25" customHeight="1" x14ac:dyDescent="0.25">
      <c r="C566" s="30"/>
      <c r="G566" s="57"/>
      <c r="H566" s="57"/>
    </row>
    <row r="567" spans="3:8" ht="14.25" customHeight="1" x14ac:dyDescent="0.25">
      <c r="C567" s="30"/>
      <c r="G567" s="57"/>
      <c r="H567" s="57"/>
    </row>
    <row r="568" spans="3:8" ht="14.25" customHeight="1" x14ac:dyDescent="0.25">
      <c r="C568" s="30"/>
      <c r="G568" s="57"/>
      <c r="H568" s="57"/>
    </row>
    <row r="569" spans="3:8" ht="14.25" customHeight="1" x14ac:dyDescent="0.25">
      <c r="C569" s="30"/>
      <c r="G569" s="57"/>
      <c r="H569" s="57"/>
    </row>
    <row r="570" spans="3:8" ht="14.25" customHeight="1" x14ac:dyDescent="0.25">
      <c r="C570" s="30"/>
      <c r="G570" s="57"/>
      <c r="H570" s="57"/>
    </row>
    <row r="571" spans="3:8" ht="14.25" customHeight="1" x14ac:dyDescent="0.25">
      <c r="C571" s="30"/>
      <c r="G571" s="57"/>
      <c r="H571" s="57"/>
    </row>
    <row r="572" spans="3:8" ht="14.25" customHeight="1" x14ac:dyDescent="0.25">
      <c r="C572" s="30"/>
      <c r="G572" s="57"/>
      <c r="H572" s="57"/>
    </row>
    <row r="573" spans="3:8" ht="14.25" customHeight="1" x14ac:dyDescent="0.25">
      <c r="C573" s="30"/>
      <c r="G573" s="57"/>
      <c r="H573" s="57"/>
    </row>
    <row r="574" spans="3:8" ht="14.25" customHeight="1" x14ac:dyDescent="0.25">
      <c r="C574" s="30"/>
      <c r="G574" s="57"/>
      <c r="H574" s="57"/>
    </row>
    <row r="575" spans="3:8" ht="14.25" customHeight="1" x14ac:dyDescent="0.25">
      <c r="C575" s="30"/>
      <c r="G575" s="57"/>
      <c r="H575" s="57"/>
    </row>
    <row r="576" spans="3:8" ht="14.25" customHeight="1" x14ac:dyDescent="0.25">
      <c r="C576" s="30"/>
      <c r="G576" s="57"/>
      <c r="H576" s="57"/>
    </row>
    <row r="577" spans="3:8" ht="14.25" customHeight="1" x14ac:dyDescent="0.25">
      <c r="C577" s="30"/>
      <c r="G577" s="57"/>
      <c r="H577" s="57"/>
    </row>
    <row r="578" spans="3:8" ht="14.25" customHeight="1" x14ac:dyDescent="0.25">
      <c r="C578" s="30"/>
      <c r="G578" s="57"/>
      <c r="H578" s="57"/>
    </row>
    <row r="579" spans="3:8" ht="14.25" customHeight="1" x14ac:dyDescent="0.25">
      <c r="C579" s="30"/>
      <c r="G579" s="57"/>
      <c r="H579" s="57"/>
    </row>
    <row r="580" spans="3:8" ht="14.25" customHeight="1" x14ac:dyDescent="0.25">
      <c r="C580" s="30"/>
      <c r="G580" s="57"/>
      <c r="H580" s="57"/>
    </row>
    <row r="581" spans="3:8" ht="14.25" customHeight="1" x14ac:dyDescent="0.25">
      <c r="C581" s="30"/>
      <c r="G581" s="57"/>
      <c r="H581" s="57"/>
    </row>
    <row r="582" spans="3:8" ht="14.25" customHeight="1" x14ac:dyDescent="0.25">
      <c r="C582" s="30"/>
      <c r="G582" s="57"/>
      <c r="H582" s="57"/>
    </row>
    <row r="583" spans="3:8" ht="14.25" customHeight="1" x14ac:dyDescent="0.25">
      <c r="C583" s="30"/>
      <c r="G583" s="57"/>
      <c r="H583" s="57"/>
    </row>
    <row r="584" spans="3:8" ht="14.25" customHeight="1" x14ac:dyDescent="0.25">
      <c r="C584" s="30"/>
      <c r="G584" s="57"/>
      <c r="H584" s="57"/>
    </row>
    <row r="585" spans="3:8" ht="14.25" customHeight="1" x14ac:dyDescent="0.25">
      <c r="C585" s="30"/>
      <c r="G585" s="57"/>
      <c r="H585" s="57"/>
    </row>
    <row r="586" spans="3:8" ht="14.25" customHeight="1" x14ac:dyDescent="0.25">
      <c r="C586" s="30"/>
      <c r="G586" s="57"/>
      <c r="H586" s="57"/>
    </row>
    <row r="587" spans="3:8" ht="14.25" customHeight="1" x14ac:dyDescent="0.25">
      <c r="C587" s="30"/>
      <c r="G587" s="57"/>
      <c r="H587" s="57"/>
    </row>
    <row r="588" spans="3:8" ht="14.25" customHeight="1" x14ac:dyDescent="0.25">
      <c r="C588" s="30"/>
      <c r="G588" s="57"/>
      <c r="H588" s="57"/>
    </row>
    <row r="589" spans="3:8" ht="14.25" customHeight="1" x14ac:dyDescent="0.25">
      <c r="C589" s="30"/>
      <c r="G589" s="57"/>
      <c r="H589" s="57"/>
    </row>
    <row r="590" spans="3:8" ht="14.25" customHeight="1" x14ac:dyDescent="0.25">
      <c r="C590" s="30"/>
      <c r="G590" s="57"/>
      <c r="H590" s="57"/>
    </row>
    <row r="591" spans="3:8" ht="14.25" customHeight="1" x14ac:dyDescent="0.25">
      <c r="C591" s="30"/>
      <c r="G591" s="57"/>
      <c r="H591" s="57"/>
    </row>
    <row r="592" spans="3:8" ht="14.25" customHeight="1" x14ac:dyDescent="0.25">
      <c r="C592" s="30"/>
      <c r="G592" s="57"/>
      <c r="H592" s="57"/>
    </row>
    <row r="593" spans="3:8" ht="14.25" customHeight="1" x14ac:dyDescent="0.25">
      <c r="C593" s="30"/>
      <c r="G593" s="57"/>
      <c r="H593" s="57"/>
    </row>
    <row r="594" spans="3:8" ht="14.25" customHeight="1" x14ac:dyDescent="0.25">
      <c r="C594" s="30"/>
      <c r="G594" s="57"/>
      <c r="H594" s="57"/>
    </row>
    <row r="595" spans="3:8" ht="14.25" customHeight="1" x14ac:dyDescent="0.25">
      <c r="C595" s="30"/>
      <c r="G595" s="57"/>
      <c r="H595" s="57"/>
    </row>
    <row r="596" spans="3:8" ht="14.25" customHeight="1" x14ac:dyDescent="0.25">
      <c r="C596" s="30"/>
      <c r="G596" s="57"/>
      <c r="H596" s="57"/>
    </row>
    <row r="597" spans="3:8" ht="14.25" customHeight="1" x14ac:dyDescent="0.25">
      <c r="C597" s="30"/>
      <c r="G597" s="57"/>
      <c r="H597" s="57"/>
    </row>
    <row r="598" spans="3:8" ht="14.25" customHeight="1" x14ac:dyDescent="0.25">
      <c r="C598" s="30"/>
      <c r="G598" s="57"/>
      <c r="H598" s="57"/>
    </row>
    <row r="599" spans="3:8" ht="14.25" customHeight="1" x14ac:dyDescent="0.25">
      <c r="C599" s="30"/>
      <c r="G599" s="57"/>
      <c r="H599" s="57"/>
    </row>
    <row r="600" spans="3:8" ht="14.25" customHeight="1" x14ac:dyDescent="0.25">
      <c r="C600" s="30"/>
      <c r="G600" s="57"/>
      <c r="H600" s="57"/>
    </row>
    <row r="601" spans="3:8" ht="14.25" customHeight="1" x14ac:dyDescent="0.25">
      <c r="C601" s="30"/>
      <c r="G601" s="57"/>
      <c r="H601" s="57"/>
    </row>
    <row r="602" spans="3:8" ht="14.25" customHeight="1" x14ac:dyDescent="0.25">
      <c r="C602" s="30"/>
      <c r="G602" s="57"/>
      <c r="H602" s="57"/>
    </row>
    <row r="603" spans="3:8" ht="14.25" customHeight="1" x14ac:dyDescent="0.25">
      <c r="C603" s="30"/>
      <c r="G603" s="57"/>
      <c r="H603" s="57"/>
    </row>
    <row r="604" spans="3:8" ht="14.25" customHeight="1" x14ac:dyDescent="0.25">
      <c r="C604" s="30"/>
      <c r="G604" s="57"/>
      <c r="H604" s="57"/>
    </row>
    <row r="605" spans="3:8" ht="14.25" customHeight="1" x14ac:dyDescent="0.25">
      <c r="C605" s="30"/>
      <c r="G605" s="57"/>
      <c r="H605" s="57"/>
    </row>
    <row r="606" spans="3:8" ht="14.25" customHeight="1" x14ac:dyDescent="0.25">
      <c r="C606" s="30"/>
      <c r="G606" s="57"/>
      <c r="H606" s="57"/>
    </row>
    <row r="607" spans="3:8" ht="14.25" customHeight="1" x14ac:dyDescent="0.25">
      <c r="C607" s="30"/>
      <c r="G607" s="57"/>
      <c r="H607" s="57"/>
    </row>
    <row r="608" spans="3:8" ht="14.25" customHeight="1" x14ac:dyDescent="0.25">
      <c r="C608" s="30"/>
      <c r="G608" s="57"/>
      <c r="H608" s="57"/>
    </row>
    <row r="609" spans="3:8" ht="14.25" customHeight="1" x14ac:dyDescent="0.25">
      <c r="C609" s="30"/>
      <c r="G609" s="57"/>
      <c r="H609" s="57"/>
    </row>
    <row r="610" spans="3:8" ht="14.25" customHeight="1" x14ac:dyDescent="0.25">
      <c r="C610" s="30"/>
      <c r="G610" s="57"/>
      <c r="H610" s="57"/>
    </row>
    <row r="611" spans="3:8" ht="14.25" customHeight="1" x14ac:dyDescent="0.25">
      <c r="C611" s="30"/>
      <c r="G611" s="57"/>
      <c r="H611" s="57"/>
    </row>
    <row r="612" spans="3:8" ht="14.25" customHeight="1" x14ac:dyDescent="0.25">
      <c r="C612" s="30"/>
      <c r="G612" s="57"/>
      <c r="H612" s="57"/>
    </row>
    <row r="613" spans="3:8" ht="14.25" customHeight="1" x14ac:dyDescent="0.25">
      <c r="C613" s="30"/>
      <c r="G613" s="57"/>
      <c r="H613" s="57"/>
    </row>
    <row r="614" spans="3:8" ht="14.25" customHeight="1" x14ac:dyDescent="0.25">
      <c r="C614" s="30"/>
      <c r="G614" s="57"/>
      <c r="H614" s="57"/>
    </row>
    <row r="615" spans="3:8" ht="14.25" customHeight="1" x14ac:dyDescent="0.25">
      <c r="C615" s="30"/>
      <c r="G615" s="57"/>
      <c r="H615" s="57"/>
    </row>
    <row r="616" spans="3:8" ht="14.25" customHeight="1" x14ac:dyDescent="0.25">
      <c r="C616" s="30"/>
      <c r="G616" s="57"/>
      <c r="H616" s="57"/>
    </row>
    <row r="617" spans="3:8" ht="14.25" customHeight="1" x14ac:dyDescent="0.25">
      <c r="C617" s="30"/>
      <c r="G617" s="57"/>
      <c r="H617" s="57"/>
    </row>
    <row r="618" spans="3:8" ht="14.25" customHeight="1" x14ac:dyDescent="0.25">
      <c r="C618" s="30"/>
      <c r="G618" s="57"/>
      <c r="H618" s="57"/>
    </row>
    <row r="619" spans="3:8" ht="14.25" customHeight="1" x14ac:dyDescent="0.25">
      <c r="C619" s="30"/>
      <c r="G619" s="57"/>
      <c r="H619" s="57"/>
    </row>
    <row r="620" spans="3:8" ht="14.25" customHeight="1" x14ac:dyDescent="0.25">
      <c r="C620" s="30"/>
      <c r="G620" s="57"/>
      <c r="H620" s="57"/>
    </row>
    <row r="621" spans="3:8" ht="14.25" customHeight="1" x14ac:dyDescent="0.25">
      <c r="C621" s="30"/>
      <c r="G621" s="57"/>
      <c r="H621" s="57"/>
    </row>
    <row r="622" spans="3:8" ht="14.25" customHeight="1" x14ac:dyDescent="0.25">
      <c r="C622" s="30"/>
      <c r="G622" s="57"/>
      <c r="H622" s="57"/>
    </row>
    <row r="623" spans="3:8" ht="14.25" customHeight="1" x14ac:dyDescent="0.25">
      <c r="C623" s="30"/>
      <c r="G623" s="57"/>
      <c r="H623" s="57"/>
    </row>
    <row r="624" spans="3:8" ht="14.25" customHeight="1" x14ac:dyDescent="0.25">
      <c r="C624" s="30"/>
      <c r="G624" s="57"/>
      <c r="H624" s="57"/>
    </row>
    <row r="625" spans="3:8" ht="14.25" customHeight="1" x14ac:dyDescent="0.25">
      <c r="C625" s="30"/>
      <c r="G625" s="57"/>
      <c r="H625" s="57"/>
    </row>
    <row r="626" spans="3:8" ht="14.25" customHeight="1" x14ac:dyDescent="0.25">
      <c r="C626" s="30"/>
      <c r="G626" s="57"/>
      <c r="H626" s="57"/>
    </row>
    <row r="627" spans="3:8" ht="14.25" customHeight="1" x14ac:dyDescent="0.25">
      <c r="C627" s="30"/>
      <c r="G627" s="57"/>
      <c r="H627" s="57"/>
    </row>
    <row r="628" spans="3:8" ht="14.25" customHeight="1" x14ac:dyDescent="0.25">
      <c r="C628" s="30"/>
      <c r="G628" s="57"/>
      <c r="H628" s="57"/>
    </row>
    <row r="629" spans="3:8" ht="14.25" customHeight="1" x14ac:dyDescent="0.25">
      <c r="C629" s="30"/>
      <c r="G629" s="57"/>
      <c r="H629" s="57"/>
    </row>
    <row r="630" spans="3:8" ht="14.25" customHeight="1" x14ac:dyDescent="0.25">
      <c r="C630" s="30"/>
      <c r="G630" s="57"/>
      <c r="H630" s="57"/>
    </row>
    <row r="631" spans="3:8" ht="14.25" customHeight="1" x14ac:dyDescent="0.25">
      <c r="C631" s="30"/>
      <c r="G631" s="57"/>
      <c r="H631" s="57"/>
    </row>
    <row r="632" spans="3:8" ht="14.25" customHeight="1" x14ac:dyDescent="0.25">
      <c r="C632" s="30"/>
      <c r="G632" s="57"/>
      <c r="H632" s="57"/>
    </row>
    <row r="633" spans="3:8" ht="14.25" customHeight="1" x14ac:dyDescent="0.25">
      <c r="C633" s="30"/>
      <c r="G633" s="57"/>
      <c r="H633" s="57"/>
    </row>
    <row r="634" spans="3:8" ht="14.25" customHeight="1" x14ac:dyDescent="0.25">
      <c r="C634" s="30"/>
      <c r="G634" s="57"/>
      <c r="H634" s="57"/>
    </row>
    <row r="635" spans="3:8" ht="14.25" customHeight="1" x14ac:dyDescent="0.25">
      <c r="C635" s="30"/>
      <c r="G635" s="57"/>
      <c r="H635" s="57"/>
    </row>
    <row r="636" spans="3:8" ht="14.25" customHeight="1" x14ac:dyDescent="0.25">
      <c r="C636" s="30"/>
      <c r="G636" s="57"/>
      <c r="H636" s="57"/>
    </row>
    <row r="637" spans="3:8" ht="14.25" customHeight="1" x14ac:dyDescent="0.25">
      <c r="C637" s="30"/>
      <c r="G637" s="57"/>
      <c r="H637" s="57"/>
    </row>
    <row r="638" spans="3:8" ht="14.25" customHeight="1" x14ac:dyDescent="0.25">
      <c r="C638" s="30"/>
      <c r="G638" s="57"/>
      <c r="H638" s="57"/>
    </row>
    <row r="639" spans="3:8" ht="14.25" customHeight="1" x14ac:dyDescent="0.25">
      <c r="C639" s="30"/>
      <c r="G639" s="57"/>
      <c r="H639" s="57"/>
    </row>
    <row r="640" spans="3:8" ht="14.25" customHeight="1" x14ac:dyDescent="0.25">
      <c r="C640" s="30"/>
      <c r="G640" s="57"/>
      <c r="H640" s="57"/>
    </row>
    <row r="641" spans="3:8" ht="14.25" customHeight="1" x14ac:dyDescent="0.25">
      <c r="C641" s="30"/>
      <c r="G641" s="57"/>
      <c r="H641" s="57"/>
    </row>
    <row r="642" spans="3:8" ht="14.25" customHeight="1" x14ac:dyDescent="0.25">
      <c r="C642" s="30"/>
      <c r="G642" s="57"/>
      <c r="H642" s="57"/>
    </row>
    <row r="643" spans="3:8" ht="14.25" customHeight="1" x14ac:dyDescent="0.25">
      <c r="C643" s="30"/>
      <c r="G643" s="57"/>
      <c r="H643" s="57"/>
    </row>
    <row r="644" spans="3:8" ht="14.25" customHeight="1" x14ac:dyDescent="0.25">
      <c r="C644" s="30"/>
      <c r="G644" s="57"/>
      <c r="H644" s="57"/>
    </row>
    <row r="645" spans="3:8" ht="14.25" customHeight="1" x14ac:dyDescent="0.25">
      <c r="C645" s="30"/>
      <c r="G645" s="57"/>
      <c r="H645" s="57"/>
    </row>
    <row r="646" spans="3:8" ht="14.25" customHeight="1" x14ac:dyDescent="0.25">
      <c r="C646" s="30"/>
      <c r="G646" s="57"/>
      <c r="H646" s="57"/>
    </row>
    <row r="647" spans="3:8" ht="14.25" customHeight="1" x14ac:dyDescent="0.25">
      <c r="C647" s="30"/>
      <c r="G647" s="57"/>
      <c r="H647" s="57"/>
    </row>
    <row r="648" spans="3:8" ht="14.25" customHeight="1" x14ac:dyDescent="0.25">
      <c r="C648" s="30"/>
      <c r="G648" s="57"/>
      <c r="H648" s="57"/>
    </row>
    <row r="649" spans="3:8" ht="14.25" customHeight="1" x14ac:dyDescent="0.25">
      <c r="C649" s="30"/>
      <c r="G649" s="57"/>
      <c r="H649" s="57"/>
    </row>
    <row r="650" spans="3:8" ht="14.25" customHeight="1" x14ac:dyDescent="0.25">
      <c r="C650" s="30"/>
      <c r="G650" s="57"/>
      <c r="H650" s="57"/>
    </row>
    <row r="651" spans="3:8" ht="14.25" customHeight="1" x14ac:dyDescent="0.25">
      <c r="C651" s="30"/>
      <c r="G651" s="57"/>
      <c r="H651" s="57"/>
    </row>
    <row r="652" spans="3:8" ht="14.25" customHeight="1" x14ac:dyDescent="0.25">
      <c r="C652" s="30"/>
      <c r="G652" s="57"/>
      <c r="H652" s="57"/>
    </row>
    <row r="653" spans="3:8" ht="14.25" customHeight="1" x14ac:dyDescent="0.25">
      <c r="C653" s="30"/>
      <c r="G653" s="57"/>
      <c r="H653" s="57"/>
    </row>
    <row r="654" spans="3:8" ht="14.25" customHeight="1" x14ac:dyDescent="0.25">
      <c r="C654" s="30"/>
      <c r="G654" s="57"/>
      <c r="H654" s="57"/>
    </row>
    <row r="655" spans="3:8" ht="14.25" customHeight="1" x14ac:dyDescent="0.25">
      <c r="C655" s="30"/>
      <c r="G655" s="57"/>
      <c r="H655" s="57"/>
    </row>
    <row r="656" spans="3:8" ht="14.25" customHeight="1" x14ac:dyDescent="0.25">
      <c r="C656" s="30"/>
      <c r="G656" s="57"/>
      <c r="H656" s="57"/>
    </row>
    <row r="657" spans="3:8" ht="14.25" customHeight="1" x14ac:dyDescent="0.25">
      <c r="C657" s="30"/>
      <c r="G657" s="57"/>
      <c r="H657" s="57"/>
    </row>
    <row r="658" spans="3:8" ht="14.25" customHeight="1" x14ac:dyDescent="0.25">
      <c r="C658" s="30"/>
      <c r="G658" s="57"/>
      <c r="H658" s="57"/>
    </row>
    <row r="659" spans="3:8" ht="14.25" customHeight="1" x14ac:dyDescent="0.25">
      <c r="C659" s="30"/>
      <c r="G659" s="57"/>
      <c r="H659" s="57"/>
    </row>
    <row r="660" spans="3:8" ht="14.25" customHeight="1" x14ac:dyDescent="0.25">
      <c r="C660" s="30"/>
      <c r="G660" s="57"/>
      <c r="H660" s="57"/>
    </row>
    <row r="661" spans="3:8" ht="14.25" customHeight="1" x14ac:dyDescent="0.25">
      <c r="C661" s="30"/>
      <c r="G661" s="57"/>
      <c r="H661" s="57"/>
    </row>
    <row r="662" spans="3:8" ht="14.25" customHeight="1" x14ac:dyDescent="0.25">
      <c r="C662" s="30"/>
      <c r="G662" s="57"/>
      <c r="H662" s="57"/>
    </row>
    <row r="663" spans="3:8" ht="14.25" customHeight="1" x14ac:dyDescent="0.25">
      <c r="C663" s="30"/>
      <c r="G663" s="57"/>
      <c r="H663" s="57"/>
    </row>
    <row r="664" spans="3:8" ht="14.25" customHeight="1" x14ac:dyDescent="0.25">
      <c r="C664" s="30"/>
      <c r="G664" s="57"/>
      <c r="H664" s="57"/>
    </row>
    <row r="665" spans="3:8" ht="14.25" customHeight="1" x14ac:dyDescent="0.25">
      <c r="C665" s="30"/>
      <c r="G665" s="57"/>
      <c r="H665" s="57"/>
    </row>
    <row r="666" spans="3:8" ht="14.25" customHeight="1" x14ac:dyDescent="0.25">
      <c r="C666" s="30"/>
      <c r="G666" s="57"/>
      <c r="H666" s="57"/>
    </row>
    <row r="667" spans="3:8" ht="14.25" customHeight="1" x14ac:dyDescent="0.25">
      <c r="C667" s="30"/>
      <c r="G667" s="57"/>
      <c r="H667" s="57"/>
    </row>
    <row r="668" spans="3:8" ht="14.25" customHeight="1" x14ac:dyDescent="0.25">
      <c r="C668" s="30"/>
      <c r="G668" s="57"/>
      <c r="H668" s="57"/>
    </row>
    <row r="669" spans="3:8" ht="14.25" customHeight="1" x14ac:dyDescent="0.25">
      <c r="C669" s="30"/>
      <c r="G669" s="57"/>
      <c r="H669" s="57"/>
    </row>
    <row r="670" spans="3:8" ht="14.25" customHeight="1" x14ac:dyDescent="0.25">
      <c r="C670" s="30"/>
      <c r="G670" s="57"/>
      <c r="H670" s="57"/>
    </row>
    <row r="671" spans="3:8" ht="14.25" customHeight="1" x14ac:dyDescent="0.25">
      <c r="C671" s="30"/>
      <c r="G671" s="57"/>
      <c r="H671" s="57"/>
    </row>
    <row r="672" spans="3:8" ht="14.25" customHeight="1" x14ac:dyDescent="0.25">
      <c r="C672" s="30"/>
      <c r="G672" s="57"/>
      <c r="H672" s="57"/>
    </row>
    <row r="673" spans="3:8" ht="14.25" customHeight="1" x14ac:dyDescent="0.25">
      <c r="C673" s="30"/>
      <c r="G673" s="57"/>
      <c r="H673" s="57"/>
    </row>
    <row r="674" spans="3:8" ht="14.25" customHeight="1" x14ac:dyDescent="0.25">
      <c r="C674" s="30"/>
      <c r="G674" s="57"/>
      <c r="H674" s="57"/>
    </row>
    <row r="675" spans="3:8" ht="14.25" customHeight="1" x14ac:dyDescent="0.25">
      <c r="C675" s="30"/>
      <c r="G675" s="57"/>
      <c r="H675" s="57"/>
    </row>
    <row r="676" spans="3:8" ht="14.25" customHeight="1" x14ac:dyDescent="0.25">
      <c r="C676" s="30"/>
      <c r="G676" s="57"/>
      <c r="H676" s="57"/>
    </row>
    <row r="677" spans="3:8" ht="14.25" customHeight="1" x14ac:dyDescent="0.25">
      <c r="C677" s="30"/>
      <c r="G677" s="57"/>
      <c r="H677" s="57"/>
    </row>
    <row r="678" spans="3:8" ht="14.25" customHeight="1" x14ac:dyDescent="0.25">
      <c r="C678" s="30"/>
      <c r="G678" s="57"/>
      <c r="H678" s="57"/>
    </row>
    <row r="679" spans="3:8" ht="14.25" customHeight="1" x14ac:dyDescent="0.25">
      <c r="C679" s="30"/>
      <c r="G679" s="57"/>
      <c r="H679" s="57"/>
    </row>
    <row r="680" spans="3:8" ht="14.25" customHeight="1" x14ac:dyDescent="0.25">
      <c r="C680" s="30"/>
      <c r="G680" s="57"/>
      <c r="H680" s="57"/>
    </row>
    <row r="681" spans="3:8" ht="14.25" customHeight="1" x14ac:dyDescent="0.25">
      <c r="C681" s="30"/>
      <c r="G681" s="57"/>
      <c r="H681" s="57"/>
    </row>
    <row r="682" spans="3:8" ht="14.25" customHeight="1" x14ac:dyDescent="0.25">
      <c r="C682" s="30"/>
      <c r="G682" s="57"/>
      <c r="H682" s="57"/>
    </row>
    <row r="683" spans="3:8" ht="14.25" customHeight="1" x14ac:dyDescent="0.25">
      <c r="C683" s="30"/>
      <c r="G683" s="57"/>
      <c r="H683" s="57"/>
    </row>
    <row r="684" spans="3:8" ht="14.25" customHeight="1" x14ac:dyDescent="0.25">
      <c r="C684" s="30"/>
      <c r="G684" s="57"/>
      <c r="H684" s="57"/>
    </row>
    <row r="685" spans="3:8" ht="14.25" customHeight="1" x14ac:dyDescent="0.25">
      <c r="C685" s="30"/>
      <c r="G685" s="57"/>
      <c r="H685" s="57"/>
    </row>
    <row r="686" spans="3:8" ht="14.25" customHeight="1" x14ac:dyDescent="0.25">
      <c r="C686" s="30"/>
      <c r="G686" s="57"/>
      <c r="H686" s="57"/>
    </row>
    <row r="687" spans="3:8" ht="14.25" customHeight="1" x14ac:dyDescent="0.25">
      <c r="C687" s="30"/>
      <c r="G687" s="57"/>
      <c r="H687" s="57"/>
    </row>
    <row r="688" spans="3:8" ht="14.25" customHeight="1" x14ac:dyDescent="0.25">
      <c r="C688" s="30"/>
      <c r="G688" s="57"/>
      <c r="H688" s="57"/>
    </row>
    <row r="689" spans="3:8" ht="14.25" customHeight="1" x14ac:dyDescent="0.25">
      <c r="C689" s="30"/>
      <c r="G689" s="57"/>
      <c r="H689" s="57"/>
    </row>
    <row r="690" spans="3:8" ht="14.25" customHeight="1" x14ac:dyDescent="0.25">
      <c r="C690" s="30"/>
      <c r="G690" s="57"/>
      <c r="H690" s="57"/>
    </row>
    <row r="691" spans="3:8" ht="14.25" customHeight="1" x14ac:dyDescent="0.25">
      <c r="C691" s="30"/>
      <c r="G691" s="57"/>
      <c r="H691" s="57"/>
    </row>
    <row r="692" spans="3:8" ht="14.25" customHeight="1" x14ac:dyDescent="0.25">
      <c r="C692" s="30"/>
      <c r="G692" s="57"/>
      <c r="H692" s="57"/>
    </row>
    <row r="693" spans="3:8" ht="14.25" customHeight="1" x14ac:dyDescent="0.25">
      <c r="C693" s="30"/>
      <c r="G693" s="57"/>
      <c r="H693" s="57"/>
    </row>
    <row r="694" spans="3:8" ht="14.25" customHeight="1" x14ac:dyDescent="0.25">
      <c r="C694" s="30"/>
      <c r="G694" s="57"/>
      <c r="H694" s="57"/>
    </row>
    <row r="695" spans="3:8" ht="14.25" customHeight="1" x14ac:dyDescent="0.25">
      <c r="C695" s="30"/>
      <c r="G695" s="57"/>
      <c r="H695" s="57"/>
    </row>
    <row r="696" spans="3:8" ht="14.25" customHeight="1" x14ac:dyDescent="0.25">
      <c r="C696" s="30"/>
      <c r="G696" s="57"/>
      <c r="H696" s="57"/>
    </row>
    <row r="697" spans="3:8" ht="14.25" customHeight="1" x14ac:dyDescent="0.25">
      <c r="C697" s="30"/>
      <c r="G697" s="57"/>
      <c r="H697" s="57"/>
    </row>
    <row r="698" spans="3:8" ht="14.25" customHeight="1" x14ac:dyDescent="0.25">
      <c r="C698" s="30"/>
      <c r="G698" s="57"/>
      <c r="H698" s="57"/>
    </row>
    <row r="699" spans="3:8" ht="14.25" customHeight="1" x14ac:dyDescent="0.25">
      <c r="C699" s="30"/>
      <c r="G699" s="57"/>
      <c r="H699" s="57"/>
    </row>
    <row r="700" spans="3:8" ht="14.25" customHeight="1" x14ac:dyDescent="0.25">
      <c r="C700" s="30"/>
      <c r="G700" s="57"/>
      <c r="H700" s="57"/>
    </row>
    <row r="701" spans="3:8" ht="14.25" customHeight="1" x14ac:dyDescent="0.25">
      <c r="C701" s="30"/>
      <c r="G701" s="57"/>
      <c r="H701" s="57"/>
    </row>
    <row r="702" spans="3:8" ht="14.25" customHeight="1" x14ac:dyDescent="0.25">
      <c r="C702" s="30"/>
      <c r="G702" s="57"/>
      <c r="H702" s="57"/>
    </row>
    <row r="703" spans="3:8" ht="14.25" customHeight="1" x14ac:dyDescent="0.25">
      <c r="C703" s="30"/>
      <c r="G703" s="57"/>
      <c r="H703" s="57"/>
    </row>
    <row r="704" spans="3:8" ht="14.25" customHeight="1" x14ac:dyDescent="0.25">
      <c r="C704" s="30"/>
      <c r="G704" s="57"/>
      <c r="H704" s="57"/>
    </row>
    <row r="705" spans="3:8" ht="14.25" customHeight="1" x14ac:dyDescent="0.25">
      <c r="C705" s="30"/>
      <c r="G705" s="57"/>
      <c r="H705" s="57"/>
    </row>
    <row r="706" spans="3:8" ht="14.25" customHeight="1" x14ac:dyDescent="0.25">
      <c r="C706" s="30"/>
      <c r="G706" s="57"/>
      <c r="H706" s="57"/>
    </row>
    <row r="707" spans="3:8" ht="14.25" customHeight="1" x14ac:dyDescent="0.25">
      <c r="C707" s="30"/>
      <c r="G707" s="57"/>
      <c r="H707" s="57"/>
    </row>
    <row r="708" spans="3:8" ht="14.25" customHeight="1" x14ac:dyDescent="0.25">
      <c r="C708" s="30"/>
      <c r="G708" s="57"/>
      <c r="H708" s="57"/>
    </row>
    <row r="709" spans="3:8" ht="14.25" customHeight="1" x14ac:dyDescent="0.25">
      <c r="C709" s="30"/>
      <c r="G709" s="57"/>
      <c r="H709" s="57"/>
    </row>
    <row r="710" spans="3:8" ht="14.25" customHeight="1" x14ac:dyDescent="0.25">
      <c r="C710" s="30"/>
      <c r="G710" s="57"/>
      <c r="H710" s="57"/>
    </row>
    <row r="711" spans="3:8" ht="14.25" customHeight="1" x14ac:dyDescent="0.25">
      <c r="C711" s="30"/>
      <c r="G711" s="57"/>
      <c r="H711" s="57"/>
    </row>
    <row r="712" spans="3:8" ht="14.25" customHeight="1" x14ac:dyDescent="0.25">
      <c r="C712" s="30"/>
      <c r="G712" s="57"/>
      <c r="H712" s="57"/>
    </row>
    <row r="713" spans="3:8" ht="14.25" customHeight="1" x14ac:dyDescent="0.25">
      <c r="C713" s="30"/>
      <c r="G713" s="57"/>
      <c r="H713" s="57"/>
    </row>
    <row r="714" spans="3:8" ht="14.25" customHeight="1" x14ac:dyDescent="0.25">
      <c r="C714" s="30"/>
      <c r="G714" s="57"/>
      <c r="H714" s="57"/>
    </row>
    <row r="715" spans="3:8" ht="14.25" customHeight="1" x14ac:dyDescent="0.25">
      <c r="C715" s="30"/>
      <c r="G715" s="57"/>
      <c r="H715" s="57"/>
    </row>
    <row r="716" spans="3:8" ht="14.25" customHeight="1" x14ac:dyDescent="0.25">
      <c r="C716" s="30"/>
      <c r="G716" s="57"/>
      <c r="H716" s="57"/>
    </row>
    <row r="717" spans="3:8" ht="14.25" customHeight="1" x14ac:dyDescent="0.25">
      <c r="C717" s="30"/>
      <c r="G717" s="57"/>
      <c r="H717" s="57"/>
    </row>
    <row r="718" spans="3:8" ht="14.25" customHeight="1" x14ac:dyDescent="0.25">
      <c r="C718" s="30"/>
      <c r="G718" s="57"/>
      <c r="H718" s="57"/>
    </row>
    <row r="719" spans="3:8" ht="14.25" customHeight="1" x14ac:dyDescent="0.25">
      <c r="C719" s="30"/>
      <c r="G719" s="57"/>
      <c r="H719" s="57"/>
    </row>
    <row r="720" spans="3:8" ht="14.25" customHeight="1" x14ac:dyDescent="0.25">
      <c r="C720" s="30"/>
      <c r="G720" s="57"/>
      <c r="H720" s="57"/>
    </row>
    <row r="721" spans="3:8" ht="14.25" customHeight="1" x14ac:dyDescent="0.25">
      <c r="C721" s="30"/>
      <c r="G721" s="57"/>
      <c r="H721" s="57"/>
    </row>
    <row r="722" spans="3:8" ht="14.25" customHeight="1" x14ac:dyDescent="0.25">
      <c r="C722" s="30"/>
      <c r="G722" s="57"/>
      <c r="H722" s="57"/>
    </row>
    <row r="723" spans="3:8" ht="14.25" customHeight="1" x14ac:dyDescent="0.25">
      <c r="C723" s="30"/>
      <c r="G723" s="57"/>
      <c r="H723" s="57"/>
    </row>
    <row r="724" spans="3:8" ht="14.25" customHeight="1" x14ac:dyDescent="0.25">
      <c r="C724" s="30"/>
      <c r="G724" s="57"/>
      <c r="H724" s="57"/>
    </row>
    <row r="725" spans="3:8" ht="14.25" customHeight="1" x14ac:dyDescent="0.25">
      <c r="C725" s="30"/>
      <c r="G725" s="57"/>
      <c r="H725" s="57"/>
    </row>
    <row r="726" spans="3:8" ht="14.25" customHeight="1" x14ac:dyDescent="0.25">
      <c r="C726" s="30"/>
      <c r="G726" s="57"/>
      <c r="H726" s="57"/>
    </row>
    <row r="727" spans="3:8" ht="14.25" customHeight="1" x14ac:dyDescent="0.25">
      <c r="C727" s="30"/>
      <c r="G727" s="57"/>
      <c r="H727" s="57"/>
    </row>
    <row r="728" spans="3:8" ht="14.25" customHeight="1" x14ac:dyDescent="0.25">
      <c r="C728" s="30"/>
      <c r="G728" s="57"/>
      <c r="H728" s="57"/>
    </row>
    <row r="729" spans="3:8" ht="14.25" customHeight="1" x14ac:dyDescent="0.25">
      <c r="C729" s="30"/>
      <c r="G729" s="57"/>
      <c r="H729" s="57"/>
    </row>
    <row r="730" spans="3:8" ht="14.25" customHeight="1" x14ac:dyDescent="0.25">
      <c r="C730" s="30"/>
      <c r="G730" s="57"/>
      <c r="H730" s="57"/>
    </row>
    <row r="731" spans="3:8" ht="14.25" customHeight="1" x14ac:dyDescent="0.25">
      <c r="C731" s="30"/>
      <c r="G731" s="57"/>
      <c r="H731" s="57"/>
    </row>
    <row r="732" spans="3:8" ht="14.25" customHeight="1" x14ac:dyDescent="0.25">
      <c r="C732" s="30"/>
      <c r="G732" s="57"/>
      <c r="H732" s="57"/>
    </row>
    <row r="733" spans="3:8" ht="14.25" customHeight="1" x14ac:dyDescent="0.25">
      <c r="C733" s="30"/>
      <c r="G733" s="57"/>
      <c r="H733" s="57"/>
    </row>
    <row r="734" spans="3:8" ht="14.25" customHeight="1" x14ac:dyDescent="0.25">
      <c r="C734" s="30"/>
      <c r="G734" s="57"/>
      <c r="H734" s="57"/>
    </row>
    <row r="735" spans="3:8" ht="14.25" customHeight="1" x14ac:dyDescent="0.25">
      <c r="C735" s="30"/>
      <c r="G735" s="57"/>
      <c r="H735" s="57"/>
    </row>
    <row r="736" spans="3:8" ht="14.25" customHeight="1" x14ac:dyDescent="0.25">
      <c r="C736" s="30"/>
      <c r="G736" s="57"/>
      <c r="H736" s="57"/>
    </row>
    <row r="737" spans="3:8" ht="14.25" customHeight="1" x14ac:dyDescent="0.25">
      <c r="C737" s="30"/>
      <c r="G737" s="57"/>
      <c r="H737" s="57"/>
    </row>
    <row r="738" spans="3:8" ht="14.25" customHeight="1" x14ac:dyDescent="0.25">
      <c r="C738" s="30"/>
      <c r="G738" s="57"/>
      <c r="H738" s="57"/>
    </row>
    <row r="739" spans="3:8" ht="14.25" customHeight="1" x14ac:dyDescent="0.25">
      <c r="C739" s="30"/>
      <c r="G739" s="57"/>
      <c r="H739" s="57"/>
    </row>
    <row r="740" spans="3:8" ht="14.25" customHeight="1" x14ac:dyDescent="0.25">
      <c r="C740" s="30"/>
      <c r="G740" s="57"/>
      <c r="H740" s="57"/>
    </row>
    <row r="741" spans="3:8" ht="14.25" customHeight="1" x14ac:dyDescent="0.25">
      <c r="C741" s="30"/>
      <c r="G741" s="57"/>
      <c r="H741" s="57"/>
    </row>
    <row r="742" spans="3:8" ht="14.25" customHeight="1" x14ac:dyDescent="0.25">
      <c r="C742" s="30"/>
      <c r="G742" s="57"/>
      <c r="H742" s="57"/>
    </row>
    <row r="743" spans="3:8" ht="14.25" customHeight="1" x14ac:dyDescent="0.25">
      <c r="C743" s="30"/>
      <c r="G743" s="57"/>
      <c r="H743" s="57"/>
    </row>
    <row r="744" spans="3:8" ht="14.25" customHeight="1" x14ac:dyDescent="0.25">
      <c r="C744" s="30"/>
      <c r="G744" s="57"/>
      <c r="H744" s="57"/>
    </row>
    <row r="745" spans="3:8" ht="14.25" customHeight="1" x14ac:dyDescent="0.25">
      <c r="C745" s="30"/>
      <c r="G745" s="57"/>
      <c r="H745" s="57"/>
    </row>
    <row r="746" spans="3:8" ht="14.25" customHeight="1" x14ac:dyDescent="0.25">
      <c r="C746" s="30"/>
      <c r="G746" s="57"/>
      <c r="H746" s="57"/>
    </row>
    <row r="747" spans="3:8" ht="14.25" customHeight="1" x14ac:dyDescent="0.25">
      <c r="C747" s="30"/>
      <c r="G747" s="57"/>
      <c r="H747" s="57"/>
    </row>
    <row r="748" spans="3:8" ht="14.25" customHeight="1" x14ac:dyDescent="0.25">
      <c r="C748" s="30"/>
      <c r="G748" s="57"/>
      <c r="H748" s="57"/>
    </row>
    <row r="749" spans="3:8" ht="14.25" customHeight="1" x14ac:dyDescent="0.25">
      <c r="C749" s="30"/>
      <c r="G749" s="57"/>
      <c r="H749" s="57"/>
    </row>
    <row r="750" spans="3:8" ht="14.25" customHeight="1" x14ac:dyDescent="0.25">
      <c r="C750" s="30"/>
      <c r="G750" s="57"/>
      <c r="H750" s="57"/>
    </row>
    <row r="751" spans="3:8" ht="14.25" customHeight="1" x14ac:dyDescent="0.25">
      <c r="C751" s="30"/>
      <c r="G751" s="57"/>
      <c r="H751" s="57"/>
    </row>
    <row r="752" spans="3:8" ht="14.25" customHeight="1" x14ac:dyDescent="0.25">
      <c r="C752" s="30"/>
      <c r="G752" s="57"/>
      <c r="H752" s="57"/>
    </row>
    <row r="753" spans="3:8" ht="14.25" customHeight="1" x14ac:dyDescent="0.25">
      <c r="C753" s="30"/>
      <c r="G753" s="57"/>
      <c r="H753" s="57"/>
    </row>
    <row r="754" spans="3:8" ht="14.25" customHeight="1" x14ac:dyDescent="0.25">
      <c r="C754" s="30"/>
      <c r="G754" s="57"/>
      <c r="H754" s="57"/>
    </row>
    <row r="755" spans="3:8" ht="14.25" customHeight="1" x14ac:dyDescent="0.25">
      <c r="C755" s="30"/>
      <c r="G755" s="57"/>
      <c r="H755" s="57"/>
    </row>
    <row r="756" spans="3:8" ht="14.25" customHeight="1" x14ac:dyDescent="0.25">
      <c r="C756" s="30"/>
      <c r="G756" s="57"/>
      <c r="H756" s="57"/>
    </row>
    <row r="757" spans="3:8" ht="14.25" customHeight="1" x14ac:dyDescent="0.25">
      <c r="C757" s="30"/>
      <c r="G757" s="57"/>
      <c r="H757" s="57"/>
    </row>
    <row r="758" spans="3:8" ht="14.25" customHeight="1" x14ac:dyDescent="0.25">
      <c r="C758" s="30"/>
      <c r="G758" s="57"/>
      <c r="H758" s="57"/>
    </row>
    <row r="759" spans="3:8" ht="14.25" customHeight="1" x14ac:dyDescent="0.25">
      <c r="C759" s="30"/>
      <c r="G759" s="57"/>
      <c r="H759" s="57"/>
    </row>
    <row r="760" spans="3:8" ht="14.25" customHeight="1" x14ac:dyDescent="0.25">
      <c r="C760" s="30"/>
      <c r="G760" s="57"/>
      <c r="H760" s="57"/>
    </row>
    <row r="761" spans="3:8" ht="14.25" customHeight="1" x14ac:dyDescent="0.25">
      <c r="C761" s="30"/>
      <c r="G761" s="57"/>
      <c r="H761" s="57"/>
    </row>
    <row r="762" spans="3:8" ht="14.25" customHeight="1" x14ac:dyDescent="0.25">
      <c r="C762" s="30"/>
      <c r="G762" s="57"/>
      <c r="H762" s="57"/>
    </row>
    <row r="763" spans="3:8" ht="14.25" customHeight="1" x14ac:dyDescent="0.25">
      <c r="C763" s="30"/>
      <c r="G763" s="57"/>
      <c r="H763" s="57"/>
    </row>
    <row r="764" spans="3:8" ht="14.25" customHeight="1" x14ac:dyDescent="0.25">
      <c r="C764" s="30"/>
      <c r="G764" s="57"/>
      <c r="H764" s="57"/>
    </row>
    <row r="765" spans="3:8" ht="14.25" customHeight="1" x14ac:dyDescent="0.25">
      <c r="C765" s="30"/>
      <c r="G765" s="57"/>
      <c r="H765" s="57"/>
    </row>
    <row r="766" spans="3:8" ht="14.25" customHeight="1" x14ac:dyDescent="0.25">
      <c r="C766" s="30"/>
      <c r="G766" s="57"/>
      <c r="H766" s="57"/>
    </row>
    <row r="767" spans="3:8" ht="14.25" customHeight="1" x14ac:dyDescent="0.25">
      <c r="C767" s="30"/>
      <c r="G767" s="57"/>
      <c r="H767" s="57"/>
    </row>
    <row r="768" spans="3:8" ht="14.25" customHeight="1" x14ac:dyDescent="0.25">
      <c r="C768" s="30"/>
      <c r="G768" s="57"/>
      <c r="H768" s="57"/>
    </row>
    <row r="769" spans="3:8" ht="14.25" customHeight="1" x14ac:dyDescent="0.25">
      <c r="C769" s="30"/>
      <c r="G769" s="57"/>
      <c r="H769" s="57"/>
    </row>
    <row r="770" spans="3:8" ht="14.25" customHeight="1" x14ac:dyDescent="0.25">
      <c r="C770" s="30"/>
      <c r="G770" s="57"/>
      <c r="H770" s="57"/>
    </row>
    <row r="771" spans="3:8" ht="14.25" customHeight="1" x14ac:dyDescent="0.25">
      <c r="C771" s="30"/>
      <c r="G771" s="57"/>
      <c r="H771" s="57"/>
    </row>
    <row r="772" spans="3:8" ht="14.25" customHeight="1" x14ac:dyDescent="0.25">
      <c r="C772" s="30"/>
      <c r="G772" s="57"/>
      <c r="H772" s="57"/>
    </row>
    <row r="773" spans="3:8" ht="14.25" customHeight="1" x14ac:dyDescent="0.25">
      <c r="C773" s="30"/>
      <c r="G773" s="57"/>
      <c r="H773" s="57"/>
    </row>
    <row r="774" spans="3:8" ht="14.25" customHeight="1" x14ac:dyDescent="0.25">
      <c r="C774" s="30"/>
      <c r="G774" s="57"/>
      <c r="H774" s="57"/>
    </row>
    <row r="775" spans="3:8" ht="14.25" customHeight="1" x14ac:dyDescent="0.25">
      <c r="C775" s="30"/>
      <c r="G775" s="57"/>
      <c r="H775" s="57"/>
    </row>
    <row r="776" spans="3:8" ht="14.25" customHeight="1" x14ac:dyDescent="0.25">
      <c r="C776" s="30"/>
      <c r="G776" s="57"/>
      <c r="H776" s="57"/>
    </row>
    <row r="777" spans="3:8" ht="14.25" customHeight="1" x14ac:dyDescent="0.25">
      <c r="C777" s="30"/>
      <c r="G777" s="57"/>
      <c r="H777" s="57"/>
    </row>
    <row r="778" spans="3:8" ht="14.25" customHeight="1" x14ac:dyDescent="0.25">
      <c r="C778" s="30"/>
      <c r="G778" s="57"/>
      <c r="H778" s="57"/>
    </row>
    <row r="779" spans="3:8" ht="14.25" customHeight="1" x14ac:dyDescent="0.25">
      <c r="C779" s="30"/>
      <c r="G779" s="57"/>
      <c r="H779" s="57"/>
    </row>
    <row r="780" spans="3:8" ht="14.25" customHeight="1" x14ac:dyDescent="0.25">
      <c r="C780" s="30"/>
      <c r="G780" s="57"/>
      <c r="H780" s="57"/>
    </row>
    <row r="781" spans="3:8" ht="14.25" customHeight="1" x14ac:dyDescent="0.25">
      <c r="C781" s="30"/>
      <c r="G781" s="57"/>
      <c r="H781" s="57"/>
    </row>
    <row r="782" spans="3:8" ht="14.25" customHeight="1" x14ac:dyDescent="0.25">
      <c r="C782" s="30"/>
      <c r="G782" s="57"/>
      <c r="H782" s="57"/>
    </row>
    <row r="783" spans="3:8" ht="14.25" customHeight="1" x14ac:dyDescent="0.25">
      <c r="C783" s="30"/>
      <c r="G783" s="57"/>
      <c r="H783" s="57"/>
    </row>
    <row r="784" spans="3:8" ht="14.25" customHeight="1" x14ac:dyDescent="0.25">
      <c r="C784" s="30"/>
      <c r="G784" s="57"/>
      <c r="H784" s="57"/>
    </row>
    <row r="785" spans="3:8" ht="14.25" customHeight="1" x14ac:dyDescent="0.25">
      <c r="C785" s="30"/>
      <c r="G785" s="57"/>
      <c r="H785" s="57"/>
    </row>
    <row r="786" spans="3:8" ht="14.25" customHeight="1" x14ac:dyDescent="0.25">
      <c r="C786" s="30"/>
      <c r="G786" s="57"/>
      <c r="H786" s="57"/>
    </row>
    <row r="787" spans="3:8" ht="14.25" customHeight="1" x14ac:dyDescent="0.25">
      <c r="C787" s="30"/>
      <c r="G787" s="57"/>
      <c r="H787" s="57"/>
    </row>
    <row r="788" spans="3:8" ht="14.25" customHeight="1" x14ac:dyDescent="0.25">
      <c r="C788" s="30"/>
      <c r="G788" s="57"/>
      <c r="H788" s="57"/>
    </row>
    <row r="789" spans="3:8" ht="14.25" customHeight="1" x14ac:dyDescent="0.25">
      <c r="C789" s="30"/>
      <c r="G789" s="57"/>
      <c r="H789" s="57"/>
    </row>
    <row r="790" spans="3:8" ht="14.25" customHeight="1" x14ac:dyDescent="0.25">
      <c r="C790" s="30"/>
      <c r="G790" s="57"/>
      <c r="H790" s="57"/>
    </row>
    <row r="791" spans="3:8" ht="14.25" customHeight="1" x14ac:dyDescent="0.25">
      <c r="C791" s="30"/>
      <c r="G791" s="57"/>
      <c r="H791" s="57"/>
    </row>
    <row r="792" spans="3:8" ht="14.25" customHeight="1" x14ac:dyDescent="0.25">
      <c r="C792" s="30"/>
      <c r="G792" s="57"/>
      <c r="H792" s="57"/>
    </row>
    <row r="793" spans="3:8" ht="14.25" customHeight="1" x14ac:dyDescent="0.25">
      <c r="C793" s="30"/>
      <c r="G793" s="57"/>
      <c r="H793" s="57"/>
    </row>
    <row r="794" spans="3:8" ht="14.25" customHeight="1" x14ac:dyDescent="0.25">
      <c r="C794" s="30"/>
      <c r="G794" s="57"/>
      <c r="H794" s="57"/>
    </row>
    <row r="795" spans="3:8" ht="14.25" customHeight="1" x14ac:dyDescent="0.25">
      <c r="C795" s="30"/>
      <c r="G795" s="57"/>
      <c r="H795" s="57"/>
    </row>
    <row r="796" spans="3:8" ht="14.25" customHeight="1" x14ac:dyDescent="0.25">
      <c r="C796" s="30"/>
      <c r="G796" s="57"/>
      <c r="H796" s="57"/>
    </row>
    <row r="797" spans="3:8" ht="14.25" customHeight="1" x14ac:dyDescent="0.25">
      <c r="C797" s="30"/>
      <c r="G797" s="57"/>
      <c r="H797" s="57"/>
    </row>
    <row r="798" spans="3:8" ht="14.25" customHeight="1" x14ac:dyDescent="0.25">
      <c r="C798" s="30"/>
      <c r="G798" s="57"/>
      <c r="H798" s="57"/>
    </row>
    <row r="799" spans="3:8" ht="14.25" customHeight="1" x14ac:dyDescent="0.25">
      <c r="C799" s="30"/>
      <c r="G799" s="57"/>
      <c r="H799" s="57"/>
    </row>
    <row r="800" spans="3:8" ht="14.25" customHeight="1" x14ac:dyDescent="0.25">
      <c r="C800" s="30"/>
      <c r="G800" s="57"/>
      <c r="H800" s="57"/>
    </row>
    <row r="801" spans="3:8" ht="14.25" customHeight="1" x14ac:dyDescent="0.25">
      <c r="C801" s="30"/>
      <c r="G801" s="57"/>
      <c r="H801" s="57"/>
    </row>
    <row r="802" spans="3:8" ht="14.25" customHeight="1" x14ac:dyDescent="0.25">
      <c r="C802" s="30"/>
      <c r="G802" s="57"/>
      <c r="H802" s="57"/>
    </row>
    <row r="803" spans="3:8" ht="14.25" customHeight="1" x14ac:dyDescent="0.25">
      <c r="C803" s="30"/>
      <c r="G803" s="57"/>
      <c r="H803" s="57"/>
    </row>
    <row r="804" spans="3:8" ht="14.25" customHeight="1" x14ac:dyDescent="0.25">
      <c r="C804" s="30"/>
      <c r="G804" s="57"/>
      <c r="H804" s="57"/>
    </row>
    <row r="805" spans="3:8" ht="14.25" customHeight="1" x14ac:dyDescent="0.25">
      <c r="C805" s="30"/>
      <c r="G805" s="57"/>
      <c r="H805" s="57"/>
    </row>
    <row r="806" spans="3:8" ht="14.25" customHeight="1" x14ac:dyDescent="0.25">
      <c r="C806" s="30"/>
      <c r="G806" s="57"/>
      <c r="H806" s="57"/>
    </row>
    <row r="807" spans="3:8" ht="14.25" customHeight="1" x14ac:dyDescent="0.25">
      <c r="C807" s="30"/>
      <c r="G807" s="57"/>
      <c r="H807" s="57"/>
    </row>
    <row r="808" spans="3:8" ht="14.25" customHeight="1" x14ac:dyDescent="0.25">
      <c r="C808" s="30"/>
      <c r="G808" s="57"/>
      <c r="H808" s="57"/>
    </row>
    <row r="809" spans="3:8" ht="14.25" customHeight="1" x14ac:dyDescent="0.25">
      <c r="C809" s="30"/>
      <c r="G809" s="57"/>
      <c r="H809" s="57"/>
    </row>
    <row r="810" spans="3:8" ht="14.25" customHeight="1" x14ac:dyDescent="0.25">
      <c r="C810" s="30"/>
      <c r="G810" s="57"/>
      <c r="H810" s="57"/>
    </row>
    <row r="811" spans="3:8" ht="14.25" customHeight="1" x14ac:dyDescent="0.25">
      <c r="C811" s="30"/>
      <c r="G811" s="57"/>
      <c r="H811" s="57"/>
    </row>
    <row r="812" spans="3:8" ht="14.25" customHeight="1" x14ac:dyDescent="0.25">
      <c r="C812" s="30"/>
      <c r="G812" s="57"/>
      <c r="H812" s="57"/>
    </row>
    <row r="813" spans="3:8" ht="14.25" customHeight="1" x14ac:dyDescent="0.25">
      <c r="C813" s="30"/>
      <c r="G813" s="57"/>
      <c r="H813" s="57"/>
    </row>
    <row r="814" spans="3:8" ht="14.25" customHeight="1" x14ac:dyDescent="0.25">
      <c r="C814" s="30"/>
      <c r="G814" s="57"/>
      <c r="H814" s="57"/>
    </row>
    <row r="815" spans="3:8" ht="14.25" customHeight="1" x14ac:dyDescent="0.25">
      <c r="C815" s="30"/>
      <c r="G815" s="57"/>
      <c r="H815" s="57"/>
    </row>
    <row r="816" spans="3:8" ht="14.25" customHeight="1" x14ac:dyDescent="0.25">
      <c r="C816" s="30"/>
      <c r="G816" s="57"/>
      <c r="H816" s="57"/>
    </row>
    <row r="817" spans="3:8" ht="14.25" customHeight="1" x14ac:dyDescent="0.25">
      <c r="C817" s="30"/>
      <c r="G817" s="57"/>
      <c r="H817" s="57"/>
    </row>
    <row r="818" spans="3:8" ht="14.25" customHeight="1" x14ac:dyDescent="0.25">
      <c r="C818" s="30"/>
      <c r="G818" s="57"/>
      <c r="H818" s="57"/>
    </row>
    <row r="819" spans="3:8" ht="14.25" customHeight="1" x14ac:dyDescent="0.25">
      <c r="C819" s="30"/>
      <c r="G819" s="57"/>
      <c r="H819" s="57"/>
    </row>
    <row r="820" spans="3:8" ht="14.25" customHeight="1" x14ac:dyDescent="0.25">
      <c r="C820" s="30"/>
      <c r="G820" s="57"/>
      <c r="H820" s="57"/>
    </row>
    <row r="821" spans="3:8" ht="14.25" customHeight="1" x14ac:dyDescent="0.25">
      <c r="C821" s="30"/>
      <c r="G821" s="57"/>
      <c r="H821" s="57"/>
    </row>
    <row r="822" spans="3:8" ht="14.25" customHeight="1" x14ac:dyDescent="0.25">
      <c r="C822" s="30"/>
      <c r="G822" s="57"/>
      <c r="H822" s="57"/>
    </row>
    <row r="823" spans="3:8" ht="14.25" customHeight="1" x14ac:dyDescent="0.25">
      <c r="C823" s="30"/>
      <c r="G823" s="57"/>
      <c r="H823" s="57"/>
    </row>
    <row r="824" spans="3:8" ht="14.25" customHeight="1" x14ac:dyDescent="0.25">
      <c r="C824" s="30"/>
      <c r="G824" s="57"/>
      <c r="H824" s="57"/>
    </row>
    <row r="825" spans="3:8" ht="14.25" customHeight="1" x14ac:dyDescent="0.25">
      <c r="C825" s="30"/>
      <c r="G825" s="57"/>
      <c r="H825" s="57"/>
    </row>
    <row r="826" spans="3:8" ht="14.25" customHeight="1" x14ac:dyDescent="0.25">
      <c r="C826" s="30"/>
      <c r="G826" s="57"/>
      <c r="H826" s="57"/>
    </row>
    <row r="827" spans="3:8" ht="14.25" customHeight="1" x14ac:dyDescent="0.25">
      <c r="C827" s="30"/>
      <c r="G827" s="57"/>
      <c r="H827" s="57"/>
    </row>
    <row r="828" spans="3:8" ht="14.25" customHeight="1" x14ac:dyDescent="0.25">
      <c r="C828" s="30"/>
      <c r="G828" s="57"/>
      <c r="H828" s="57"/>
    </row>
    <row r="829" spans="3:8" ht="14.25" customHeight="1" x14ac:dyDescent="0.25">
      <c r="C829" s="30"/>
      <c r="G829" s="57"/>
      <c r="H829" s="57"/>
    </row>
    <row r="830" spans="3:8" ht="14.25" customHeight="1" x14ac:dyDescent="0.25">
      <c r="C830" s="30"/>
      <c r="G830" s="57"/>
      <c r="H830" s="57"/>
    </row>
    <row r="831" spans="3:8" ht="14.25" customHeight="1" x14ac:dyDescent="0.25">
      <c r="C831" s="30"/>
      <c r="G831" s="57"/>
      <c r="H831" s="57"/>
    </row>
    <row r="832" spans="3:8" ht="14.25" customHeight="1" x14ac:dyDescent="0.25">
      <c r="C832" s="30"/>
      <c r="G832" s="57"/>
      <c r="H832" s="57"/>
    </row>
    <row r="833" spans="3:8" ht="14.25" customHeight="1" x14ac:dyDescent="0.25">
      <c r="C833" s="30"/>
      <c r="G833" s="57"/>
      <c r="H833" s="57"/>
    </row>
    <row r="834" spans="3:8" ht="14.25" customHeight="1" x14ac:dyDescent="0.25">
      <c r="C834" s="30"/>
      <c r="G834" s="57"/>
      <c r="H834" s="57"/>
    </row>
    <row r="835" spans="3:8" ht="14.25" customHeight="1" x14ac:dyDescent="0.25">
      <c r="C835" s="30"/>
      <c r="G835" s="57"/>
      <c r="H835" s="57"/>
    </row>
    <row r="836" spans="3:8" ht="14.25" customHeight="1" x14ac:dyDescent="0.25">
      <c r="C836" s="30"/>
      <c r="G836" s="57"/>
      <c r="H836" s="57"/>
    </row>
    <row r="837" spans="3:8" ht="14.25" customHeight="1" x14ac:dyDescent="0.25">
      <c r="C837" s="30"/>
      <c r="G837" s="57"/>
      <c r="H837" s="57"/>
    </row>
    <row r="838" spans="3:8" ht="14.25" customHeight="1" x14ac:dyDescent="0.25">
      <c r="C838" s="30"/>
      <c r="G838" s="57"/>
      <c r="H838" s="57"/>
    </row>
    <row r="839" spans="3:8" ht="14.25" customHeight="1" x14ac:dyDescent="0.25">
      <c r="C839" s="30"/>
      <c r="G839" s="57"/>
      <c r="H839" s="57"/>
    </row>
    <row r="840" spans="3:8" ht="14.25" customHeight="1" x14ac:dyDescent="0.25">
      <c r="C840" s="30"/>
      <c r="G840" s="57"/>
      <c r="H840" s="57"/>
    </row>
    <row r="841" spans="3:8" ht="14.25" customHeight="1" x14ac:dyDescent="0.25">
      <c r="C841" s="30"/>
      <c r="G841" s="57"/>
      <c r="H841" s="57"/>
    </row>
    <row r="842" spans="3:8" ht="14.25" customHeight="1" x14ac:dyDescent="0.25">
      <c r="C842" s="30"/>
      <c r="G842" s="57"/>
      <c r="H842" s="57"/>
    </row>
    <row r="843" spans="3:8" ht="14.25" customHeight="1" x14ac:dyDescent="0.25">
      <c r="C843" s="30"/>
      <c r="G843" s="57"/>
      <c r="H843" s="57"/>
    </row>
    <row r="844" spans="3:8" ht="14.25" customHeight="1" x14ac:dyDescent="0.25">
      <c r="C844" s="30"/>
      <c r="G844" s="57"/>
      <c r="H844" s="57"/>
    </row>
    <row r="845" spans="3:8" ht="14.25" customHeight="1" x14ac:dyDescent="0.25">
      <c r="C845" s="30"/>
      <c r="G845" s="57"/>
      <c r="H845" s="57"/>
    </row>
    <row r="846" spans="3:8" ht="14.25" customHeight="1" x14ac:dyDescent="0.25">
      <c r="C846" s="30"/>
      <c r="G846" s="57"/>
      <c r="H846" s="57"/>
    </row>
    <row r="847" spans="3:8" ht="14.25" customHeight="1" x14ac:dyDescent="0.25">
      <c r="C847" s="30"/>
      <c r="G847" s="57"/>
      <c r="H847" s="57"/>
    </row>
    <row r="848" spans="3:8" ht="14.25" customHeight="1" x14ac:dyDescent="0.25">
      <c r="C848" s="30"/>
      <c r="G848" s="57"/>
      <c r="H848" s="57"/>
    </row>
    <row r="849" spans="3:8" ht="14.25" customHeight="1" x14ac:dyDescent="0.25">
      <c r="C849" s="30"/>
      <c r="G849" s="57"/>
      <c r="H849" s="57"/>
    </row>
    <row r="850" spans="3:8" ht="14.25" customHeight="1" x14ac:dyDescent="0.25">
      <c r="C850" s="30"/>
      <c r="G850" s="57"/>
      <c r="H850" s="57"/>
    </row>
    <row r="851" spans="3:8" ht="14.25" customHeight="1" x14ac:dyDescent="0.25">
      <c r="C851" s="30"/>
      <c r="G851" s="57"/>
      <c r="H851" s="57"/>
    </row>
    <row r="852" spans="3:8" ht="14.25" customHeight="1" x14ac:dyDescent="0.25">
      <c r="C852" s="30"/>
      <c r="G852" s="57"/>
      <c r="H852" s="57"/>
    </row>
    <row r="853" spans="3:8" ht="14.25" customHeight="1" x14ac:dyDescent="0.25">
      <c r="C853" s="30"/>
      <c r="G853" s="57"/>
      <c r="H853" s="57"/>
    </row>
    <row r="854" spans="3:8" ht="14.25" customHeight="1" x14ac:dyDescent="0.25">
      <c r="C854" s="30"/>
      <c r="G854" s="57"/>
      <c r="H854" s="57"/>
    </row>
    <row r="855" spans="3:8" ht="14.25" customHeight="1" x14ac:dyDescent="0.25">
      <c r="C855" s="30"/>
      <c r="G855" s="57"/>
      <c r="H855" s="57"/>
    </row>
    <row r="856" spans="3:8" ht="14.25" customHeight="1" x14ac:dyDescent="0.25">
      <c r="C856" s="30"/>
      <c r="G856" s="57"/>
      <c r="H856" s="57"/>
    </row>
    <row r="857" spans="3:8" ht="14.25" customHeight="1" x14ac:dyDescent="0.25">
      <c r="C857" s="30"/>
      <c r="G857" s="57"/>
      <c r="H857" s="57"/>
    </row>
    <row r="858" spans="3:8" ht="14.25" customHeight="1" x14ac:dyDescent="0.25">
      <c r="C858" s="30"/>
      <c r="G858" s="57"/>
      <c r="H858" s="57"/>
    </row>
    <row r="859" spans="3:8" ht="14.25" customHeight="1" x14ac:dyDescent="0.25">
      <c r="C859" s="30"/>
      <c r="G859" s="57"/>
      <c r="H859" s="57"/>
    </row>
    <row r="860" spans="3:8" ht="14.25" customHeight="1" x14ac:dyDescent="0.25">
      <c r="C860" s="30"/>
      <c r="G860" s="57"/>
      <c r="H860" s="57"/>
    </row>
    <row r="861" spans="3:8" ht="14.25" customHeight="1" x14ac:dyDescent="0.25">
      <c r="C861" s="30"/>
      <c r="G861" s="57"/>
      <c r="H861" s="57"/>
    </row>
    <row r="862" spans="3:8" ht="14.25" customHeight="1" x14ac:dyDescent="0.25">
      <c r="C862" s="30"/>
      <c r="G862" s="57"/>
      <c r="H862" s="57"/>
    </row>
    <row r="863" spans="3:8" ht="14.25" customHeight="1" x14ac:dyDescent="0.25">
      <c r="C863" s="30"/>
      <c r="G863" s="57"/>
      <c r="H863" s="57"/>
    </row>
    <row r="864" spans="3:8" ht="14.25" customHeight="1" x14ac:dyDescent="0.25">
      <c r="C864" s="30"/>
      <c r="G864" s="57"/>
      <c r="H864" s="57"/>
    </row>
    <row r="865" spans="3:8" ht="14.25" customHeight="1" x14ac:dyDescent="0.25">
      <c r="C865" s="30"/>
      <c r="G865" s="57"/>
      <c r="H865" s="57"/>
    </row>
    <row r="866" spans="3:8" ht="14.25" customHeight="1" x14ac:dyDescent="0.25">
      <c r="C866" s="30"/>
      <c r="G866" s="57"/>
      <c r="H866" s="57"/>
    </row>
    <row r="867" spans="3:8" ht="14.25" customHeight="1" x14ac:dyDescent="0.25">
      <c r="C867" s="30"/>
      <c r="G867" s="57"/>
      <c r="H867" s="57"/>
    </row>
    <row r="868" spans="3:8" ht="14.25" customHeight="1" x14ac:dyDescent="0.25">
      <c r="C868" s="30"/>
      <c r="G868" s="57"/>
      <c r="H868" s="57"/>
    </row>
    <row r="869" spans="3:8" ht="14.25" customHeight="1" x14ac:dyDescent="0.25">
      <c r="C869" s="30"/>
      <c r="G869" s="57"/>
      <c r="H869" s="57"/>
    </row>
    <row r="870" spans="3:8" ht="14.25" customHeight="1" x14ac:dyDescent="0.25">
      <c r="C870" s="30"/>
      <c r="G870" s="57"/>
      <c r="H870" s="57"/>
    </row>
    <row r="871" spans="3:8" ht="14.25" customHeight="1" x14ac:dyDescent="0.25">
      <c r="C871" s="30"/>
      <c r="G871" s="57"/>
      <c r="H871" s="57"/>
    </row>
    <row r="872" spans="3:8" ht="14.25" customHeight="1" x14ac:dyDescent="0.25">
      <c r="C872" s="30"/>
      <c r="G872" s="57"/>
      <c r="H872" s="57"/>
    </row>
    <row r="873" spans="3:8" ht="14.25" customHeight="1" x14ac:dyDescent="0.25">
      <c r="C873" s="30"/>
      <c r="G873" s="57"/>
      <c r="H873" s="57"/>
    </row>
    <row r="874" spans="3:8" ht="14.25" customHeight="1" x14ac:dyDescent="0.25">
      <c r="C874" s="30"/>
      <c r="G874" s="57"/>
      <c r="H874" s="57"/>
    </row>
    <row r="875" spans="3:8" ht="14.25" customHeight="1" x14ac:dyDescent="0.25">
      <c r="C875" s="30"/>
      <c r="G875" s="57"/>
      <c r="H875" s="57"/>
    </row>
    <row r="876" spans="3:8" ht="14.25" customHeight="1" x14ac:dyDescent="0.25">
      <c r="C876" s="30"/>
      <c r="G876" s="57"/>
      <c r="H876" s="57"/>
    </row>
    <row r="877" spans="3:8" ht="14.25" customHeight="1" x14ac:dyDescent="0.25">
      <c r="C877" s="30"/>
      <c r="G877" s="57"/>
      <c r="H877" s="57"/>
    </row>
    <row r="878" spans="3:8" ht="14.25" customHeight="1" x14ac:dyDescent="0.25">
      <c r="C878" s="30"/>
      <c r="G878" s="57"/>
      <c r="H878" s="57"/>
    </row>
    <row r="879" spans="3:8" ht="14.25" customHeight="1" x14ac:dyDescent="0.25">
      <c r="C879" s="30"/>
      <c r="G879" s="57"/>
      <c r="H879" s="57"/>
    </row>
    <row r="880" spans="3:8" ht="14.25" customHeight="1" x14ac:dyDescent="0.25">
      <c r="C880" s="30"/>
      <c r="G880" s="57"/>
      <c r="H880" s="57"/>
    </row>
    <row r="881" spans="3:8" ht="14.25" customHeight="1" x14ac:dyDescent="0.25">
      <c r="C881" s="30"/>
      <c r="G881" s="57"/>
      <c r="H881" s="57"/>
    </row>
    <row r="882" spans="3:8" ht="14.25" customHeight="1" x14ac:dyDescent="0.25">
      <c r="C882" s="30"/>
      <c r="G882" s="57"/>
      <c r="H882" s="57"/>
    </row>
    <row r="883" spans="3:8" ht="14.25" customHeight="1" x14ac:dyDescent="0.25">
      <c r="C883" s="30"/>
      <c r="G883" s="57"/>
      <c r="H883" s="57"/>
    </row>
    <row r="884" spans="3:8" ht="14.25" customHeight="1" x14ac:dyDescent="0.25">
      <c r="C884" s="30"/>
      <c r="G884" s="57"/>
      <c r="H884" s="57"/>
    </row>
    <row r="885" spans="3:8" ht="14.25" customHeight="1" x14ac:dyDescent="0.25">
      <c r="C885" s="30"/>
      <c r="G885" s="57"/>
      <c r="H885" s="57"/>
    </row>
    <row r="886" spans="3:8" ht="14.25" customHeight="1" x14ac:dyDescent="0.25">
      <c r="C886" s="30"/>
      <c r="G886" s="57"/>
      <c r="H886" s="57"/>
    </row>
    <row r="887" spans="3:8" ht="14.25" customHeight="1" x14ac:dyDescent="0.25">
      <c r="C887" s="30"/>
      <c r="G887" s="57"/>
      <c r="H887" s="57"/>
    </row>
    <row r="888" spans="3:8" ht="14.25" customHeight="1" x14ac:dyDescent="0.25">
      <c r="C888" s="30"/>
      <c r="G888" s="57"/>
      <c r="H888" s="57"/>
    </row>
    <row r="889" spans="3:8" ht="14.25" customHeight="1" x14ac:dyDescent="0.25">
      <c r="C889" s="30"/>
      <c r="G889" s="57"/>
      <c r="H889" s="57"/>
    </row>
    <row r="890" spans="3:8" ht="14.25" customHeight="1" x14ac:dyDescent="0.25">
      <c r="C890" s="30"/>
      <c r="G890" s="57"/>
      <c r="H890" s="57"/>
    </row>
    <row r="891" spans="3:8" ht="14.25" customHeight="1" x14ac:dyDescent="0.25">
      <c r="C891" s="30"/>
      <c r="G891" s="57"/>
      <c r="H891" s="57"/>
    </row>
    <row r="892" spans="3:8" ht="14.25" customHeight="1" x14ac:dyDescent="0.25">
      <c r="C892" s="30"/>
      <c r="G892" s="57"/>
      <c r="H892" s="57"/>
    </row>
    <row r="893" spans="3:8" ht="14.25" customHeight="1" x14ac:dyDescent="0.25">
      <c r="C893" s="30"/>
      <c r="G893" s="57"/>
      <c r="H893" s="57"/>
    </row>
    <row r="894" spans="3:8" ht="14.25" customHeight="1" x14ac:dyDescent="0.25">
      <c r="C894" s="30"/>
      <c r="G894" s="57"/>
      <c r="H894" s="57"/>
    </row>
    <row r="895" spans="3:8" ht="14.25" customHeight="1" x14ac:dyDescent="0.25">
      <c r="C895" s="30"/>
      <c r="G895" s="57"/>
      <c r="H895" s="57"/>
    </row>
    <row r="896" spans="3:8" ht="14.25" customHeight="1" x14ac:dyDescent="0.25">
      <c r="C896" s="30"/>
      <c r="G896" s="57"/>
      <c r="H896" s="57"/>
    </row>
    <row r="897" spans="3:8" ht="14.25" customHeight="1" x14ac:dyDescent="0.25">
      <c r="C897" s="30"/>
      <c r="G897" s="57"/>
      <c r="H897" s="57"/>
    </row>
    <row r="898" spans="3:8" ht="14.25" customHeight="1" x14ac:dyDescent="0.25">
      <c r="C898" s="30"/>
      <c r="G898" s="57"/>
      <c r="H898" s="57"/>
    </row>
    <row r="899" spans="3:8" ht="14.25" customHeight="1" x14ac:dyDescent="0.25">
      <c r="C899" s="30"/>
      <c r="G899" s="57"/>
      <c r="H899" s="57"/>
    </row>
    <row r="900" spans="3:8" ht="14.25" customHeight="1" x14ac:dyDescent="0.25">
      <c r="C900" s="30"/>
      <c r="G900" s="57"/>
      <c r="H900" s="57"/>
    </row>
    <row r="901" spans="3:8" ht="14.25" customHeight="1" x14ac:dyDescent="0.25">
      <c r="C901" s="30"/>
      <c r="G901" s="57"/>
      <c r="H901" s="57"/>
    </row>
    <row r="902" spans="3:8" ht="14.25" customHeight="1" x14ac:dyDescent="0.25">
      <c r="C902" s="30"/>
      <c r="G902" s="57"/>
      <c r="H902" s="57"/>
    </row>
    <row r="903" spans="3:8" ht="14.25" customHeight="1" x14ac:dyDescent="0.25">
      <c r="C903" s="30"/>
      <c r="G903" s="57"/>
      <c r="H903" s="57"/>
    </row>
    <row r="904" spans="3:8" ht="14.25" customHeight="1" x14ac:dyDescent="0.25">
      <c r="C904" s="30"/>
      <c r="G904" s="57"/>
      <c r="H904" s="57"/>
    </row>
    <row r="905" spans="3:8" ht="14.25" customHeight="1" x14ac:dyDescent="0.25">
      <c r="C905" s="30"/>
      <c r="G905" s="57"/>
      <c r="H905" s="57"/>
    </row>
    <row r="906" spans="3:8" ht="14.25" customHeight="1" x14ac:dyDescent="0.25">
      <c r="C906" s="30"/>
      <c r="G906" s="57"/>
      <c r="H906" s="57"/>
    </row>
    <row r="907" spans="3:8" ht="14.25" customHeight="1" x14ac:dyDescent="0.25">
      <c r="C907" s="30"/>
      <c r="G907" s="57"/>
      <c r="H907" s="57"/>
    </row>
    <row r="908" spans="3:8" ht="14.25" customHeight="1" x14ac:dyDescent="0.25">
      <c r="C908" s="30"/>
      <c r="G908" s="57"/>
      <c r="H908" s="57"/>
    </row>
    <row r="909" spans="3:8" ht="14.25" customHeight="1" x14ac:dyDescent="0.25">
      <c r="C909" s="30"/>
      <c r="G909" s="57"/>
      <c r="H909" s="57"/>
    </row>
    <row r="910" spans="3:8" ht="14.25" customHeight="1" x14ac:dyDescent="0.25">
      <c r="C910" s="30"/>
      <c r="G910" s="57"/>
      <c r="H910" s="57"/>
    </row>
    <row r="911" spans="3:8" ht="14.25" customHeight="1" x14ac:dyDescent="0.25">
      <c r="C911" s="30"/>
      <c r="G911" s="57"/>
      <c r="H911" s="57"/>
    </row>
    <row r="912" spans="3:8" ht="14.25" customHeight="1" x14ac:dyDescent="0.25">
      <c r="C912" s="30"/>
      <c r="G912" s="57"/>
      <c r="H912" s="57"/>
    </row>
    <row r="913" spans="3:8" ht="14.25" customHeight="1" x14ac:dyDescent="0.25">
      <c r="C913" s="30"/>
      <c r="G913" s="57"/>
      <c r="H913" s="57"/>
    </row>
    <row r="914" spans="3:8" ht="14.25" customHeight="1" x14ac:dyDescent="0.25">
      <c r="C914" s="30"/>
      <c r="G914" s="57"/>
      <c r="H914" s="57"/>
    </row>
    <row r="915" spans="3:8" ht="14.25" customHeight="1" x14ac:dyDescent="0.25">
      <c r="C915" s="30"/>
      <c r="G915" s="57"/>
      <c r="H915" s="57"/>
    </row>
    <row r="916" spans="3:8" ht="14.25" customHeight="1" x14ac:dyDescent="0.25">
      <c r="C916" s="30"/>
      <c r="G916" s="57"/>
      <c r="H916" s="57"/>
    </row>
    <row r="917" spans="3:8" ht="14.25" customHeight="1" x14ac:dyDescent="0.25">
      <c r="C917" s="30"/>
      <c r="G917" s="57"/>
      <c r="H917" s="57"/>
    </row>
    <row r="918" spans="3:8" ht="14.25" customHeight="1" x14ac:dyDescent="0.25">
      <c r="C918" s="30"/>
      <c r="G918" s="57"/>
      <c r="H918" s="57"/>
    </row>
    <row r="919" spans="3:8" ht="14.25" customHeight="1" x14ac:dyDescent="0.25">
      <c r="C919" s="30"/>
      <c r="G919" s="57"/>
      <c r="H919" s="57"/>
    </row>
    <row r="920" spans="3:8" ht="14.25" customHeight="1" x14ac:dyDescent="0.25">
      <c r="C920" s="30"/>
      <c r="G920" s="57"/>
      <c r="H920" s="57"/>
    </row>
    <row r="921" spans="3:8" ht="14.25" customHeight="1" x14ac:dyDescent="0.25">
      <c r="C921" s="30"/>
      <c r="G921" s="57"/>
      <c r="H921" s="57"/>
    </row>
    <row r="922" spans="3:8" ht="14.25" customHeight="1" x14ac:dyDescent="0.25">
      <c r="C922" s="30"/>
      <c r="G922" s="57"/>
      <c r="H922" s="57"/>
    </row>
    <row r="923" spans="3:8" ht="14.25" customHeight="1" x14ac:dyDescent="0.25">
      <c r="C923" s="30"/>
      <c r="G923" s="57"/>
      <c r="H923" s="57"/>
    </row>
    <row r="924" spans="3:8" ht="14.25" customHeight="1" x14ac:dyDescent="0.25">
      <c r="C924" s="30"/>
      <c r="G924" s="57"/>
      <c r="H924" s="57"/>
    </row>
    <row r="925" spans="3:8" ht="14.25" customHeight="1" x14ac:dyDescent="0.25">
      <c r="C925" s="30"/>
      <c r="G925" s="57"/>
      <c r="H925" s="57"/>
    </row>
    <row r="926" spans="3:8" ht="14.25" customHeight="1" x14ac:dyDescent="0.25">
      <c r="C926" s="30"/>
      <c r="G926" s="57"/>
      <c r="H926" s="57"/>
    </row>
    <row r="927" spans="3:8" ht="14.25" customHeight="1" x14ac:dyDescent="0.25">
      <c r="C927" s="30"/>
      <c r="G927" s="57"/>
      <c r="H927" s="57"/>
    </row>
    <row r="928" spans="3:8" ht="14.25" customHeight="1" x14ac:dyDescent="0.25">
      <c r="C928" s="30"/>
      <c r="G928" s="57"/>
      <c r="H928" s="57"/>
    </row>
    <row r="929" spans="3:8" ht="14.25" customHeight="1" x14ac:dyDescent="0.25">
      <c r="C929" s="30"/>
      <c r="G929" s="57"/>
      <c r="H929" s="57"/>
    </row>
    <row r="930" spans="3:8" ht="14.25" customHeight="1" x14ac:dyDescent="0.25">
      <c r="C930" s="30"/>
      <c r="G930" s="57"/>
      <c r="H930" s="57"/>
    </row>
    <row r="931" spans="3:8" ht="14.25" customHeight="1" x14ac:dyDescent="0.25">
      <c r="C931" s="30"/>
      <c r="G931" s="57"/>
      <c r="H931" s="57"/>
    </row>
    <row r="932" spans="3:8" ht="14.25" customHeight="1" x14ac:dyDescent="0.25">
      <c r="C932" s="30"/>
      <c r="G932" s="57"/>
      <c r="H932" s="57"/>
    </row>
    <row r="933" spans="3:8" ht="14.25" customHeight="1" x14ac:dyDescent="0.25">
      <c r="C933" s="30"/>
      <c r="G933" s="57"/>
      <c r="H933" s="57"/>
    </row>
    <row r="934" spans="3:8" ht="14.25" customHeight="1" x14ac:dyDescent="0.25">
      <c r="C934" s="30"/>
      <c r="G934" s="57"/>
      <c r="H934" s="57"/>
    </row>
    <row r="935" spans="3:8" ht="14.25" customHeight="1" x14ac:dyDescent="0.25">
      <c r="C935" s="30"/>
      <c r="G935" s="57"/>
      <c r="H935" s="57"/>
    </row>
    <row r="936" spans="3:8" ht="14.25" customHeight="1" x14ac:dyDescent="0.25">
      <c r="C936" s="30"/>
      <c r="G936" s="57"/>
      <c r="H936" s="57"/>
    </row>
    <row r="937" spans="3:8" ht="14.25" customHeight="1" x14ac:dyDescent="0.25">
      <c r="C937" s="30"/>
      <c r="G937" s="57"/>
      <c r="H937" s="57"/>
    </row>
    <row r="938" spans="3:8" ht="14.25" customHeight="1" x14ac:dyDescent="0.25">
      <c r="C938" s="30"/>
      <c r="G938" s="57"/>
      <c r="H938" s="57"/>
    </row>
    <row r="939" spans="3:8" ht="14.25" customHeight="1" x14ac:dyDescent="0.25">
      <c r="C939" s="30"/>
      <c r="G939" s="57"/>
      <c r="H939" s="57"/>
    </row>
    <row r="940" spans="3:8" ht="14.25" customHeight="1" x14ac:dyDescent="0.25">
      <c r="C940" s="30"/>
      <c r="G940" s="57"/>
      <c r="H940" s="57"/>
    </row>
    <row r="941" spans="3:8" ht="14.25" customHeight="1" x14ac:dyDescent="0.25">
      <c r="C941" s="30"/>
      <c r="G941" s="57"/>
      <c r="H941" s="57"/>
    </row>
    <row r="942" spans="3:8" ht="14.25" customHeight="1" x14ac:dyDescent="0.25">
      <c r="C942" s="30"/>
      <c r="G942" s="57"/>
      <c r="H942" s="57"/>
    </row>
    <row r="943" spans="3:8" ht="14.25" customHeight="1" x14ac:dyDescent="0.25">
      <c r="C943" s="30"/>
      <c r="G943" s="57"/>
      <c r="H943" s="57"/>
    </row>
    <row r="944" spans="3:8" ht="14.25" customHeight="1" x14ac:dyDescent="0.25">
      <c r="C944" s="30"/>
      <c r="G944" s="57"/>
      <c r="H944" s="57"/>
    </row>
    <row r="945" spans="3:8" ht="14.25" customHeight="1" x14ac:dyDescent="0.25">
      <c r="C945" s="30"/>
      <c r="G945" s="57"/>
      <c r="H945" s="57"/>
    </row>
    <row r="946" spans="3:8" ht="14.25" customHeight="1" x14ac:dyDescent="0.25">
      <c r="C946" s="30"/>
      <c r="G946" s="57"/>
      <c r="H946" s="57"/>
    </row>
    <row r="947" spans="3:8" ht="14.25" customHeight="1" x14ac:dyDescent="0.25">
      <c r="C947" s="30"/>
      <c r="G947" s="57"/>
      <c r="H947" s="57"/>
    </row>
    <row r="948" spans="3:8" ht="14.25" customHeight="1" x14ac:dyDescent="0.25">
      <c r="C948" s="30"/>
      <c r="G948" s="57"/>
      <c r="H948" s="57"/>
    </row>
    <row r="949" spans="3:8" ht="14.25" customHeight="1" x14ac:dyDescent="0.25">
      <c r="C949" s="30"/>
      <c r="G949" s="57"/>
      <c r="H949" s="57"/>
    </row>
    <row r="950" spans="3:8" ht="14.25" customHeight="1" x14ac:dyDescent="0.25">
      <c r="C950" s="30"/>
      <c r="G950" s="57"/>
      <c r="H950" s="57"/>
    </row>
    <row r="951" spans="3:8" ht="14.25" customHeight="1" x14ac:dyDescent="0.25">
      <c r="C951" s="30"/>
      <c r="G951" s="57"/>
      <c r="H951" s="57"/>
    </row>
    <row r="952" spans="3:8" ht="14.25" customHeight="1" x14ac:dyDescent="0.25">
      <c r="C952" s="30"/>
      <c r="G952" s="57"/>
      <c r="H952" s="57"/>
    </row>
    <row r="953" spans="3:8" ht="14.25" customHeight="1" x14ac:dyDescent="0.25">
      <c r="C953" s="30"/>
      <c r="G953" s="57"/>
      <c r="H953" s="57"/>
    </row>
    <row r="954" spans="3:8" ht="14.25" customHeight="1" x14ac:dyDescent="0.25">
      <c r="C954" s="30"/>
      <c r="G954" s="57"/>
      <c r="H954" s="57"/>
    </row>
    <row r="955" spans="3:8" ht="14.25" customHeight="1" x14ac:dyDescent="0.25">
      <c r="C955" s="30"/>
      <c r="G955" s="57"/>
      <c r="H955" s="57"/>
    </row>
    <row r="956" spans="3:8" ht="14.25" customHeight="1" x14ac:dyDescent="0.25">
      <c r="C956" s="30"/>
      <c r="G956" s="57"/>
      <c r="H956" s="57"/>
    </row>
    <row r="957" spans="3:8" ht="14.25" customHeight="1" x14ac:dyDescent="0.25">
      <c r="C957" s="30"/>
      <c r="G957" s="57"/>
      <c r="H957" s="57"/>
    </row>
    <row r="958" spans="3:8" ht="14.25" customHeight="1" x14ac:dyDescent="0.25">
      <c r="C958" s="30"/>
      <c r="G958" s="57"/>
      <c r="H958" s="57"/>
    </row>
    <row r="959" spans="3:8" ht="14.25" customHeight="1" x14ac:dyDescent="0.25">
      <c r="C959" s="30"/>
      <c r="G959" s="57"/>
      <c r="H959" s="57"/>
    </row>
    <row r="960" spans="3:8" ht="14.25" customHeight="1" x14ac:dyDescent="0.25">
      <c r="C960" s="30"/>
      <c r="G960" s="57"/>
      <c r="H960" s="57"/>
    </row>
    <row r="961" spans="3:8" ht="14.25" customHeight="1" x14ac:dyDescent="0.25">
      <c r="C961" s="30"/>
      <c r="G961" s="57"/>
      <c r="H961" s="57"/>
    </row>
    <row r="962" spans="3:8" ht="14.25" customHeight="1" x14ac:dyDescent="0.25">
      <c r="C962" s="30"/>
      <c r="G962" s="57"/>
      <c r="H962" s="57"/>
    </row>
    <row r="963" spans="3:8" ht="14.25" customHeight="1" x14ac:dyDescent="0.25">
      <c r="C963" s="30"/>
      <c r="G963" s="57"/>
      <c r="H963" s="57"/>
    </row>
    <row r="964" spans="3:8" ht="14.25" customHeight="1" x14ac:dyDescent="0.25">
      <c r="C964" s="30"/>
      <c r="G964" s="57"/>
      <c r="H964" s="57"/>
    </row>
    <row r="965" spans="3:8" ht="14.25" customHeight="1" x14ac:dyDescent="0.25">
      <c r="C965" s="30"/>
      <c r="G965" s="57"/>
      <c r="H965" s="57"/>
    </row>
    <row r="966" spans="3:8" ht="14.25" customHeight="1" x14ac:dyDescent="0.25">
      <c r="C966" s="30"/>
      <c r="G966" s="57"/>
      <c r="H966" s="57"/>
    </row>
    <row r="967" spans="3:8" ht="14.25" customHeight="1" x14ac:dyDescent="0.25">
      <c r="C967" s="30"/>
      <c r="G967" s="57"/>
      <c r="H967" s="57"/>
    </row>
    <row r="968" spans="3:8" ht="14.25" customHeight="1" x14ac:dyDescent="0.25">
      <c r="C968" s="30"/>
      <c r="G968" s="57"/>
      <c r="H968" s="57"/>
    </row>
    <row r="969" spans="3:8" ht="14.25" customHeight="1" x14ac:dyDescent="0.25">
      <c r="C969" s="30"/>
      <c r="G969" s="57"/>
      <c r="H969" s="57"/>
    </row>
    <row r="970" spans="3:8" ht="14.25" customHeight="1" x14ac:dyDescent="0.25">
      <c r="C970" s="30"/>
      <c r="G970" s="57"/>
      <c r="H970" s="57"/>
    </row>
    <row r="971" spans="3:8" ht="14.25" customHeight="1" x14ac:dyDescent="0.25">
      <c r="C971" s="30"/>
      <c r="G971" s="57"/>
      <c r="H971" s="57"/>
    </row>
    <row r="972" spans="3:8" ht="14.25" customHeight="1" x14ac:dyDescent="0.25">
      <c r="C972" s="30"/>
      <c r="G972" s="57"/>
      <c r="H972" s="57"/>
    </row>
    <row r="973" spans="3:8" ht="14.25" customHeight="1" x14ac:dyDescent="0.25">
      <c r="C973" s="30"/>
      <c r="G973" s="57"/>
      <c r="H973" s="57"/>
    </row>
    <row r="974" spans="3:8" ht="14.25" customHeight="1" x14ac:dyDescent="0.25">
      <c r="C974" s="30"/>
      <c r="G974" s="57"/>
      <c r="H974" s="57"/>
    </row>
    <row r="975" spans="3:8" ht="14.25" customHeight="1" x14ac:dyDescent="0.25">
      <c r="C975" s="30"/>
      <c r="G975" s="57"/>
      <c r="H975" s="57"/>
    </row>
    <row r="976" spans="3:8" ht="14.25" customHeight="1" x14ac:dyDescent="0.25">
      <c r="C976" s="30"/>
      <c r="G976" s="57"/>
      <c r="H976" s="57"/>
    </row>
    <row r="977" spans="3:8" ht="14.25" customHeight="1" x14ac:dyDescent="0.25">
      <c r="C977" s="30"/>
      <c r="G977" s="57"/>
      <c r="H977" s="57"/>
    </row>
    <row r="978" spans="3:8" ht="14.25" customHeight="1" x14ac:dyDescent="0.25">
      <c r="C978" s="30"/>
      <c r="G978" s="57"/>
      <c r="H978" s="57"/>
    </row>
    <row r="979" spans="3:8" ht="14.25" customHeight="1" x14ac:dyDescent="0.25">
      <c r="C979" s="30"/>
      <c r="G979" s="57"/>
      <c r="H979" s="57"/>
    </row>
    <row r="980" spans="3:8" ht="14.25" customHeight="1" x14ac:dyDescent="0.25">
      <c r="C980" s="30"/>
      <c r="G980" s="57"/>
      <c r="H980" s="57"/>
    </row>
    <row r="981" spans="3:8" ht="14.25" customHeight="1" x14ac:dyDescent="0.25">
      <c r="C981" s="30"/>
      <c r="G981" s="57"/>
      <c r="H981" s="57"/>
    </row>
    <row r="982" spans="3:8" ht="14.25" customHeight="1" x14ac:dyDescent="0.25">
      <c r="C982" s="30"/>
      <c r="G982" s="57"/>
      <c r="H982" s="57"/>
    </row>
    <row r="983" spans="3:8" ht="14.25" customHeight="1" x14ac:dyDescent="0.25">
      <c r="C983" s="30"/>
      <c r="G983" s="57"/>
      <c r="H983" s="57"/>
    </row>
    <row r="984" spans="3:8" ht="14.25" customHeight="1" x14ac:dyDescent="0.25">
      <c r="C984" s="30"/>
      <c r="G984" s="57"/>
      <c r="H984" s="57"/>
    </row>
    <row r="985" spans="3:8" ht="14.25" customHeight="1" x14ac:dyDescent="0.25">
      <c r="C985" s="30"/>
      <c r="G985" s="57"/>
      <c r="H985" s="57"/>
    </row>
    <row r="986" spans="3:8" ht="14.25" customHeight="1" x14ac:dyDescent="0.25">
      <c r="C986" s="30"/>
      <c r="G986" s="57"/>
      <c r="H986" s="57"/>
    </row>
    <row r="987" spans="3:8" ht="14.25" customHeight="1" x14ac:dyDescent="0.25">
      <c r="C987" s="30"/>
      <c r="G987" s="57"/>
      <c r="H987" s="57"/>
    </row>
    <row r="988" spans="3:8" ht="14.25" customHeight="1" x14ac:dyDescent="0.25">
      <c r="C988" s="30"/>
      <c r="G988" s="57"/>
      <c r="H988" s="57"/>
    </row>
    <row r="989" spans="3:8" ht="14.25" customHeight="1" x14ac:dyDescent="0.25">
      <c r="C989" s="30"/>
      <c r="G989" s="57"/>
      <c r="H989" s="57"/>
    </row>
    <row r="990" spans="3:8" ht="14.25" customHeight="1" x14ac:dyDescent="0.25">
      <c r="C990" s="30"/>
      <c r="G990" s="57"/>
      <c r="H990" s="57"/>
    </row>
    <row r="991" spans="3:8" ht="14.25" customHeight="1" x14ac:dyDescent="0.25">
      <c r="C991" s="30"/>
      <c r="G991" s="57"/>
      <c r="H991" s="57"/>
    </row>
    <row r="992" spans="3:8" ht="14.25" customHeight="1" x14ac:dyDescent="0.25">
      <c r="C992" s="30"/>
      <c r="G992" s="57"/>
      <c r="H992" s="57"/>
    </row>
    <row r="993" spans="3:8" ht="14.25" customHeight="1" x14ac:dyDescent="0.25">
      <c r="C993" s="30"/>
      <c r="G993" s="57"/>
      <c r="H993" s="57"/>
    </row>
    <row r="994" spans="3:8" ht="14.25" customHeight="1" x14ac:dyDescent="0.25">
      <c r="C994" s="30"/>
      <c r="G994" s="57"/>
      <c r="H994" s="57"/>
    </row>
    <row r="995" spans="3:8" ht="14.25" customHeight="1" x14ac:dyDescent="0.25">
      <c r="C995" s="30"/>
      <c r="G995" s="57"/>
      <c r="H995" s="57"/>
    </row>
    <row r="996" spans="3:8" ht="14.25" customHeight="1" x14ac:dyDescent="0.25">
      <c r="C996" s="30"/>
      <c r="G996" s="57"/>
      <c r="H996" s="57"/>
    </row>
  </sheetData>
  <autoFilter ref="C3:H114" xr:uid="{00000000-0009-0000-0000-00000C000000}">
    <sortState xmlns:xlrd2="http://schemas.microsoft.com/office/spreadsheetml/2017/richdata2" ref="C4:H114">
      <sortCondition ref="D3:D114"/>
    </sortState>
  </autoFilter>
  <mergeCells count="1">
    <mergeCell ref="D2:H2"/>
  </mergeCells>
  <conditionalFormatting sqref="C19">
    <cfRule type="expression" dxfId="11" priority="1">
      <formula>AND(C19&gt;TODAY(), C19-TODAY()&gt;=WEEKDAY(C19), C19-TODAY()&lt;WEEKDAY(C19)+7)</formula>
    </cfRule>
    <cfRule type="expression" dxfId="10" priority="2">
      <formula>OR(AND(C19&lt;=TODAY(), TODAY()-C19&lt;WEEKDAY(TODAY())), AND(TODAY()&lt;C19, C19-TODAY()&lt;WEEKDAY(C19)))</formula>
    </cfRule>
  </conditionalFormatting>
  <conditionalFormatting sqref="D41:D43 E60:E66">
    <cfRule type="expression" dxfId="9" priority="3" stopIfTrue="1">
      <formula>AND(COUNTIF(#REF!, D41)+COUNTIF($C:$C, D41)&gt;1,NOT(ISBLANK(D41)))</formula>
    </cfRule>
  </conditionalFormatting>
  <pageMargins left="0.511811024" right="0.511811024" top="0.78740157499999996" bottom="0.78740157499999996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000"/>
  <sheetViews>
    <sheetView workbookViewId="0">
      <selection activeCell="B1" sqref="B1:K1048576"/>
    </sheetView>
  </sheetViews>
  <sheetFormatPr defaultColWidth="12.5703125" defaultRowHeight="15" customHeight="1" x14ac:dyDescent="0.25"/>
  <cols>
    <col min="1" max="1" width="8.5703125" customWidth="1"/>
    <col min="2" max="2" width="17.85546875" customWidth="1"/>
    <col min="3" max="3" width="19.5703125" customWidth="1"/>
    <col min="4" max="4" width="20.5703125" customWidth="1"/>
    <col min="5" max="5" width="44.5703125" customWidth="1"/>
    <col min="6" max="6" width="17.28515625" customWidth="1"/>
    <col min="7" max="7" width="10" customWidth="1"/>
    <col min="8" max="8" width="15.42578125" customWidth="1"/>
    <col min="9" max="9" width="17.42578125" bestFit="1" customWidth="1"/>
    <col min="10" max="10" width="16.5703125" customWidth="1"/>
    <col min="11" max="26" width="8.5703125" customWidth="1"/>
  </cols>
  <sheetData>
    <row r="1" spans="2:10" ht="14.25" customHeight="1" x14ac:dyDescent="0.25"/>
    <row r="2" spans="2:10" ht="14.25" customHeight="1" x14ac:dyDescent="0.25">
      <c r="B2" s="360" t="s">
        <v>367</v>
      </c>
      <c r="C2" s="363"/>
      <c r="D2" s="363"/>
      <c r="E2" s="363"/>
      <c r="F2" s="363"/>
      <c r="G2" s="363"/>
      <c r="H2" s="363"/>
      <c r="I2" s="363"/>
      <c r="J2" s="365"/>
    </row>
    <row r="3" spans="2:10" ht="27.75" customHeight="1" x14ac:dyDescent="0.25">
      <c r="B3" s="28" t="s">
        <v>219</v>
      </c>
      <c r="C3" s="28" t="s">
        <v>220</v>
      </c>
      <c r="D3" s="28" t="s">
        <v>1</v>
      </c>
      <c r="E3" s="28" t="s">
        <v>2</v>
      </c>
      <c r="F3" s="28" t="s">
        <v>3</v>
      </c>
      <c r="G3" s="28" t="s">
        <v>4</v>
      </c>
      <c r="H3" s="29" t="s">
        <v>5</v>
      </c>
      <c r="I3" s="29" t="s">
        <v>6</v>
      </c>
      <c r="J3" s="5" t="s">
        <v>233</v>
      </c>
    </row>
    <row r="4" spans="2:10" ht="14.25" customHeight="1" x14ac:dyDescent="0.25">
      <c r="B4" s="79">
        <v>46203</v>
      </c>
      <c r="C4" s="79">
        <v>46204</v>
      </c>
      <c r="D4" s="80" t="s">
        <v>368</v>
      </c>
      <c r="E4" s="81" t="s">
        <v>369</v>
      </c>
      <c r="F4" s="80" t="s">
        <v>35</v>
      </c>
      <c r="G4" s="80">
        <v>24</v>
      </c>
      <c r="H4" s="22">
        <f>G4*16.5</f>
        <v>396</v>
      </c>
      <c r="I4" s="82" t="s">
        <v>10</v>
      </c>
      <c r="J4" s="80" t="s">
        <v>10</v>
      </c>
    </row>
    <row r="5" spans="2:10" ht="14.25" customHeight="1" x14ac:dyDescent="0.25">
      <c r="B5" s="83"/>
      <c r="C5" s="84">
        <v>46029</v>
      </c>
      <c r="D5" s="85" t="s">
        <v>239</v>
      </c>
      <c r="E5" s="86" t="s">
        <v>240</v>
      </c>
      <c r="F5" s="85" t="s">
        <v>143</v>
      </c>
      <c r="G5" s="85">
        <v>23</v>
      </c>
      <c r="H5" s="87" t="s">
        <v>10</v>
      </c>
      <c r="I5" s="87">
        <v>120</v>
      </c>
      <c r="J5" s="93" t="s">
        <v>10</v>
      </c>
    </row>
    <row r="6" spans="2:10" ht="14.25" customHeight="1" x14ac:dyDescent="0.25">
      <c r="B6" s="89">
        <v>46210</v>
      </c>
      <c r="C6" s="83">
        <v>46211</v>
      </c>
      <c r="D6" s="92" t="s">
        <v>378</v>
      </c>
      <c r="E6" s="77" t="s">
        <v>370</v>
      </c>
      <c r="F6" s="92" t="s">
        <v>375</v>
      </c>
      <c r="G6" s="90">
        <v>20</v>
      </c>
      <c r="H6" s="8">
        <f t="shared" ref="H6:H10" si="0">G6*16.5</f>
        <v>330</v>
      </c>
      <c r="I6" s="88">
        <f>120/23*20</f>
        <v>104.34782608695653</v>
      </c>
      <c r="J6" s="92" t="s">
        <v>10</v>
      </c>
    </row>
    <row r="7" spans="2:10" ht="14.25" customHeight="1" x14ac:dyDescent="0.25">
      <c r="B7" s="89">
        <v>46210</v>
      </c>
      <c r="C7" s="83">
        <v>46211</v>
      </c>
      <c r="D7" s="91" t="s">
        <v>379</v>
      </c>
      <c r="E7" s="77" t="s">
        <v>371</v>
      </c>
      <c r="F7" s="91" t="s">
        <v>375</v>
      </c>
      <c r="G7" s="76">
        <v>19</v>
      </c>
      <c r="H7" s="8">
        <f t="shared" si="0"/>
        <v>313.5</v>
      </c>
      <c r="I7" s="91">
        <v>99.13</v>
      </c>
      <c r="J7" s="109" t="s">
        <v>10</v>
      </c>
    </row>
    <row r="8" spans="2:10" ht="14.25" customHeight="1" x14ac:dyDescent="0.25">
      <c r="B8" s="89">
        <v>46210</v>
      </c>
      <c r="C8" s="83">
        <v>46211</v>
      </c>
      <c r="D8" s="91" t="s">
        <v>381</v>
      </c>
      <c r="E8" s="77" t="s">
        <v>372</v>
      </c>
      <c r="F8" s="91" t="s">
        <v>377</v>
      </c>
      <c r="G8" s="76">
        <v>19</v>
      </c>
      <c r="H8" s="8">
        <f t="shared" si="0"/>
        <v>313.5</v>
      </c>
      <c r="I8" s="76">
        <v>99.13</v>
      </c>
      <c r="J8" s="91" t="s">
        <v>10</v>
      </c>
    </row>
    <row r="9" spans="2:10" ht="14.25" customHeight="1" x14ac:dyDescent="0.25">
      <c r="B9" s="94">
        <v>46210</v>
      </c>
      <c r="C9" s="95">
        <v>46211</v>
      </c>
      <c r="D9" s="96" t="s">
        <v>380</v>
      </c>
      <c r="E9" s="97" t="s">
        <v>373</v>
      </c>
      <c r="F9" s="96" t="s">
        <v>32</v>
      </c>
      <c r="G9" s="98">
        <v>19</v>
      </c>
      <c r="H9" s="22">
        <f t="shared" si="0"/>
        <v>313.5</v>
      </c>
      <c r="I9" s="98">
        <v>99.13</v>
      </c>
      <c r="J9" s="96" t="s">
        <v>10</v>
      </c>
    </row>
    <row r="10" spans="2:10" ht="14.25" customHeight="1" x14ac:dyDescent="0.25">
      <c r="B10" s="89">
        <v>46210</v>
      </c>
      <c r="C10" s="83">
        <v>46211</v>
      </c>
      <c r="D10" s="91" t="s">
        <v>382</v>
      </c>
      <c r="E10" s="77" t="s">
        <v>374</v>
      </c>
      <c r="F10" s="91" t="s">
        <v>376</v>
      </c>
      <c r="G10" s="76">
        <v>19</v>
      </c>
      <c r="H10" s="87">
        <f t="shared" si="0"/>
        <v>313.5</v>
      </c>
      <c r="I10" s="76">
        <v>99.13</v>
      </c>
      <c r="J10" s="91" t="s">
        <v>10</v>
      </c>
    </row>
    <row r="11" spans="2:10" ht="14.25" customHeight="1" x14ac:dyDescent="0.25">
      <c r="B11" s="89">
        <v>46218</v>
      </c>
      <c r="C11" s="89">
        <v>46218</v>
      </c>
      <c r="D11" s="76" t="s">
        <v>383</v>
      </c>
      <c r="E11" s="76" t="s">
        <v>385</v>
      </c>
      <c r="F11" s="76" t="s">
        <v>13</v>
      </c>
      <c r="G11" s="76">
        <v>13</v>
      </c>
      <c r="H11" s="99">
        <v>82.5</v>
      </c>
      <c r="I11" s="99">
        <v>67.819999999999993</v>
      </c>
      <c r="J11" s="76" t="s">
        <v>10</v>
      </c>
    </row>
    <row r="12" spans="2:10" ht="14.25" customHeight="1" x14ac:dyDescent="0.25">
      <c r="B12" s="89">
        <v>46218</v>
      </c>
      <c r="C12" s="89">
        <v>46218</v>
      </c>
      <c r="D12" s="76" t="s">
        <v>384</v>
      </c>
      <c r="E12" s="76" t="s">
        <v>386</v>
      </c>
      <c r="F12" s="76" t="s">
        <v>387</v>
      </c>
      <c r="G12" s="76">
        <v>13</v>
      </c>
      <c r="H12" s="99">
        <f>G12*16.5</f>
        <v>214.5</v>
      </c>
      <c r="I12" s="99">
        <v>67.819999999999993</v>
      </c>
      <c r="J12" s="76" t="s">
        <v>10</v>
      </c>
    </row>
    <row r="13" spans="2:10" ht="14.25" customHeight="1" x14ac:dyDescent="0.25">
      <c r="B13" s="89">
        <v>46230</v>
      </c>
      <c r="C13" s="89">
        <v>46225</v>
      </c>
      <c r="D13" s="76" t="s">
        <v>392</v>
      </c>
      <c r="E13" s="76" t="s">
        <v>394</v>
      </c>
      <c r="F13" s="110" t="s">
        <v>396</v>
      </c>
      <c r="G13" s="76">
        <v>5</v>
      </c>
      <c r="H13" s="99">
        <f>16.5*G13</f>
        <v>82.5</v>
      </c>
      <c r="I13" s="76">
        <v>26.08</v>
      </c>
      <c r="J13" s="76" t="s">
        <v>10</v>
      </c>
    </row>
    <row r="14" spans="2:10" ht="14.25" customHeight="1" x14ac:dyDescent="0.25">
      <c r="B14" s="89">
        <v>46230</v>
      </c>
      <c r="C14" s="111">
        <v>46225</v>
      </c>
      <c r="D14" s="76" t="s">
        <v>393</v>
      </c>
      <c r="E14" s="76" t="s">
        <v>395</v>
      </c>
      <c r="F14" s="110" t="s">
        <v>86</v>
      </c>
      <c r="G14" s="76">
        <v>5</v>
      </c>
      <c r="H14" s="99">
        <f t="shared" ref="H14" si="1">16.5*G14</f>
        <v>82.5</v>
      </c>
      <c r="I14" s="76">
        <v>26.08</v>
      </c>
      <c r="J14" s="76" t="s">
        <v>10</v>
      </c>
    </row>
    <row r="15" spans="2:10" ht="14.25" customHeight="1" x14ac:dyDescent="0.25">
      <c r="B15" s="89"/>
      <c r="C15" s="89"/>
      <c r="D15" s="76"/>
      <c r="E15" s="112"/>
      <c r="F15" s="110"/>
      <c r="G15" s="76"/>
      <c r="H15" s="99"/>
      <c r="I15" s="76"/>
      <c r="J15" s="76"/>
    </row>
    <row r="16" spans="2:10" ht="14.25" customHeight="1" x14ac:dyDescent="0.25">
      <c r="B16" s="76"/>
      <c r="C16" s="76"/>
      <c r="D16" s="76"/>
      <c r="E16" s="76"/>
      <c r="F16" s="76"/>
      <c r="G16" s="76"/>
      <c r="H16" s="76"/>
      <c r="I16" s="76"/>
      <c r="J16" s="76"/>
    </row>
    <row r="17" spans="2:10" ht="14.25" customHeight="1" x14ac:dyDescent="0.25">
      <c r="B17" s="76"/>
      <c r="C17" s="76"/>
      <c r="D17" s="76"/>
      <c r="E17" s="76"/>
      <c r="F17" s="76"/>
      <c r="G17" s="76"/>
      <c r="H17" s="76"/>
      <c r="I17" s="76"/>
      <c r="J17" s="76"/>
    </row>
    <row r="18" spans="2:10" ht="14.25" customHeight="1" x14ac:dyDescent="0.25">
      <c r="B18" s="76"/>
      <c r="C18" s="76"/>
      <c r="D18" s="76"/>
      <c r="E18" s="76"/>
      <c r="F18" s="76"/>
      <c r="G18" s="76"/>
      <c r="H18" s="76"/>
      <c r="I18" s="76"/>
      <c r="J18" s="76"/>
    </row>
    <row r="19" spans="2:10" ht="14.25" customHeight="1" x14ac:dyDescent="0.25">
      <c r="B19" s="76"/>
      <c r="C19" s="76"/>
      <c r="D19" s="76"/>
      <c r="E19" s="76"/>
      <c r="F19" s="76"/>
      <c r="G19" s="76"/>
      <c r="H19" s="76"/>
      <c r="I19" s="76"/>
      <c r="J19" s="76"/>
    </row>
    <row r="20" spans="2:10" ht="14.25" customHeight="1" x14ac:dyDescent="0.25">
      <c r="B20" s="76"/>
      <c r="C20" s="76"/>
      <c r="D20" s="76"/>
      <c r="E20" s="76"/>
      <c r="F20" s="76"/>
      <c r="G20" s="76"/>
      <c r="H20" s="76"/>
      <c r="I20" s="76"/>
      <c r="J20" s="76"/>
    </row>
    <row r="21" spans="2:10" ht="14.25" customHeight="1" x14ac:dyDescent="0.25">
      <c r="B21" s="78"/>
      <c r="C21" s="78"/>
      <c r="D21" s="78"/>
      <c r="E21" s="78"/>
      <c r="F21" s="78"/>
      <c r="G21" s="78"/>
      <c r="H21" s="78"/>
      <c r="I21" s="78"/>
      <c r="J21" s="78"/>
    </row>
    <row r="22" spans="2:10" ht="14.25" customHeight="1" x14ac:dyDescent="0.25">
      <c r="B22" s="78"/>
      <c r="C22" s="78"/>
      <c r="D22" s="78"/>
      <c r="E22" s="78"/>
      <c r="F22" s="78"/>
      <c r="G22" s="78"/>
      <c r="H22" s="78"/>
      <c r="I22" s="78"/>
      <c r="J22" s="78"/>
    </row>
    <row r="23" spans="2:10" ht="14.25" customHeight="1" x14ac:dyDescent="0.25">
      <c r="B23" s="78"/>
      <c r="C23" s="78"/>
      <c r="D23" s="78"/>
      <c r="E23" s="78"/>
      <c r="F23" s="78"/>
      <c r="G23" s="78"/>
      <c r="H23" s="78"/>
      <c r="I23" s="78"/>
      <c r="J23" s="78"/>
    </row>
    <row r="24" spans="2:10" ht="14.25" customHeight="1" x14ac:dyDescent="0.25"/>
    <row r="25" spans="2:10" ht="14.25" customHeight="1" x14ac:dyDescent="0.25"/>
    <row r="26" spans="2:10" ht="14.25" customHeight="1" x14ac:dyDescent="0.25"/>
    <row r="27" spans="2:10" ht="14.25" customHeight="1" x14ac:dyDescent="0.25"/>
    <row r="28" spans="2:10" ht="14.25" customHeight="1" x14ac:dyDescent="0.25"/>
    <row r="29" spans="2:10" ht="14.25" customHeight="1" x14ac:dyDescent="0.25"/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2:J2"/>
  </mergeCells>
  <pageMargins left="0.511811024" right="0.511811024" top="0.78740157499999996" bottom="0.78740157499999996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E65E-030D-453F-9ACF-CA4039F9659C}">
  <dimension ref="B1:H118"/>
  <sheetViews>
    <sheetView zoomScale="115" zoomScaleNormal="115" workbookViewId="0">
      <selection activeCell="B7" sqref="B7:G7"/>
    </sheetView>
  </sheetViews>
  <sheetFormatPr defaultRowHeight="15" x14ac:dyDescent="0.25"/>
  <cols>
    <col min="2" max="2" width="15.7109375" bestFit="1" customWidth="1"/>
    <col min="3" max="3" width="48.5703125" bestFit="1" customWidth="1"/>
    <col min="4" max="4" width="31.140625" bestFit="1" customWidth="1"/>
    <col min="5" max="5" width="10.5703125" bestFit="1" customWidth="1"/>
    <col min="6" max="6" width="12.7109375" bestFit="1" customWidth="1"/>
    <col min="7" max="7" width="14" bestFit="1" customWidth="1"/>
    <col min="8" max="8" width="10.5703125" bestFit="1" customWidth="1"/>
  </cols>
  <sheetData>
    <row r="1" spans="2:8" x14ac:dyDescent="0.25">
      <c r="B1" s="30"/>
      <c r="F1" s="57"/>
      <c r="G1" s="57"/>
    </row>
    <row r="2" spans="2:8" x14ac:dyDescent="0.25">
      <c r="B2" s="71"/>
      <c r="C2" s="113" t="s">
        <v>402</v>
      </c>
      <c r="D2" s="114"/>
      <c r="E2" s="114"/>
      <c r="F2" s="114"/>
      <c r="G2" s="114"/>
    </row>
    <row r="3" spans="2:8" ht="45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232</v>
      </c>
    </row>
    <row r="4" spans="2:8" x14ac:dyDescent="0.25">
      <c r="B4" s="117" t="s">
        <v>318</v>
      </c>
      <c r="C4" s="118" t="s">
        <v>328</v>
      </c>
      <c r="D4" s="117" t="s">
        <v>23</v>
      </c>
      <c r="E4" s="117">
        <v>20</v>
      </c>
      <c r="F4" s="119">
        <f>E4*16.5</f>
        <v>330</v>
      </c>
      <c r="G4" s="119"/>
    </row>
    <row r="5" spans="2:8" x14ac:dyDescent="0.25">
      <c r="B5" s="117" t="s">
        <v>7</v>
      </c>
      <c r="C5" s="120" t="s">
        <v>8</v>
      </c>
      <c r="D5" s="117" t="s">
        <v>86</v>
      </c>
      <c r="E5" s="117">
        <v>23</v>
      </c>
      <c r="F5" s="119">
        <f t="shared" ref="F5:F9" si="0">E5*16.5</f>
        <v>379.5</v>
      </c>
      <c r="G5" s="119"/>
    </row>
    <row r="6" spans="2:8" x14ac:dyDescent="0.25">
      <c r="B6" s="117" t="s">
        <v>354</v>
      </c>
      <c r="C6" s="121" t="s">
        <v>359</v>
      </c>
      <c r="D6" s="117" t="s">
        <v>23</v>
      </c>
      <c r="E6" s="117">
        <v>20</v>
      </c>
      <c r="F6" s="119">
        <f t="shared" si="0"/>
        <v>330</v>
      </c>
      <c r="G6" s="119"/>
    </row>
    <row r="7" spans="2:8" x14ac:dyDescent="0.25">
      <c r="B7" s="117" t="s">
        <v>343</v>
      </c>
      <c r="C7" s="121" t="s">
        <v>360</v>
      </c>
      <c r="D7" s="117" t="s">
        <v>29</v>
      </c>
      <c r="E7" s="117">
        <v>20</v>
      </c>
      <c r="F7" s="119">
        <f t="shared" si="0"/>
        <v>330</v>
      </c>
      <c r="G7" s="122">
        <v>120</v>
      </c>
    </row>
    <row r="8" spans="2:8" x14ac:dyDescent="0.25">
      <c r="B8" s="117" t="s">
        <v>264</v>
      </c>
      <c r="C8" s="121" t="s">
        <v>265</v>
      </c>
      <c r="D8" s="117" t="s">
        <v>23</v>
      </c>
      <c r="E8" s="117">
        <v>20</v>
      </c>
      <c r="F8" s="119">
        <f t="shared" si="0"/>
        <v>330</v>
      </c>
      <c r="G8" s="119">
        <v>120</v>
      </c>
      <c r="H8" s="175"/>
    </row>
    <row r="9" spans="2:8" x14ac:dyDescent="0.25">
      <c r="B9" s="117" t="s">
        <v>310</v>
      </c>
      <c r="C9" s="118" t="s">
        <v>329</v>
      </c>
      <c r="D9" s="117" t="s">
        <v>86</v>
      </c>
      <c r="E9" s="117">
        <v>24</v>
      </c>
      <c r="F9" s="119">
        <f t="shared" si="0"/>
        <v>396</v>
      </c>
      <c r="G9" s="119">
        <v>120</v>
      </c>
    </row>
    <row r="10" spans="2:8" x14ac:dyDescent="0.25">
      <c r="B10" s="117" t="s">
        <v>14</v>
      </c>
      <c r="C10" s="121" t="s">
        <v>15</v>
      </c>
      <c r="D10" s="117" t="s">
        <v>16</v>
      </c>
      <c r="E10" s="117" t="s">
        <v>10</v>
      </c>
      <c r="F10" s="119" t="s">
        <v>10</v>
      </c>
      <c r="G10" s="119"/>
    </row>
    <row r="11" spans="2:8" x14ac:dyDescent="0.25">
      <c r="B11" s="117" t="s">
        <v>17</v>
      </c>
      <c r="C11" s="121" t="s">
        <v>18</v>
      </c>
      <c r="D11" s="117" t="s">
        <v>16</v>
      </c>
      <c r="E11" s="117">
        <v>20</v>
      </c>
      <c r="F11" s="119">
        <f t="shared" ref="F11:F17" si="1">E11*16.5</f>
        <v>330</v>
      </c>
      <c r="G11" s="119">
        <v>120</v>
      </c>
    </row>
    <row r="12" spans="2:8" x14ac:dyDescent="0.25">
      <c r="B12" s="117" t="s">
        <v>19</v>
      </c>
      <c r="C12" s="121" t="s">
        <v>20</v>
      </c>
      <c r="D12" s="117" t="s">
        <v>16</v>
      </c>
      <c r="E12" s="117">
        <v>20</v>
      </c>
      <c r="F12" s="119">
        <f t="shared" si="1"/>
        <v>330</v>
      </c>
      <c r="G12" s="119">
        <v>120</v>
      </c>
    </row>
    <row r="13" spans="2:8" x14ac:dyDescent="0.25">
      <c r="B13" s="117" t="s">
        <v>27</v>
      </c>
      <c r="C13" s="121" t="s">
        <v>28</v>
      </c>
      <c r="D13" s="117" t="s">
        <v>29</v>
      </c>
      <c r="E13" s="117">
        <v>20</v>
      </c>
      <c r="F13" s="119">
        <f t="shared" si="1"/>
        <v>330</v>
      </c>
      <c r="G13" s="119">
        <v>120</v>
      </c>
    </row>
    <row r="14" spans="2:8" x14ac:dyDescent="0.25">
      <c r="B14" s="117" t="s">
        <v>30</v>
      </c>
      <c r="C14" s="121" t="s">
        <v>31</v>
      </c>
      <c r="D14" s="117" t="s">
        <v>32</v>
      </c>
      <c r="E14" s="117">
        <v>20</v>
      </c>
      <c r="F14" s="119">
        <f t="shared" si="1"/>
        <v>330</v>
      </c>
      <c r="G14" s="119">
        <v>120</v>
      </c>
    </row>
    <row r="15" spans="2:8" x14ac:dyDescent="0.25">
      <c r="B15" s="117" t="s">
        <v>36</v>
      </c>
      <c r="C15" s="121" t="s">
        <v>37</v>
      </c>
      <c r="D15" s="117" t="s">
        <v>29</v>
      </c>
      <c r="E15" s="117">
        <v>20</v>
      </c>
      <c r="F15" s="119">
        <f t="shared" si="1"/>
        <v>330</v>
      </c>
      <c r="G15" s="119">
        <v>120</v>
      </c>
    </row>
    <row r="16" spans="2:8" x14ac:dyDescent="0.25">
      <c r="B16" s="117" t="s">
        <v>41</v>
      </c>
      <c r="C16" s="121" t="s">
        <v>42</v>
      </c>
      <c r="D16" s="117" t="s">
        <v>35</v>
      </c>
      <c r="E16" s="117">
        <v>20</v>
      </c>
      <c r="F16" s="119">
        <f t="shared" si="1"/>
        <v>330</v>
      </c>
      <c r="G16" s="119">
        <v>120</v>
      </c>
    </row>
    <row r="17" spans="2:7" ht="15" customHeight="1" x14ac:dyDescent="0.25">
      <c r="B17" s="117" t="s">
        <v>356</v>
      </c>
      <c r="C17" s="121" t="s">
        <v>361</v>
      </c>
      <c r="D17" s="117" t="s">
        <v>23</v>
      </c>
      <c r="E17" s="117">
        <v>20</v>
      </c>
      <c r="F17" s="119">
        <f t="shared" si="1"/>
        <v>330</v>
      </c>
      <c r="G17" s="119"/>
    </row>
    <row r="18" spans="2:7" x14ac:dyDescent="0.25">
      <c r="B18" s="117" t="s">
        <v>234</v>
      </c>
      <c r="C18" s="121" t="s">
        <v>235</v>
      </c>
      <c r="D18" s="117" t="s">
        <v>103</v>
      </c>
      <c r="E18" s="117" t="s">
        <v>391</v>
      </c>
      <c r="F18" s="119">
        <v>600</v>
      </c>
      <c r="G18" s="119"/>
    </row>
    <row r="19" spans="2:7" x14ac:dyDescent="0.25">
      <c r="B19" s="117" t="s">
        <v>312</v>
      </c>
      <c r="C19" s="118" t="s">
        <v>331</v>
      </c>
      <c r="D19" s="117" t="s">
        <v>86</v>
      </c>
      <c r="E19" s="117">
        <v>23</v>
      </c>
      <c r="F19" s="119">
        <f t="shared" ref="F19:F50" si="2">E19*16.5</f>
        <v>379.5</v>
      </c>
      <c r="G19" s="119">
        <v>120</v>
      </c>
    </row>
    <row r="20" spans="2:7" ht="15.75" x14ac:dyDescent="0.25">
      <c r="B20" s="123" t="s">
        <v>368</v>
      </c>
      <c r="C20" s="124" t="s">
        <v>369</v>
      </c>
      <c r="D20" s="123" t="s">
        <v>35</v>
      </c>
      <c r="E20" s="117">
        <v>20</v>
      </c>
      <c r="F20" s="125">
        <f t="shared" si="2"/>
        <v>330</v>
      </c>
      <c r="G20" s="126">
        <v>120</v>
      </c>
    </row>
    <row r="21" spans="2:7" x14ac:dyDescent="0.25">
      <c r="B21" s="117" t="s">
        <v>316</v>
      </c>
      <c r="C21" s="118" t="s">
        <v>332</v>
      </c>
      <c r="D21" s="117" t="s">
        <v>32</v>
      </c>
      <c r="E21" s="117">
        <v>20</v>
      </c>
      <c r="F21" s="119">
        <f t="shared" si="2"/>
        <v>330</v>
      </c>
      <c r="G21" s="119">
        <v>120</v>
      </c>
    </row>
    <row r="22" spans="2:7" x14ac:dyDescent="0.25">
      <c r="B22" s="117" t="s">
        <v>301</v>
      </c>
      <c r="C22" s="121" t="s">
        <v>302</v>
      </c>
      <c r="D22" s="117" t="s">
        <v>389</v>
      </c>
      <c r="E22" s="117">
        <v>20</v>
      </c>
      <c r="F22" s="119">
        <f t="shared" si="2"/>
        <v>330</v>
      </c>
      <c r="G22" s="119">
        <v>120</v>
      </c>
    </row>
    <row r="23" spans="2:7" ht="15" customHeight="1" x14ac:dyDescent="0.25">
      <c r="B23" s="117" t="s">
        <v>288</v>
      </c>
      <c r="C23" s="121" t="s">
        <v>289</v>
      </c>
      <c r="D23" s="117" t="s">
        <v>32</v>
      </c>
      <c r="E23" s="117">
        <v>20</v>
      </c>
      <c r="F23" s="119">
        <f t="shared" si="2"/>
        <v>330</v>
      </c>
      <c r="G23" s="119">
        <v>120</v>
      </c>
    </row>
    <row r="24" spans="2:7" x14ac:dyDescent="0.25">
      <c r="B24" s="127">
        <v>10705364402</v>
      </c>
      <c r="C24" s="128" t="s">
        <v>51</v>
      </c>
      <c r="D24" s="129" t="s">
        <v>52</v>
      </c>
      <c r="E24" s="117">
        <v>20</v>
      </c>
      <c r="F24" s="130">
        <f t="shared" si="2"/>
        <v>330</v>
      </c>
      <c r="G24" s="130">
        <v>120</v>
      </c>
    </row>
    <row r="25" spans="2:7" ht="15.75" x14ac:dyDescent="0.25">
      <c r="B25" s="123" t="s">
        <v>378</v>
      </c>
      <c r="C25" s="131" t="s">
        <v>370</v>
      </c>
      <c r="D25" s="123" t="s">
        <v>375</v>
      </c>
      <c r="E25" s="117">
        <v>20</v>
      </c>
      <c r="F25" s="125">
        <f t="shared" si="2"/>
        <v>330</v>
      </c>
      <c r="G25" s="119">
        <v>120</v>
      </c>
    </row>
    <row r="26" spans="2:7" x14ac:dyDescent="0.25">
      <c r="B26" s="129" t="s">
        <v>53</v>
      </c>
      <c r="C26" s="132" t="s">
        <v>54</v>
      </c>
      <c r="D26" s="129" t="s">
        <v>52</v>
      </c>
      <c r="E26" s="117">
        <v>20</v>
      </c>
      <c r="F26" s="130">
        <f t="shared" si="2"/>
        <v>330</v>
      </c>
      <c r="G26" s="130">
        <v>120</v>
      </c>
    </row>
    <row r="27" spans="2:7" x14ac:dyDescent="0.25">
      <c r="B27" s="133" t="s">
        <v>55</v>
      </c>
      <c r="C27" s="121" t="s">
        <v>56</v>
      </c>
      <c r="D27" s="117" t="s">
        <v>389</v>
      </c>
      <c r="E27" s="117">
        <v>20</v>
      </c>
      <c r="F27" s="119">
        <f t="shared" si="2"/>
        <v>330</v>
      </c>
      <c r="G27" s="119">
        <v>120</v>
      </c>
    </row>
    <row r="28" spans="2:7" x14ac:dyDescent="0.25">
      <c r="B28" s="134" t="s">
        <v>57</v>
      </c>
      <c r="C28" s="135" t="s">
        <v>58</v>
      </c>
      <c r="D28" s="136" t="s">
        <v>389</v>
      </c>
      <c r="E28" s="136">
        <v>13</v>
      </c>
      <c r="F28" s="137">
        <f>16.5*E28</f>
        <v>214.5</v>
      </c>
      <c r="G28" s="137">
        <f>6*13</f>
        <v>78</v>
      </c>
    </row>
    <row r="29" spans="2:7" ht="15.75" customHeight="1" x14ac:dyDescent="0.25">
      <c r="B29" s="117" t="s">
        <v>266</v>
      </c>
      <c r="C29" s="121" t="s">
        <v>267</v>
      </c>
      <c r="D29" s="117" t="s">
        <v>23</v>
      </c>
      <c r="E29" s="117">
        <v>20</v>
      </c>
      <c r="F29" s="119">
        <f t="shared" si="2"/>
        <v>330</v>
      </c>
      <c r="G29" s="119">
        <v>120</v>
      </c>
    </row>
    <row r="30" spans="2:7" x14ac:dyDescent="0.25">
      <c r="B30" s="117" t="s">
        <v>271</v>
      </c>
      <c r="C30" s="121" t="s">
        <v>272</v>
      </c>
      <c r="D30" s="117" t="s">
        <v>103</v>
      </c>
      <c r="E30" s="117">
        <v>20</v>
      </c>
      <c r="F30" s="119">
        <f t="shared" si="2"/>
        <v>330</v>
      </c>
      <c r="G30" s="119">
        <v>120</v>
      </c>
    </row>
    <row r="31" spans="2:7" x14ac:dyDescent="0.25">
      <c r="B31" s="134" t="s">
        <v>66</v>
      </c>
      <c r="C31" s="135" t="s">
        <v>67</v>
      </c>
      <c r="D31" s="136" t="s">
        <v>32</v>
      </c>
      <c r="E31" s="136">
        <f>20-11</f>
        <v>9</v>
      </c>
      <c r="F31" s="137">
        <f t="shared" si="2"/>
        <v>148.5</v>
      </c>
      <c r="G31" s="137"/>
    </row>
    <row r="32" spans="2:7" x14ac:dyDescent="0.25">
      <c r="B32" s="117" t="s">
        <v>320</v>
      </c>
      <c r="C32" s="118" t="s">
        <v>333</v>
      </c>
      <c r="D32" s="117" t="s">
        <v>389</v>
      </c>
      <c r="E32" s="117">
        <v>20</v>
      </c>
      <c r="F32" s="119">
        <f t="shared" si="2"/>
        <v>330</v>
      </c>
      <c r="G32" s="119">
        <v>120</v>
      </c>
    </row>
    <row r="33" spans="2:7" x14ac:dyDescent="0.25">
      <c r="B33" s="117" t="s">
        <v>303</v>
      </c>
      <c r="C33" s="121" t="s">
        <v>304</v>
      </c>
      <c r="D33" s="117" t="s">
        <v>40</v>
      </c>
      <c r="E33" s="117">
        <v>20</v>
      </c>
      <c r="F33" s="119">
        <f t="shared" si="2"/>
        <v>330</v>
      </c>
      <c r="G33" s="119"/>
    </row>
    <row r="34" spans="2:7" x14ac:dyDescent="0.25">
      <c r="B34" s="117" t="s">
        <v>224</v>
      </c>
      <c r="C34" s="118" t="s">
        <v>225</v>
      </c>
      <c r="D34" s="117" t="s">
        <v>143</v>
      </c>
      <c r="E34" s="117">
        <v>20</v>
      </c>
      <c r="F34" s="119">
        <f t="shared" si="2"/>
        <v>330</v>
      </c>
      <c r="G34" s="119"/>
    </row>
    <row r="35" spans="2:7" x14ac:dyDescent="0.25">
      <c r="B35" s="117" t="s">
        <v>70</v>
      </c>
      <c r="C35" s="121" t="s">
        <v>71</v>
      </c>
      <c r="D35" s="117" t="s">
        <v>32</v>
      </c>
      <c r="E35" s="117">
        <v>20</v>
      </c>
      <c r="F35" s="119">
        <f t="shared" si="2"/>
        <v>330</v>
      </c>
      <c r="G35" s="119">
        <v>120</v>
      </c>
    </row>
    <row r="36" spans="2:7" x14ac:dyDescent="0.25">
      <c r="B36" s="117" t="s">
        <v>280</v>
      </c>
      <c r="C36" s="121" t="s">
        <v>281</v>
      </c>
      <c r="D36" s="117" t="s">
        <v>86</v>
      </c>
      <c r="E36" s="117">
        <v>24</v>
      </c>
      <c r="F36" s="119">
        <f t="shared" si="2"/>
        <v>396</v>
      </c>
      <c r="G36" s="119">
        <v>120</v>
      </c>
    </row>
    <row r="37" spans="2:7" x14ac:dyDescent="0.25">
      <c r="B37" s="133" t="s">
        <v>74</v>
      </c>
      <c r="C37" s="121" t="s">
        <v>75</v>
      </c>
      <c r="D37" s="117" t="s">
        <v>143</v>
      </c>
      <c r="E37" s="117">
        <v>20</v>
      </c>
      <c r="F37" s="119">
        <f t="shared" si="2"/>
        <v>330</v>
      </c>
      <c r="G37" s="119">
        <v>120</v>
      </c>
    </row>
    <row r="38" spans="2:7" x14ac:dyDescent="0.25">
      <c r="B38" s="138" t="s">
        <v>392</v>
      </c>
      <c r="C38" s="139" t="s">
        <v>400</v>
      </c>
      <c r="D38" s="140" t="s">
        <v>396</v>
      </c>
      <c r="E38" s="117">
        <v>20</v>
      </c>
      <c r="F38" s="125">
        <f t="shared" si="2"/>
        <v>330</v>
      </c>
      <c r="G38" s="119">
        <v>120</v>
      </c>
    </row>
    <row r="39" spans="2:7" x14ac:dyDescent="0.25">
      <c r="B39" s="117" t="s">
        <v>237</v>
      </c>
      <c r="C39" s="118" t="s">
        <v>238</v>
      </c>
      <c r="D39" s="117" t="s">
        <v>103</v>
      </c>
      <c r="E39" s="117">
        <v>20</v>
      </c>
      <c r="F39" s="119">
        <f t="shared" si="2"/>
        <v>330</v>
      </c>
      <c r="G39" s="119">
        <v>120</v>
      </c>
    </row>
    <row r="40" spans="2:7" x14ac:dyDescent="0.25">
      <c r="B40" s="117" t="s">
        <v>229</v>
      </c>
      <c r="C40" s="118" t="s">
        <v>230</v>
      </c>
      <c r="D40" s="117" t="s">
        <v>143</v>
      </c>
      <c r="E40" s="117">
        <v>20</v>
      </c>
      <c r="F40" s="119">
        <f t="shared" si="2"/>
        <v>330</v>
      </c>
      <c r="G40" s="119">
        <v>120</v>
      </c>
    </row>
    <row r="41" spans="2:7" x14ac:dyDescent="0.25">
      <c r="B41" s="133" t="s">
        <v>80</v>
      </c>
      <c r="C41" s="121" t="s">
        <v>81</v>
      </c>
      <c r="D41" s="117" t="s">
        <v>16</v>
      </c>
      <c r="E41" s="117">
        <v>20</v>
      </c>
      <c r="F41" s="119">
        <f t="shared" si="2"/>
        <v>330</v>
      </c>
      <c r="G41" s="119">
        <v>120</v>
      </c>
    </row>
    <row r="42" spans="2:7" x14ac:dyDescent="0.25">
      <c r="B42" s="141" t="s">
        <v>383</v>
      </c>
      <c r="C42" s="142" t="s">
        <v>399</v>
      </c>
      <c r="D42" s="141" t="s">
        <v>13</v>
      </c>
      <c r="E42" s="136">
        <v>25</v>
      </c>
      <c r="F42" s="143">
        <f>16.5*E42</f>
        <v>412.5</v>
      </c>
      <c r="G42" s="137">
        <v>120</v>
      </c>
    </row>
    <row r="43" spans="2:7" x14ac:dyDescent="0.25">
      <c r="B43" s="117" t="s">
        <v>298</v>
      </c>
      <c r="C43" s="121" t="s">
        <v>299</v>
      </c>
      <c r="D43" s="117" t="s">
        <v>389</v>
      </c>
      <c r="E43" s="117">
        <v>20</v>
      </c>
      <c r="F43" s="119">
        <f t="shared" si="2"/>
        <v>330</v>
      </c>
      <c r="G43" s="119">
        <v>120</v>
      </c>
    </row>
    <row r="44" spans="2:7" x14ac:dyDescent="0.25">
      <c r="B44" s="134" t="s">
        <v>87</v>
      </c>
      <c r="C44" s="135" t="s">
        <v>88</v>
      </c>
      <c r="D44" s="136" t="s">
        <v>23</v>
      </c>
      <c r="E44" s="136">
        <v>8</v>
      </c>
      <c r="F44" s="137">
        <f>16.5*E44</f>
        <v>132</v>
      </c>
      <c r="G44" s="137"/>
    </row>
    <row r="45" spans="2:7" x14ac:dyDescent="0.25">
      <c r="B45" s="133" t="s">
        <v>89</v>
      </c>
      <c r="C45" s="121" t="s">
        <v>90</v>
      </c>
      <c r="D45" s="117" t="s">
        <v>35</v>
      </c>
      <c r="E45" s="117">
        <v>20</v>
      </c>
      <c r="F45" s="119">
        <f t="shared" si="2"/>
        <v>330</v>
      </c>
      <c r="G45" s="119"/>
    </row>
    <row r="46" spans="2:7" x14ac:dyDescent="0.25">
      <c r="B46" s="133" t="s">
        <v>91</v>
      </c>
      <c r="C46" s="121" t="s">
        <v>92</v>
      </c>
      <c r="D46" s="117" t="s">
        <v>377</v>
      </c>
      <c r="E46" s="117">
        <v>20</v>
      </c>
      <c r="F46" s="119">
        <f t="shared" si="2"/>
        <v>330</v>
      </c>
      <c r="G46" s="119">
        <v>120</v>
      </c>
    </row>
    <row r="47" spans="2:7" ht="15" customHeight="1" x14ac:dyDescent="0.25">
      <c r="B47" s="144" t="s">
        <v>93</v>
      </c>
      <c r="C47" s="145" t="s">
        <v>94</v>
      </c>
      <c r="D47" s="129" t="s">
        <v>52</v>
      </c>
      <c r="E47" s="117">
        <v>20</v>
      </c>
      <c r="F47" s="130">
        <f t="shared" si="2"/>
        <v>330</v>
      </c>
      <c r="G47" s="130"/>
    </row>
    <row r="48" spans="2:7" x14ac:dyDescent="0.25">
      <c r="B48" s="133" t="s">
        <v>95</v>
      </c>
      <c r="C48" s="121" t="s">
        <v>96</v>
      </c>
      <c r="D48" s="117" t="s">
        <v>389</v>
      </c>
      <c r="E48" s="117">
        <v>20</v>
      </c>
      <c r="F48" s="119">
        <f t="shared" si="2"/>
        <v>330</v>
      </c>
      <c r="G48" s="119">
        <v>120</v>
      </c>
    </row>
    <row r="49" spans="2:7" x14ac:dyDescent="0.25">
      <c r="B49" s="136" t="s">
        <v>99</v>
      </c>
      <c r="C49" s="135" t="s">
        <v>100</v>
      </c>
      <c r="D49" s="136" t="s">
        <v>13</v>
      </c>
      <c r="E49" s="136" t="s">
        <v>10</v>
      </c>
      <c r="F49" s="137" t="s">
        <v>10</v>
      </c>
      <c r="G49" s="137" t="s">
        <v>10</v>
      </c>
    </row>
    <row r="50" spans="2:7" x14ac:dyDescent="0.25">
      <c r="B50" s="117" t="s">
        <v>273</v>
      </c>
      <c r="C50" s="118" t="s">
        <v>274</v>
      </c>
      <c r="D50" s="117" t="s">
        <v>35</v>
      </c>
      <c r="E50" s="117">
        <v>20</v>
      </c>
      <c r="F50" s="119">
        <f t="shared" si="2"/>
        <v>330</v>
      </c>
      <c r="G50" s="119">
        <v>120</v>
      </c>
    </row>
    <row r="51" spans="2:7" ht="15" customHeight="1" x14ac:dyDescent="0.25">
      <c r="B51" s="117" t="s">
        <v>348</v>
      </c>
      <c r="C51" s="121" t="s">
        <v>362</v>
      </c>
      <c r="D51" s="117" t="s">
        <v>143</v>
      </c>
      <c r="E51" s="117">
        <v>20</v>
      </c>
      <c r="F51" s="119">
        <f t="shared" ref="F51:F82" si="3">E51*16.5</f>
        <v>330</v>
      </c>
      <c r="G51" s="122">
        <v>120</v>
      </c>
    </row>
    <row r="52" spans="2:7" ht="15" customHeight="1" x14ac:dyDescent="0.25">
      <c r="B52" s="117" t="s">
        <v>338</v>
      </c>
      <c r="C52" s="121" t="s">
        <v>339</v>
      </c>
      <c r="D52" s="117" t="s">
        <v>23</v>
      </c>
      <c r="E52" s="117">
        <v>20</v>
      </c>
      <c r="F52" s="119">
        <f t="shared" si="3"/>
        <v>330</v>
      </c>
      <c r="G52" s="119">
        <v>120</v>
      </c>
    </row>
    <row r="53" spans="2:7" x14ac:dyDescent="0.25">
      <c r="B53" s="117" t="s">
        <v>227</v>
      </c>
      <c r="C53" s="118" t="s">
        <v>228</v>
      </c>
      <c r="D53" s="117" t="s">
        <v>103</v>
      </c>
      <c r="E53" s="117">
        <v>20</v>
      </c>
      <c r="F53" s="119">
        <f t="shared" si="3"/>
        <v>330</v>
      </c>
      <c r="G53" s="119">
        <v>120</v>
      </c>
    </row>
    <row r="54" spans="2:7" x14ac:dyDescent="0.25">
      <c r="B54" s="134" t="s">
        <v>106</v>
      </c>
      <c r="C54" s="135" t="s">
        <v>107</v>
      </c>
      <c r="D54" s="136" t="s">
        <v>389</v>
      </c>
      <c r="E54" s="136">
        <v>11</v>
      </c>
      <c r="F54" s="137">
        <f>16.5*E54</f>
        <v>181.5</v>
      </c>
      <c r="G54" s="137">
        <f>6*11</f>
        <v>66</v>
      </c>
    </row>
    <row r="55" spans="2:7" x14ac:dyDescent="0.25">
      <c r="B55" s="117" t="s">
        <v>277</v>
      </c>
      <c r="C55" s="121" t="s">
        <v>278</v>
      </c>
      <c r="D55" s="117" t="s">
        <v>86</v>
      </c>
      <c r="E55" s="117">
        <v>24</v>
      </c>
      <c r="F55" s="119">
        <f t="shared" si="3"/>
        <v>396</v>
      </c>
      <c r="G55" s="119">
        <v>120</v>
      </c>
    </row>
    <row r="56" spans="2:7" x14ac:dyDescent="0.25">
      <c r="B56" s="117" t="s">
        <v>324</v>
      </c>
      <c r="C56" s="118" t="s">
        <v>334</v>
      </c>
      <c r="D56" s="117" t="s">
        <v>388</v>
      </c>
      <c r="E56" s="117">
        <v>24</v>
      </c>
      <c r="F56" s="119">
        <f>E56*16.5</f>
        <v>396</v>
      </c>
      <c r="G56" s="119">
        <v>120</v>
      </c>
    </row>
    <row r="57" spans="2:7" ht="15.75" x14ac:dyDescent="0.25">
      <c r="B57" s="117" t="s">
        <v>239</v>
      </c>
      <c r="C57" s="146" t="s">
        <v>240</v>
      </c>
      <c r="D57" s="117" t="s">
        <v>143</v>
      </c>
      <c r="E57" s="117">
        <v>20</v>
      </c>
      <c r="F57" s="125">
        <f t="shared" si="3"/>
        <v>330</v>
      </c>
      <c r="G57" s="119">
        <v>120</v>
      </c>
    </row>
    <row r="58" spans="2:7" x14ac:dyDescent="0.25">
      <c r="B58" s="133" t="s">
        <v>114</v>
      </c>
      <c r="C58" s="121" t="s">
        <v>115</v>
      </c>
      <c r="D58" s="117" t="s">
        <v>143</v>
      </c>
      <c r="E58" s="117">
        <v>20</v>
      </c>
      <c r="F58" s="119">
        <f t="shared" si="3"/>
        <v>330</v>
      </c>
      <c r="G58" s="119">
        <v>120</v>
      </c>
    </row>
    <row r="59" spans="2:7" x14ac:dyDescent="0.25">
      <c r="B59" s="117" t="s">
        <v>314</v>
      </c>
      <c r="C59" s="118" t="s">
        <v>335</v>
      </c>
      <c r="D59" s="117" t="s">
        <v>86</v>
      </c>
      <c r="E59" s="117">
        <v>24</v>
      </c>
      <c r="F59" s="119">
        <f t="shared" si="3"/>
        <v>396</v>
      </c>
      <c r="G59" s="119"/>
    </row>
    <row r="60" spans="2:7" x14ac:dyDescent="0.25">
      <c r="B60" s="129" t="s">
        <v>120</v>
      </c>
      <c r="C60" s="147" t="s">
        <v>121</v>
      </c>
      <c r="D60" s="129" t="s">
        <v>52</v>
      </c>
      <c r="E60" s="117">
        <v>20</v>
      </c>
      <c r="F60" s="130">
        <f t="shared" si="3"/>
        <v>330</v>
      </c>
      <c r="G60" s="130">
        <v>120</v>
      </c>
    </row>
    <row r="61" spans="2:7" x14ac:dyDescent="0.25">
      <c r="B61" s="133" t="s">
        <v>108</v>
      </c>
      <c r="C61" s="121" t="s">
        <v>109</v>
      </c>
      <c r="D61" s="117" t="s">
        <v>23</v>
      </c>
      <c r="E61" s="117">
        <v>20</v>
      </c>
      <c r="F61" s="119">
        <f t="shared" si="3"/>
        <v>330</v>
      </c>
      <c r="G61" s="119">
        <v>120</v>
      </c>
    </row>
    <row r="62" spans="2:7" x14ac:dyDescent="0.25">
      <c r="B62" s="148" t="s">
        <v>112</v>
      </c>
      <c r="C62" s="149" t="s">
        <v>113</v>
      </c>
      <c r="D62" s="150" t="s">
        <v>52</v>
      </c>
      <c r="E62" s="117">
        <v>20</v>
      </c>
      <c r="F62" s="151">
        <f t="shared" si="3"/>
        <v>330</v>
      </c>
      <c r="G62" s="130">
        <v>120</v>
      </c>
    </row>
    <row r="63" spans="2:7" x14ac:dyDescent="0.25">
      <c r="B63" s="117" t="s">
        <v>352</v>
      </c>
      <c r="C63" s="121" t="s">
        <v>363</v>
      </c>
      <c r="D63" s="117" t="s">
        <v>13</v>
      </c>
      <c r="E63" s="117">
        <v>20</v>
      </c>
      <c r="F63" s="119">
        <f t="shared" si="3"/>
        <v>330</v>
      </c>
      <c r="G63" s="122">
        <v>120</v>
      </c>
    </row>
    <row r="64" spans="2:7" x14ac:dyDescent="0.25">
      <c r="B64" s="133" t="s">
        <v>122</v>
      </c>
      <c r="C64" s="121" t="s">
        <v>123</v>
      </c>
      <c r="D64" s="117" t="s">
        <v>143</v>
      </c>
      <c r="E64" s="117">
        <v>20</v>
      </c>
      <c r="F64" s="119">
        <f t="shared" si="3"/>
        <v>330</v>
      </c>
      <c r="G64" s="119">
        <v>120</v>
      </c>
    </row>
    <row r="65" spans="2:7" x14ac:dyDescent="0.25">
      <c r="B65" s="117" t="s">
        <v>306</v>
      </c>
      <c r="C65" s="121" t="s">
        <v>307</v>
      </c>
      <c r="D65" s="117" t="s">
        <v>40</v>
      </c>
      <c r="E65" s="117">
        <v>20</v>
      </c>
      <c r="F65" s="119">
        <f t="shared" si="3"/>
        <v>330</v>
      </c>
      <c r="G65" s="119">
        <v>120</v>
      </c>
    </row>
    <row r="66" spans="2:7" ht="13.9" customHeight="1" x14ac:dyDescent="0.25">
      <c r="B66" s="134" t="s">
        <v>124</v>
      </c>
      <c r="C66" s="135" t="s">
        <v>125</v>
      </c>
      <c r="D66" s="136" t="s">
        <v>86</v>
      </c>
      <c r="E66" s="136">
        <v>18</v>
      </c>
      <c r="F66" s="137">
        <f t="shared" si="3"/>
        <v>297</v>
      </c>
      <c r="G66" s="137">
        <f>6*15</f>
        <v>90</v>
      </c>
    </row>
    <row r="67" spans="2:7" x14ac:dyDescent="0.25">
      <c r="B67" s="127">
        <v>4912836443</v>
      </c>
      <c r="C67" s="121" t="s">
        <v>128</v>
      </c>
      <c r="D67" s="117" t="s">
        <v>86</v>
      </c>
      <c r="E67" s="117">
        <v>23</v>
      </c>
      <c r="F67" s="119">
        <f t="shared" si="3"/>
        <v>379.5</v>
      </c>
      <c r="G67" s="119">
        <v>120</v>
      </c>
    </row>
    <row r="68" spans="2:7" x14ac:dyDescent="0.25">
      <c r="B68" s="117" t="s">
        <v>242</v>
      </c>
      <c r="C68" s="118" t="s">
        <v>243</v>
      </c>
      <c r="D68" s="117" t="s">
        <v>40</v>
      </c>
      <c r="E68" s="117">
        <v>20</v>
      </c>
      <c r="F68" s="119">
        <f t="shared" si="3"/>
        <v>330</v>
      </c>
      <c r="G68" s="119">
        <v>120</v>
      </c>
    </row>
    <row r="69" spans="2:7" x14ac:dyDescent="0.25">
      <c r="B69" s="117" t="s">
        <v>293</v>
      </c>
      <c r="C69" s="121" t="s">
        <v>294</v>
      </c>
      <c r="D69" s="117" t="s">
        <v>389</v>
      </c>
      <c r="E69" s="117">
        <v>20</v>
      </c>
      <c r="F69" s="119">
        <f t="shared" si="3"/>
        <v>330</v>
      </c>
      <c r="G69" s="119">
        <v>120</v>
      </c>
    </row>
    <row r="70" spans="2:7" x14ac:dyDescent="0.25">
      <c r="B70" s="133" t="s">
        <v>336</v>
      </c>
      <c r="C70" s="121" t="s">
        <v>132</v>
      </c>
      <c r="D70" s="117" t="s">
        <v>143</v>
      </c>
      <c r="E70" s="117">
        <v>20</v>
      </c>
      <c r="F70" s="119">
        <f t="shared" si="3"/>
        <v>330</v>
      </c>
      <c r="G70" s="119">
        <v>120</v>
      </c>
    </row>
    <row r="71" spans="2:7" ht="15.75" x14ac:dyDescent="0.25">
      <c r="B71" s="140" t="s">
        <v>381</v>
      </c>
      <c r="C71" s="131" t="s">
        <v>372</v>
      </c>
      <c r="D71" s="140" t="s">
        <v>377</v>
      </c>
      <c r="E71" s="117">
        <v>20</v>
      </c>
      <c r="F71" s="125">
        <f t="shared" si="3"/>
        <v>330</v>
      </c>
      <c r="G71" s="119">
        <v>120</v>
      </c>
    </row>
    <row r="72" spans="2:7" ht="15.75" x14ac:dyDescent="0.25">
      <c r="B72" s="140" t="s">
        <v>379</v>
      </c>
      <c r="C72" s="131" t="s">
        <v>371</v>
      </c>
      <c r="D72" s="140" t="s">
        <v>375</v>
      </c>
      <c r="E72" s="117">
        <v>20</v>
      </c>
      <c r="F72" s="125">
        <f t="shared" si="3"/>
        <v>330</v>
      </c>
      <c r="G72" s="119">
        <v>120</v>
      </c>
    </row>
    <row r="73" spans="2:7" x14ac:dyDescent="0.25">
      <c r="B73" s="133" t="s">
        <v>135</v>
      </c>
      <c r="C73" s="121" t="s">
        <v>136</v>
      </c>
      <c r="D73" s="117" t="s">
        <v>86</v>
      </c>
      <c r="E73" s="117">
        <v>23</v>
      </c>
      <c r="F73" s="119">
        <f t="shared" si="3"/>
        <v>379.5</v>
      </c>
      <c r="G73" s="119">
        <v>120</v>
      </c>
    </row>
    <row r="74" spans="2:7" ht="15.75" x14ac:dyDescent="0.25">
      <c r="B74" s="140" t="s">
        <v>382</v>
      </c>
      <c r="C74" s="131" t="s">
        <v>374</v>
      </c>
      <c r="D74" s="140" t="s">
        <v>376</v>
      </c>
      <c r="E74" s="117">
        <v>20</v>
      </c>
      <c r="F74" s="125">
        <f t="shared" si="3"/>
        <v>330</v>
      </c>
      <c r="G74" s="119">
        <v>120</v>
      </c>
    </row>
    <row r="75" spans="2:7" x14ac:dyDescent="0.25">
      <c r="B75" s="117" t="s">
        <v>340</v>
      </c>
      <c r="C75" s="121" t="s">
        <v>364</v>
      </c>
      <c r="D75" s="117" t="s">
        <v>23</v>
      </c>
      <c r="E75" s="117">
        <v>20</v>
      </c>
      <c r="F75" s="119">
        <f t="shared" si="3"/>
        <v>330</v>
      </c>
      <c r="G75" s="122">
        <v>120</v>
      </c>
    </row>
    <row r="76" spans="2:7" x14ac:dyDescent="0.25">
      <c r="B76" s="133" t="s">
        <v>137</v>
      </c>
      <c r="C76" s="121" t="s">
        <v>138</v>
      </c>
      <c r="D76" s="117" t="s">
        <v>29</v>
      </c>
      <c r="E76" s="117">
        <v>20</v>
      </c>
      <c r="F76" s="119">
        <f t="shared" si="3"/>
        <v>330</v>
      </c>
      <c r="G76" s="119">
        <v>120</v>
      </c>
    </row>
    <row r="77" spans="2:7" x14ac:dyDescent="0.25">
      <c r="B77" s="117" t="s">
        <v>141</v>
      </c>
      <c r="C77" s="121" t="s">
        <v>142</v>
      </c>
      <c r="D77" s="117" t="s">
        <v>143</v>
      </c>
      <c r="E77" s="117">
        <v>20</v>
      </c>
      <c r="F77" s="119">
        <f t="shared" si="3"/>
        <v>330</v>
      </c>
      <c r="G77" s="119">
        <v>120</v>
      </c>
    </row>
    <row r="78" spans="2:7" ht="15" customHeight="1" x14ac:dyDescent="0.25">
      <c r="B78" s="117" t="s">
        <v>144</v>
      </c>
      <c r="C78" s="121" t="s">
        <v>145</v>
      </c>
      <c r="D78" s="117" t="s">
        <v>143</v>
      </c>
      <c r="E78" s="117">
        <v>20</v>
      </c>
      <c r="F78" s="119">
        <f t="shared" si="3"/>
        <v>330</v>
      </c>
      <c r="G78" s="119">
        <v>120</v>
      </c>
    </row>
    <row r="79" spans="2:7" x14ac:dyDescent="0.25">
      <c r="B79" s="152" t="s">
        <v>146</v>
      </c>
      <c r="C79" s="147" t="s">
        <v>147</v>
      </c>
      <c r="D79" s="129" t="s">
        <v>52</v>
      </c>
      <c r="E79" s="117">
        <v>20</v>
      </c>
      <c r="F79" s="130">
        <f t="shared" si="3"/>
        <v>330</v>
      </c>
      <c r="G79" s="130">
        <v>120</v>
      </c>
    </row>
    <row r="80" spans="2:7" x14ac:dyDescent="0.25">
      <c r="B80" s="134" t="s">
        <v>148</v>
      </c>
      <c r="C80" s="135" t="s">
        <v>149</v>
      </c>
      <c r="D80" s="136" t="s">
        <v>389</v>
      </c>
      <c r="E80" s="136">
        <v>16</v>
      </c>
      <c r="F80" s="137">
        <f>16.5*E80</f>
        <v>264</v>
      </c>
      <c r="G80" s="137">
        <f>6*16</f>
        <v>96</v>
      </c>
    </row>
    <row r="81" spans="2:7" ht="15.75" x14ac:dyDescent="0.25">
      <c r="B81" s="140" t="s">
        <v>380</v>
      </c>
      <c r="C81" s="131" t="s">
        <v>373</v>
      </c>
      <c r="D81" s="140" t="s">
        <v>32</v>
      </c>
      <c r="E81" s="117">
        <v>20</v>
      </c>
      <c r="F81" s="125">
        <f t="shared" si="3"/>
        <v>330</v>
      </c>
      <c r="G81" s="119">
        <v>120</v>
      </c>
    </row>
    <row r="82" spans="2:7" x14ac:dyDescent="0.25">
      <c r="B82" s="117" t="s">
        <v>150</v>
      </c>
      <c r="C82" s="121" t="s">
        <v>151</v>
      </c>
      <c r="D82" s="117" t="s">
        <v>32</v>
      </c>
      <c r="E82" s="117">
        <v>20</v>
      </c>
      <c r="F82" s="119">
        <f t="shared" si="3"/>
        <v>330</v>
      </c>
      <c r="G82" s="119">
        <v>120</v>
      </c>
    </row>
    <row r="83" spans="2:7" x14ac:dyDescent="0.25">
      <c r="B83" s="117" t="s">
        <v>152</v>
      </c>
      <c r="C83" s="121" t="s">
        <v>153</v>
      </c>
      <c r="D83" s="117" t="s">
        <v>377</v>
      </c>
      <c r="E83" s="117">
        <v>20</v>
      </c>
      <c r="F83" s="119">
        <f t="shared" ref="F83:F91" si="4">E83*16.5</f>
        <v>330</v>
      </c>
      <c r="G83" s="119">
        <v>120</v>
      </c>
    </row>
    <row r="84" spans="2:7" x14ac:dyDescent="0.25">
      <c r="B84" s="117" t="s">
        <v>156</v>
      </c>
      <c r="C84" s="121" t="s">
        <v>157</v>
      </c>
      <c r="D84" s="117" t="s">
        <v>16</v>
      </c>
      <c r="E84" s="117">
        <v>20</v>
      </c>
      <c r="F84" s="119">
        <f t="shared" si="4"/>
        <v>330</v>
      </c>
      <c r="G84" s="119">
        <v>120</v>
      </c>
    </row>
    <row r="85" spans="2:7" x14ac:dyDescent="0.25">
      <c r="B85" s="117" t="s">
        <v>350</v>
      </c>
      <c r="C85" s="121" t="s">
        <v>365</v>
      </c>
      <c r="D85" s="117" t="s">
        <v>143</v>
      </c>
      <c r="E85" s="117">
        <v>20</v>
      </c>
      <c r="F85" s="119">
        <f t="shared" si="4"/>
        <v>330</v>
      </c>
      <c r="G85" s="119"/>
    </row>
    <row r="86" spans="2:7" x14ac:dyDescent="0.25">
      <c r="B86" s="153" t="s">
        <v>158</v>
      </c>
      <c r="C86" s="154" t="s">
        <v>159</v>
      </c>
      <c r="D86" s="150" t="s">
        <v>29</v>
      </c>
      <c r="E86" s="117">
        <v>20</v>
      </c>
      <c r="F86" s="151">
        <f t="shared" si="4"/>
        <v>330</v>
      </c>
      <c r="G86" s="151">
        <v>120</v>
      </c>
    </row>
    <row r="87" spans="2:7" x14ac:dyDescent="0.25">
      <c r="B87" s="117" t="s">
        <v>346</v>
      </c>
      <c r="C87" s="121" t="s">
        <v>366</v>
      </c>
      <c r="D87" s="117" t="s">
        <v>143</v>
      </c>
      <c r="E87" s="117">
        <v>20</v>
      </c>
      <c r="F87" s="119">
        <f t="shared" si="4"/>
        <v>330</v>
      </c>
      <c r="G87" s="122">
        <v>120</v>
      </c>
    </row>
    <row r="88" spans="2:7" x14ac:dyDescent="0.25">
      <c r="B88" s="117" t="s">
        <v>160</v>
      </c>
      <c r="C88" s="121" t="s">
        <v>161</v>
      </c>
      <c r="D88" s="117" t="s">
        <v>86</v>
      </c>
      <c r="E88" s="117">
        <v>24</v>
      </c>
      <c r="F88" s="119">
        <f t="shared" si="4"/>
        <v>396</v>
      </c>
      <c r="G88" s="119">
        <v>120</v>
      </c>
    </row>
    <row r="89" spans="2:7" x14ac:dyDescent="0.25">
      <c r="B89" s="152" t="s">
        <v>164</v>
      </c>
      <c r="C89" s="132" t="s">
        <v>165</v>
      </c>
      <c r="D89" s="129" t="s">
        <v>29</v>
      </c>
      <c r="E89" s="117">
        <v>20</v>
      </c>
      <c r="F89" s="130">
        <f t="shared" si="4"/>
        <v>330</v>
      </c>
      <c r="G89" s="130">
        <v>120</v>
      </c>
    </row>
    <row r="90" spans="2:7" x14ac:dyDescent="0.25">
      <c r="B90" s="152" t="s">
        <v>398</v>
      </c>
      <c r="C90" s="132" t="s">
        <v>397</v>
      </c>
      <c r="D90" s="117" t="s">
        <v>103</v>
      </c>
      <c r="E90" s="117">
        <v>20</v>
      </c>
      <c r="F90" s="130">
        <f>16.5*E90</f>
        <v>330</v>
      </c>
      <c r="G90" s="130">
        <v>120</v>
      </c>
    </row>
    <row r="91" spans="2:7" x14ac:dyDescent="0.25">
      <c r="B91" s="117" t="s">
        <v>290</v>
      </c>
      <c r="C91" s="121" t="s">
        <v>291</v>
      </c>
      <c r="D91" s="117" t="s">
        <v>32</v>
      </c>
      <c r="E91" s="117">
        <v>20</v>
      </c>
      <c r="F91" s="130">
        <f t="shared" si="4"/>
        <v>330</v>
      </c>
      <c r="G91" s="119">
        <v>120</v>
      </c>
    </row>
    <row r="92" spans="2:7" x14ac:dyDescent="0.25">
      <c r="B92" s="138" t="s">
        <v>384</v>
      </c>
      <c r="C92" s="155" t="s">
        <v>386</v>
      </c>
      <c r="D92" s="138" t="s">
        <v>387</v>
      </c>
      <c r="E92" s="117">
        <v>20</v>
      </c>
      <c r="F92" s="125">
        <f t="shared" ref="F92:F117" si="5">E92*16.5</f>
        <v>330</v>
      </c>
      <c r="G92" s="119">
        <v>120</v>
      </c>
    </row>
    <row r="93" spans="2:7" x14ac:dyDescent="0.25">
      <c r="B93" s="117" t="s">
        <v>260</v>
      </c>
      <c r="C93" s="121" t="s">
        <v>261</v>
      </c>
      <c r="D93" s="117" t="s">
        <v>23</v>
      </c>
      <c r="E93" s="117">
        <v>20</v>
      </c>
      <c r="F93" s="119">
        <f t="shared" si="5"/>
        <v>330</v>
      </c>
      <c r="G93" s="119">
        <v>120</v>
      </c>
    </row>
    <row r="94" spans="2:7" x14ac:dyDescent="0.25">
      <c r="B94" s="117" t="s">
        <v>262</v>
      </c>
      <c r="C94" s="121" t="s">
        <v>263</v>
      </c>
      <c r="D94" s="117" t="s">
        <v>23</v>
      </c>
      <c r="E94" s="117">
        <v>20</v>
      </c>
      <c r="F94" s="119">
        <f t="shared" si="5"/>
        <v>330</v>
      </c>
      <c r="G94" s="119">
        <v>120</v>
      </c>
    </row>
    <row r="95" spans="2:7" x14ac:dyDescent="0.25">
      <c r="B95" s="117" t="s">
        <v>170</v>
      </c>
      <c r="C95" s="118" t="s">
        <v>171</v>
      </c>
      <c r="D95" s="117" t="s">
        <v>52</v>
      </c>
      <c r="E95" s="117">
        <v>20</v>
      </c>
      <c r="F95" s="119">
        <f t="shared" si="5"/>
        <v>330</v>
      </c>
      <c r="G95" s="119">
        <v>120</v>
      </c>
    </row>
    <row r="96" spans="2:7" x14ac:dyDescent="0.25">
      <c r="B96" s="133" t="s">
        <v>175</v>
      </c>
      <c r="C96" s="121" t="s">
        <v>176</v>
      </c>
      <c r="D96" s="117" t="s">
        <v>86</v>
      </c>
      <c r="E96" s="117">
        <v>24</v>
      </c>
      <c r="F96" s="119">
        <f t="shared" si="5"/>
        <v>396</v>
      </c>
      <c r="G96" s="119">
        <v>120</v>
      </c>
    </row>
    <row r="97" spans="2:7" x14ac:dyDescent="0.25">
      <c r="B97" s="133" t="s">
        <v>177</v>
      </c>
      <c r="C97" s="121" t="s">
        <v>178</v>
      </c>
      <c r="D97" s="117" t="s">
        <v>86</v>
      </c>
      <c r="E97" s="117">
        <v>24</v>
      </c>
      <c r="F97" s="119">
        <f t="shared" si="5"/>
        <v>396</v>
      </c>
      <c r="G97" s="119">
        <v>120</v>
      </c>
    </row>
    <row r="98" spans="2:7" x14ac:dyDescent="0.25">
      <c r="B98" s="117" t="s">
        <v>181</v>
      </c>
      <c r="C98" s="121" t="s">
        <v>182</v>
      </c>
      <c r="D98" s="117" t="s">
        <v>23</v>
      </c>
      <c r="E98" s="117">
        <v>20</v>
      </c>
      <c r="F98" s="119">
        <f t="shared" si="5"/>
        <v>330</v>
      </c>
      <c r="G98" s="119">
        <v>120</v>
      </c>
    </row>
    <row r="99" spans="2:7" x14ac:dyDescent="0.25">
      <c r="B99" s="117" t="s">
        <v>183</v>
      </c>
      <c r="C99" s="121" t="s">
        <v>184</v>
      </c>
      <c r="D99" s="117" t="s">
        <v>32</v>
      </c>
      <c r="E99" s="117">
        <v>20</v>
      </c>
      <c r="F99" s="119">
        <f t="shared" si="5"/>
        <v>330</v>
      </c>
      <c r="G99" s="119"/>
    </row>
    <row r="100" spans="2:7" x14ac:dyDescent="0.25">
      <c r="B100" s="152" t="s">
        <v>187</v>
      </c>
      <c r="C100" s="132" t="s">
        <v>188</v>
      </c>
      <c r="D100" s="129" t="s">
        <v>29</v>
      </c>
      <c r="E100" s="117">
        <v>20</v>
      </c>
      <c r="F100" s="130">
        <f t="shared" si="5"/>
        <v>330</v>
      </c>
      <c r="G100" s="130"/>
    </row>
    <row r="101" spans="2:7" x14ac:dyDescent="0.25">
      <c r="B101" s="133" t="s">
        <v>189</v>
      </c>
      <c r="C101" s="121" t="s">
        <v>190</v>
      </c>
      <c r="D101" s="117" t="s">
        <v>16</v>
      </c>
      <c r="E101" s="117">
        <v>20</v>
      </c>
      <c r="F101" s="119">
        <f t="shared" si="5"/>
        <v>330</v>
      </c>
      <c r="G101" s="119">
        <v>120</v>
      </c>
    </row>
    <row r="102" spans="2:7" x14ac:dyDescent="0.25">
      <c r="B102" s="117" t="s">
        <v>322</v>
      </c>
      <c r="C102" s="118" t="s">
        <v>337</v>
      </c>
      <c r="D102" s="117" t="s">
        <v>389</v>
      </c>
      <c r="E102" s="117">
        <v>20</v>
      </c>
      <c r="F102" s="119">
        <f t="shared" si="5"/>
        <v>330</v>
      </c>
      <c r="G102" s="119"/>
    </row>
    <row r="103" spans="2:7" x14ac:dyDescent="0.25">
      <c r="B103" s="133" t="s">
        <v>191</v>
      </c>
      <c r="C103" s="121" t="s">
        <v>192</v>
      </c>
      <c r="D103" s="117" t="s">
        <v>389</v>
      </c>
      <c r="E103" s="117">
        <v>20</v>
      </c>
      <c r="F103" s="119">
        <f t="shared" si="5"/>
        <v>330</v>
      </c>
      <c r="G103" s="119">
        <v>120</v>
      </c>
    </row>
    <row r="104" spans="2:7" x14ac:dyDescent="0.25">
      <c r="B104" s="133" t="s">
        <v>193</v>
      </c>
      <c r="C104" s="118" t="s">
        <v>194</v>
      </c>
      <c r="D104" s="117" t="s">
        <v>52</v>
      </c>
      <c r="E104" s="117">
        <v>20</v>
      </c>
      <c r="F104" s="119">
        <f t="shared" si="5"/>
        <v>330</v>
      </c>
      <c r="G104" s="119"/>
    </row>
    <row r="105" spans="2:7" x14ac:dyDescent="0.25">
      <c r="B105" s="133" t="s">
        <v>195</v>
      </c>
      <c r="C105" s="121" t="s">
        <v>196</v>
      </c>
      <c r="D105" s="117" t="s">
        <v>86</v>
      </c>
      <c r="E105" s="117">
        <v>24</v>
      </c>
      <c r="F105" s="119">
        <f t="shared" si="5"/>
        <v>396</v>
      </c>
      <c r="G105" s="119">
        <v>120</v>
      </c>
    </row>
    <row r="106" spans="2:7" x14ac:dyDescent="0.25">
      <c r="B106" s="117" t="s">
        <v>197</v>
      </c>
      <c r="C106" s="118" t="s">
        <v>198</v>
      </c>
      <c r="D106" s="117" t="s">
        <v>52</v>
      </c>
      <c r="E106" s="117">
        <v>20</v>
      </c>
      <c r="F106" s="119">
        <f t="shared" si="5"/>
        <v>330</v>
      </c>
      <c r="G106" s="119">
        <v>120</v>
      </c>
    </row>
    <row r="107" spans="2:7" x14ac:dyDescent="0.25">
      <c r="B107" s="117" t="s">
        <v>252</v>
      </c>
      <c r="C107" s="121" t="s">
        <v>253</v>
      </c>
      <c r="D107" s="117" t="s">
        <v>103</v>
      </c>
      <c r="E107" s="117">
        <v>20</v>
      </c>
      <c r="F107" s="119">
        <f t="shared" si="5"/>
        <v>330</v>
      </c>
      <c r="G107" s="119">
        <v>120</v>
      </c>
    </row>
    <row r="108" spans="2:7" ht="15.75" customHeight="1" x14ac:dyDescent="0.25">
      <c r="B108" s="156" t="s">
        <v>201</v>
      </c>
      <c r="C108" s="157" t="s">
        <v>202</v>
      </c>
      <c r="D108" s="156" t="s">
        <v>86</v>
      </c>
      <c r="E108" s="117">
        <v>24</v>
      </c>
      <c r="F108" s="158">
        <f t="shared" si="5"/>
        <v>396</v>
      </c>
      <c r="G108" s="119"/>
    </row>
    <row r="109" spans="2:7" ht="15.75" customHeight="1" x14ac:dyDescent="0.25">
      <c r="B109" s="159" t="s">
        <v>203</v>
      </c>
      <c r="C109" s="160" t="s">
        <v>204</v>
      </c>
      <c r="D109" s="156" t="s">
        <v>52</v>
      </c>
      <c r="E109" s="117">
        <v>20</v>
      </c>
      <c r="F109" s="158">
        <f t="shared" si="5"/>
        <v>330</v>
      </c>
      <c r="G109" s="119">
        <v>120</v>
      </c>
    </row>
    <row r="110" spans="2:7" ht="15.75" customHeight="1" x14ac:dyDescent="0.25">
      <c r="B110" s="156" t="s">
        <v>205</v>
      </c>
      <c r="C110" s="160" t="s">
        <v>206</v>
      </c>
      <c r="D110" s="156" t="s">
        <v>32</v>
      </c>
      <c r="E110" s="117">
        <v>20</v>
      </c>
      <c r="F110" s="158">
        <f t="shared" si="5"/>
        <v>330</v>
      </c>
      <c r="G110" s="119"/>
    </row>
    <row r="111" spans="2:7" ht="15.75" customHeight="1" x14ac:dyDescent="0.25">
      <c r="B111" s="161" t="s">
        <v>207</v>
      </c>
      <c r="C111" s="162" t="s">
        <v>208</v>
      </c>
      <c r="D111" s="156" t="s">
        <v>390</v>
      </c>
      <c r="E111" s="117">
        <v>20</v>
      </c>
      <c r="F111" s="158">
        <f t="shared" si="5"/>
        <v>330</v>
      </c>
      <c r="G111" s="119">
        <v>120</v>
      </c>
    </row>
    <row r="112" spans="2:7" ht="15.75" customHeight="1" x14ac:dyDescent="0.25">
      <c r="B112" s="163" t="s">
        <v>209</v>
      </c>
      <c r="C112" s="164" t="s">
        <v>210</v>
      </c>
      <c r="D112" s="165" t="s">
        <v>23</v>
      </c>
      <c r="E112" s="117">
        <v>20</v>
      </c>
      <c r="F112" s="158">
        <f t="shared" si="5"/>
        <v>330</v>
      </c>
      <c r="G112" s="119">
        <v>120</v>
      </c>
    </row>
    <row r="113" spans="2:7" ht="15.75" customHeight="1" x14ac:dyDescent="0.25">
      <c r="B113" s="156" t="s">
        <v>211</v>
      </c>
      <c r="C113" s="160" t="s">
        <v>212</v>
      </c>
      <c r="D113" s="156" t="s">
        <v>86</v>
      </c>
      <c r="E113" s="117">
        <v>23</v>
      </c>
      <c r="F113" s="158">
        <f t="shared" si="5"/>
        <v>379.5</v>
      </c>
      <c r="G113" s="119">
        <v>120</v>
      </c>
    </row>
    <row r="114" spans="2:7" x14ac:dyDescent="0.25">
      <c r="B114" s="156" t="s">
        <v>258</v>
      </c>
      <c r="C114" s="160" t="s">
        <v>259</v>
      </c>
      <c r="D114" s="156" t="s">
        <v>23</v>
      </c>
      <c r="E114" s="117">
        <v>20</v>
      </c>
      <c r="F114" s="158">
        <f t="shared" si="5"/>
        <v>330</v>
      </c>
      <c r="G114" s="119"/>
    </row>
    <row r="115" spans="2:7" x14ac:dyDescent="0.25">
      <c r="B115" s="166" t="s">
        <v>393</v>
      </c>
      <c r="C115" s="167" t="s">
        <v>395</v>
      </c>
      <c r="D115" s="168" t="s">
        <v>86</v>
      </c>
      <c r="E115" s="117">
        <v>24</v>
      </c>
      <c r="F115" s="169">
        <f t="shared" si="5"/>
        <v>396</v>
      </c>
      <c r="G115" s="119">
        <v>120</v>
      </c>
    </row>
    <row r="116" spans="2:7" x14ac:dyDescent="0.25">
      <c r="B116" s="170" t="s">
        <v>213</v>
      </c>
      <c r="C116" s="171" t="s">
        <v>214</v>
      </c>
      <c r="D116" s="172" t="s">
        <v>32</v>
      </c>
      <c r="E116" s="136">
        <v>14</v>
      </c>
      <c r="F116" s="173">
        <f>16.5*E116</f>
        <v>231</v>
      </c>
      <c r="G116" s="137">
        <v>84</v>
      </c>
    </row>
    <row r="117" spans="2:7" x14ac:dyDescent="0.25">
      <c r="B117" s="156" t="s">
        <v>254</v>
      </c>
      <c r="C117" s="160" t="s">
        <v>255</v>
      </c>
      <c r="D117" s="156" t="s">
        <v>13</v>
      </c>
      <c r="E117" s="117">
        <v>20</v>
      </c>
      <c r="F117" s="174">
        <f t="shared" si="5"/>
        <v>330</v>
      </c>
      <c r="G117" s="119"/>
    </row>
    <row r="118" spans="2:7" ht="18.75" customHeight="1" x14ac:dyDescent="0.25">
      <c r="B118" s="105"/>
      <c r="C118" s="106"/>
      <c r="D118" s="106"/>
      <c r="E118" s="106"/>
      <c r="F118" s="115">
        <f>SUM(F4:F117)</f>
        <v>37444.5</v>
      </c>
      <c r="G118" s="116">
        <f>SUM(G115:G116,G111:G113,G109,G105:G107,G103,G101,G86:G98,G60:G84,G50:G58,G48,G46,G35:G43,G32,G19:G30,G11:G16,G7:G9)</f>
        <v>10734</v>
      </c>
    </row>
  </sheetData>
  <autoFilter ref="B1:G129" xr:uid="{5B38E65E-030D-453F-9ACF-CA4039F9659C}"/>
  <conditionalFormatting sqref="B18">
    <cfRule type="expression" dxfId="8" priority="1">
      <formula>AND(B18&gt;TODAY(), B18-TODAY()&gt;=WEEKDAY(B18), B18-TODAY()&lt;WEEKDAY(B18)+7)</formula>
    </cfRule>
    <cfRule type="expression" dxfId="7" priority="2">
      <formula>OR(AND(B18&lt;=TODAY(), TODAY()-B18&lt;WEEKDAY(TODAY())), AND(TODAY()&lt;B18, B18-TODAY()&lt;WEEKDAY(B18)))</formula>
    </cfRule>
  </conditionalFormatting>
  <conditionalFormatting sqref="C39:C41 D52 D56:D59 D62">
    <cfRule type="expression" dxfId="6" priority="3" stopIfTrue="1">
      <formula>AND(COUNTIF(#REF!, C39)+COUNTIF($C:$C, C39)&gt;1,NOT(ISBLANK(C39)))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7E22-DC6B-4F54-9DEC-73AA3FA1BC35}">
  <dimension ref="B2:K18"/>
  <sheetViews>
    <sheetView topLeftCell="D1" zoomScaleNormal="100" workbookViewId="0">
      <selection activeCell="D11" sqref="A11:XFD11"/>
    </sheetView>
  </sheetViews>
  <sheetFormatPr defaultRowHeight="15" x14ac:dyDescent="0.25"/>
  <cols>
    <col min="2" max="2" width="17.85546875" customWidth="1"/>
    <col min="3" max="3" width="19.5703125" customWidth="1"/>
    <col min="4" max="4" width="20.5703125" customWidth="1"/>
    <col min="5" max="5" width="41.85546875" bestFit="1" customWidth="1"/>
    <col min="6" max="6" width="16.28515625" customWidth="1"/>
    <col min="7" max="7" width="41.5703125" bestFit="1" customWidth="1"/>
    <col min="8" max="8" width="10" customWidth="1"/>
    <col min="9" max="9" width="15.42578125" customWidth="1"/>
    <col min="10" max="10" width="17.42578125" bestFit="1" customWidth="1"/>
    <col min="11" max="11" width="16.5703125" customWidth="1"/>
    <col min="12" max="12" width="8.5703125" customWidth="1"/>
  </cols>
  <sheetData>
    <row r="2" spans="2:11" x14ac:dyDescent="0.25">
      <c r="B2" s="360" t="s">
        <v>403</v>
      </c>
      <c r="C2" s="363"/>
      <c r="D2" s="363"/>
      <c r="E2" s="363"/>
      <c r="F2" s="365"/>
      <c r="G2" s="363"/>
      <c r="H2" s="363"/>
      <c r="I2" s="363"/>
      <c r="J2" s="363"/>
      <c r="K2" s="365"/>
    </row>
    <row r="3" spans="2:11" ht="30" x14ac:dyDescent="0.25">
      <c r="B3" s="28" t="s">
        <v>219</v>
      </c>
      <c r="C3" s="28" t="s">
        <v>220</v>
      </c>
      <c r="D3" s="28" t="s">
        <v>1</v>
      </c>
      <c r="E3" s="28" t="s">
        <v>2</v>
      </c>
      <c r="F3" s="28" t="s">
        <v>438</v>
      </c>
      <c r="G3" s="28" t="s">
        <v>437</v>
      </c>
      <c r="H3" s="28" t="s">
        <v>4</v>
      </c>
      <c r="I3" s="29" t="s">
        <v>5</v>
      </c>
      <c r="J3" s="29" t="s">
        <v>6</v>
      </c>
      <c r="K3" s="5" t="s">
        <v>233</v>
      </c>
    </row>
    <row r="4" spans="2:11" x14ac:dyDescent="0.25">
      <c r="B4" s="79">
        <v>46237</v>
      </c>
      <c r="C4" s="79">
        <v>46238</v>
      </c>
      <c r="D4" s="76" t="s">
        <v>409</v>
      </c>
      <c r="E4" s="189" t="s">
        <v>412</v>
      </c>
      <c r="F4" s="76" t="s">
        <v>86</v>
      </c>
      <c r="G4" s="198" t="s">
        <v>439</v>
      </c>
      <c r="H4" s="180">
        <v>23</v>
      </c>
      <c r="I4" s="22">
        <f>16.5*H4</f>
        <v>379.5</v>
      </c>
      <c r="J4" s="82">
        <v>120</v>
      </c>
      <c r="K4" s="80" t="s">
        <v>10</v>
      </c>
    </row>
    <row r="5" spans="2:11" x14ac:dyDescent="0.25">
      <c r="B5" s="79">
        <v>46237</v>
      </c>
      <c r="C5" s="79">
        <v>46238</v>
      </c>
      <c r="D5" s="76" t="s">
        <v>410</v>
      </c>
      <c r="E5" s="189" t="s">
        <v>413</v>
      </c>
      <c r="F5" s="76" t="s">
        <v>86</v>
      </c>
      <c r="G5" s="198" t="s">
        <v>439</v>
      </c>
      <c r="H5" s="180">
        <v>23</v>
      </c>
      <c r="I5" s="22">
        <f t="shared" ref="I5:I6" si="0">16.5*H5</f>
        <v>379.5</v>
      </c>
      <c r="J5" s="87">
        <v>120</v>
      </c>
      <c r="K5" s="88" t="s">
        <v>10</v>
      </c>
    </row>
    <row r="6" spans="2:11" x14ac:dyDescent="0.25">
      <c r="B6" s="79">
        <v>46237</v>
      </c>
      <c r="C6" s="79">
        <v>46238</v>
      </c>
      <c r="D6" s="76" t="s">
        <v>408</v>
      </c>
      <c r="E6" s="190" t="s">
        <v>414</v>
      </c>
      <c r="F6" s="76" t="s">
        <v>375</v>
      </c>
      <c r="G6" s="183" t="s">
        <v>423</v>
      </c>
      <c r="H6" s="180">
        <v>20</v>
      </c>
      <c r="I6" s="22">
        <f t="shared" si="0"/>
        <v>330</v>
      </c>
      <c r="J6" s="88" t="s">
        <v>10</v>
      </c>
      <c r="K6" s="90" t="s">
        <v>10</v>
      </c>
    </row>
    <row r="7" spans="2:11" x14ac:dyDescent="0.25">
      <c r="B7" s="188">
        <v>46240</v>
      </c>
      <c r="C7" s="188">
        <v>46247</v>
      </c>
      <c r="D7" s="183" t="s">
        <v>420</v>
      </c>
      <c r="E7" s="191" t="s">
        <v>417</v>
      </c>
      <c r="F7" s="198" t="s">
        <v>375</v>
      </c>
      <c r="G7" s="183" t="s">
        <v>423</v>
      </c>
      <c r="H7" s="98"/>
      <c r="I7" s="22"/>
      <c r="J7" s="98"/>
      <c r="K7" s="186" t="s">
        <v>415</v>
      </c>
    </row>
    <row r="8" spans="2:11" x14ac:dyDescent="0.25">
      <c r="B8" s="188">
        <v>46240</v>
      </c>
      <c r="C8" s="188">
        <v>46247</v>
      </c>
      <c r="D8" s="183" t="s">
        <v>421</v>
      </c>
      <c r="E8" s="182" t="s">
        <v>418</v>
      </c>
      <c r="F8" s="199" t="s">
        <v>143</v>
      </c>
      <c r="G8" s="76" t="s">
        <v>424</v>
      </c>
      <c r="H8" s="76"/>
      <c r="I8" s="87"/>
      <c r="J8" s="76"/>
      <c r="K8" s="187" t="s">
        <v>10</v>
      </c>
    </row>
    <row r="9" spans="2:11" x14ac:dyDescent="0.25">
      <c r="B9" s="188">
        <v>46240</v>
      </c>
      <c r="C9" s="188">
        <v>46247</v>
      </c>
      <c r="D9" s="183" t="s">
        <v>422</v>
      </c>
      <c r="E9" s="181" t="s">
        <v>419</v>
      </c>
      <c r="F9" s="198" t="s">
        <v>23</v>
      </c>
      <c r="G9" s="183" t="s">
        <v>425</v>
      </c>
      <c r="H9" s="76"/>
      <c r="I9" s="201" t="s">
        <v>10</v>
      </c>
      <c r="J9" s="99"/>
      <c r="K9" s="76" t="s">
        <v>415</v>
      </c>
    </row>
    <row r="10" spans="2:11" x14ac:dyDescent="0.25">
      <c r="B10" s="89">
        <v>46247</v>
      </c>
      <c r="C10" s="89">
        <v>46254</v>
      </c>
      <c r="D10" s="195" t="s">
        <v>429</v>
      </c>
      <c r="E10" s="196" t="s">
        <v>428</v>
      </c>
      <c r="F10" s="197" t="s">
        <v>103</v>
      </c>
      <c r="G10" s="195" t="s">
        <v>430</v>
      </c>
      <c r="H10" s="76">
        <v>13</v>
      </c>
      <c r="I10" s="99">
        <f>16.5*H10</f>
        <v>214.5</v>
      </c>
      <c r="J10" s="76">
        <f>6*H10</f>
        <v>78</v>
      </c>
      <c r="K10" s="76" t="s">
        <v>10</v>
      </c>
    </row>
    <row r="11" spans="2:11" x14ac:dyDescent="0.25">
      <c r="B11" s="89">
        <v>46252</v>
      </c>
      <c r="C11" s="89">
        <v>46261</v>
      </c>
      <c r="D11" s="76" t="s">
        <v>435</v>
      </c>
      <c r="E11" s="177" t="s">
        <v>431</v>
      </c>
      <c r="F11" s="198" t="s">
        <v>143</v>
      </c>
      <c r="G11" s="76" t="s">
        <v>432</v>
      </c>
      <c r="H11" s="76">
        <v>10</v>
      </c>
      <c r="I11" s="99">
        <f>16.5*H11</f>
        <v>165</v>
      </c>
      <c r="J11" s="198" t="s">
        <v>10</v>
      </c>
      <c r="K11" s="198" t="s">
        <v>10</v>
      </c>
    </row>
    <row r="12" spans="2:11" x14ac:dyDescent="0.25">
      <c r="B12" s="89">
        <v>46252</v>
      </c>
      <c r="C12" s="89">
        <v>46261</v>
      </c>
      <c r="D12" s="76" t="s">
        <v>436</v>
      </c>
      <c r="E12" s="177" t="s">
        <v>433</v>
      </c>
      <c r="F12" s="198" t="s">
        <v>16</v>
      </c>
      <c r="G12" s="76" t="s">
        <v>434</v>
      </c>
      <c r="H12" s="76">
        <v>10</v>
      </c>
      <c r="I12" s="99">
        <f>16.5*H12</f>
        <v>165</v>
      </c>
      <c r="J12" s="198">
        <f>6*H12</f>
        <v>60</v>
      </c>
      <c r="K12" s="198" t="s">
        <v>10</v>
      </c>
    </row>
    <row r="13" spans="2:11" x14ac:dyDescent="0.25">
      <c r="B13" s="89">
        <v>46258</v>
      </c>
      <c r="C13" s="89"/>
      <c r="D13" s="76" t="s">
        <v>443</v>
      </c>
      <c r="E13" s="177" t="s">
        <v>441</v>
      </c>
      <c r="F13" s="198" t="s">
        <v>23</v>
      </c>
      <c r="G13" s="76" t="s">
        <v>444</v>
      </c>
      <c r="H13" s="76"/>
      <c r="I13" s="99"/>
      <c r="J13" s="76"/>
      <c r="K13" s="76"/>
    </row>
    <row r="14" spans="2:11" x14ac:dyDescent="0.25">
      <c r="B14" s="89">
        <v>46258</v>
      </c>
      <c r="C14" s="89"/>
      <c r="D14" s="202" t="s">
        <v>440</v>
      </c>
      <c r="E14" s="177" t="s">
        <v>442</v>
      </c>
      <c r="F14" s="198" t="s">
        <v>23</v>
      </c>
      <c r="G14" s="76" t="s">
        <v>444</v>
      </c>
      <c r="H14" s="76"/>
      <c r="I14" s="99"/>
      <c r="J14" s="76"/>
      <c r="K14" s="76"/>
    </row>
    <row r="15" spans="2:11" x14ac:dyDescent="0.25">
      <c r="B15" s="89"/>
      <c r="C15" s="76"/>
      <c r="D15" s="76"/>
      <c r="E15" s="76"/>
      <c r="F15" s="76"/>
      <c r="G15" s="76"/>
      <c r="H15" s="76"/>
      <c r="I15" s="99"/>
      <c r="J15" s="76"/>
      <c r="K15" s="76"/>
    </row>
    <row r="16" spans="2:11" x14ac:dyDescent="0.25">
      <c r="B16" s="78"/>
      <c r="C16" s="78"/>
      <c r="D16" s="78"/>
      <c r="E16" s="78"/>
      <c r="F16" s="78"/>
      <c r="G16" s="78"/>
      <c r="H16" s="78"/>
      <c r="I16" s="200"/>
      <c r="J16" s="78"/>
      <c r="K16" s="78"/>
    </row>
    <row r="17" spans="2:11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</row>
    <row r="18" spans="2:11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</row>
  </sheetData>
  <mergeCells count="1">
    <mergeCell ref="B2:K2"/>
  </mergeCell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0510-C322-40AC-99ED-6EA7011C879E}">
  <dimension ref="B1:I119"/>
  <sheetViews>
    <sheetView topLeftCell="A75" zoomScaleNormal="100" workbookViewId="0">
      <selection activeCell="G91" sqref="G91"/>
    </sheetView>
  </sheetViews>
  <sheetFormatPr defaultRowHeight="15" x14ac:dyDescent="0.25"/>
  <cols>
    <col min="2" max="2" width="15.7109375" bestFit="1" customWidth="1"/>
    <col min="3" max="3" width="48.5703125" bestFit="1" customWidth="1"/>
    <col min="4" max="4" width="33.28515625" style="78" bestFit="1" customWidth="1"/>
    <col min="5" max="5" width="10.5703125" bestFit="1" customWidth="1"/>
    <col min="6" max="6" width="12.7109375" bestFit="1" customWidth="1"/>
    <col min="7" max="7" width="13.42578125" style="246" bestFit="1" customWidth="1"/>
  </cols>
  <sheetData>
    <row r="1" spans="2:7" x14ac:dyDescent="0.25">
      <c r="B1" s="30"/>
      <c r="F1" s="57"/>
      <c r="G1" s="57"/>
    </row>
    <row r="2" spans="2:7" x14ac:dyDescent="0.25">
      <c r="B2" s="71"/>
      <c r="C2" s="113" t="s">
        <v>401</v>
      </c>
      <c r="D2" s="231"/>
      <c r="E2" s="114"/>
      <c r="F2" s="114"/>
      <c r="G2" s="238"/>
    </row>
    <row r="3" spans="2:7" ht="45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232</v>
      </c>
    </row>
    <row r="4" spans="2:7" x14ac:dyDescent="0.25">
      <c r="B4" s="121" t="s">
        <v>318</v>
      </c>
      <c r="C4" s="121" t="s">
        <v>328</v>
      </c>
      <c r="D4" s="117" t="s">
        <v>23</v>
      </c>
      <c r="E4" s="121">
        <v>21</v>
      </c>
      <c r="F4" s="208">
        <f t="shared" ref="F4:F13" si="0">E4*16.5</f>
        <v>346.5</v>
      </c>
      <c r="G4" s="239"/>
    </row>
    <row r="5" spans="2:7" x14ac:dyDescent="0.25">
      <c r="B5" s="135" t="s">
        <v>7</v>
      </c>
      <c r="C5" s="251" t="s">
        <v>8</v>
      </c>
      <c r="D5" s="136" t="s">
        <v>86</v>
      </c>
      <c r="E5" s="135">
        <v>10</v>
      </c>
      <c r="F5" s="248">
        <f t="shared" si="0"/>
        <v>165</v>
      </c>
      <c r="G5" s="249"/>
    </row>
    <row r="6" spans="2:7" x14ac:dyDescent="0.25">
      <c r="B6" s="121" t="s">
        <v>354</v>
      </c>
      <c r="C6" s="121" t="s">
        <v>359</v>
      </c>
      <c r="D6" s="117" t="s">
        <v>23</v>
      </c>
      <c r="E6" s="121">
        <v>21</v>
      </c>
      <c r="F6" s="208">
        <f t="shared" si="0"/>
        <v>346.5</v>
      </c>
      <c r="G6" s="239"/>
    </row>
    <row r="7" spans="2:7" x14ac:dyDescent="0.25">
      <c r="B7" s="121" t="s">
        <v>264</v>
      </c>
      <c r="C7" s="121" t="s">
        <v>265</v>
      </c>
      <c r="D7" s="117" t="s">
        <v>23</v>
      </c>
      <c r="E7" s="121">
        <v>21</v>
      </c>
      <c r="F7" s="208">
        <f t="shared" si="0"/>
        <v>346.5</v>
      </c>
      <c r="G7" s="239">
        <v>120</v>
      </c>
    </row>
    <row r="8" spans="2:7" x14ac:dyDescent="0.25">
      <c r="B8" s="257" t="s">
        <v>343</v>
      </c>
      <c r="C8" s="258" t="s">
        <v>360</v>
      </c>
      <c r="D8" s="257" t="s">
        <v>29</v>
      </c>
      <c r="E8" s="257">
        <v>0</v>
      </c>
      <c r="F8" s="259">
        <v>0</v>
      </c>
      <c r="G8" s="260">
        <v>0</v>
      </c>
    </row>
    <row r="9" spans="2:7" x14ac:dyDescent="0.25">
      <c r="B9" s="121" t="s">
        <v>310</v>
      </c>
      <c r="C9" s="121" t="s">
        <v>329</v>
      </c>
      <c r="D9" s="117" t="s">
        <v>86</v>
      </c>
      <c r="E9" s="135">
        <v>23</v>
      </c>
      <c r="F9" s="208">
        <f t="shared" si="0"/>
        <v>379.5</v>
      </c>
      <c r="G9" s="239">
        <v>120</v>
      </c>
    </row>
    <row r="10" spans="2:7" x14ac:dyDescent="0.25">
      <c r="B10" s="135" t="s">
        <v>19</v>
      </c>
      <c r="C10" s="135" t="s">
        <v>20</v>
      </c>
      <c r="D10" s="136" t="s">
        <v>16</v>
      </c>
      <c r="E10" s="135">
        <v>10</v>
      </c>
      <c r="F10" s="248">
        <f t="shared" si="0"/>
        <v>165</v>
      </c>
      <c r="G10" s="249">
        <v>57.1</v>
      </c>
    </row>
    <row r="11" spans="2:7" x14ac:dyDescent="0.25">
      <c r="B11" s="121" t="s">
        <v>27</v>
      </c>
      <c r="C11" s="121" t="s">
        <v>28</v>
      </c>
      <c r="D11" s="117" t="s">
        <v>29</v>
      </c>
      <c r="E11" s="121">
        <v>21</v>
      </c>
      <c r="F11" s="208">
        <f t="shared" si="0"/>
        <v>346.5</v>
      </c>
      <c r="G11" s="239">
        <v>120</v>
      </c>
    </row>
    <row r="12" spans="2:7" x14ac:dyDescent="0.25">
      <c r="B12" s="121" t="s">
        <v>36</v>
      </c>
      <c r="C12" s="121" t="s">
        <v>37</v>
      </c>
      <c r="D12" s="117" t="s">
        <v>29</v>
      </c>
      <c r="E12" s="121">
        <v>21</v>
      </c>
      <c r="F12" s="208">
        <f t="shared" si="0"/>
        <v>346.5</v>
      </c>
      <c r="G12" s="239">
        <v>120</v>
      </c>
    </row>
    <row r="13" spans="2:7" x14ac:dyDescent="0.25">
      <c r="B13" s="121" t="s">
        <v>41</v>
      </c>
      <c r="C13" s="121" t="s">
        <v>42</v>
      </c>
      <c r="D13" s="117" t="s">
        <v>35</v>
      </c>
      <c r="E13" s="121">
        <v>21</v>
      </c>
      <c r="F13" s="208">
        <f t="shared" si="0"/>
        <v>346.5</v>
      </c>
      <c r="G13" s="239">
        <v>120</v>
      </c>
    </row>
    <row r="14" spans="2:7" x14ac:dyDescent="0.25">
      <c r="B14" s="121" t="s">
        <v>234</v>
      </c>
      <c r="C14" s="121" t="s">
        <v>235</v>
      </c>
      <c r="D14" s="117" t="s">
        <v>103</v>
      </c>
      <c r="E14" s="121" t="s">
        <v>391</v>
      </c>
      <c r="F14" s="208">
        <v>600</v>
      </c>
      <c r="G14" s="239"/>
    </row>
    <row r="15" spans="2:7" x14ac:dyDescent="0.25">
      <c r="B15" s="132" t="s">
        <v>312</v>
      </c>
      <c r="C15" s="132" t="s">
        <v>331</v>
      </c>
      <c r="D15" s="129" t="s">
        <v>86</v>
      </c>
      <c r="E15" s="135">
        <v>23</v>
      </c>
      <c r="F15" s="208">
        <f t="shared" ref="F15:F22" si="1">E15*16.5</f>
        <v>379.5</v>
      </c>
      <c r="G15" s="239">
        <v>120</v>
      </c>
    </row>
    <row r="16" spans="2:7" ht="15.75" x14ac:dyDescent="0.25">
      <c r="B16" s="209" t="s">
        <v>368</v>
      </c>
      <c r="C16" s="210" t="s">
        <v>369</v>
      </c>
      <c r="D16" s="123" t="s">
        <v>35</v>
      </c>
      <c r="E16" s="121">
        <v>21</v>
      </c>
      <c r="F16" s="211">
        <f t="shared" si="1"/>
        <v>346.5</v>
      </c>
      <c r="G16" s="240">
        <v>120</v>
      </c>
    </row>
    <row r="17" spans="2:7" x14ac:dyDescent="0.25">
      <c r="B17" s="121" t="s">
        <v>316</v>
      </c>
      <c r="C17" s="121" t="s">
        <v>332</v>
      </c>
      <c r="D17" s="117" t="s">
        <v>32</v>
      </c>
      <c r="E17" s="121">
        <v>21</v>
      </c>
      <c r="F17" s="208">
        <f t="shared" si="1"/>
        <v>346.5</v>
      </c>
      <c r="G17" s="239">
        <v>120</v>
      </c>
    </row>
    <row r="18" spans="2:7" x14ac:dyDescent="0.25">
      <c r="B18" s="121" t="s">
        <v>288</v>
      </c>
      <c r="C18" s="121" t="s">
        <v>289</v>
      </c>
      <c r="D18" s="117" t="s">
        <v>32</v>
      </c>
      <c r="E18" s="121">
        <v>21</v>
      </c>
      <c r="F18" s="208">
        <f t="shared" si="1"/>
        <v>346.5</v>
      </c>
      <c r="G18" s="239">
        <v>120</v>
      </c>
    </row>
    <row r="19" spans="2:7" x14ac:dyDescent="0.25">
      <c r="B19" s="212">
        <v>10705364402</v>
      </c>
      <c r="C19" s="128" t="s">
        <v>51</v>
      </c>
      <c r="D19" s="129" t="s">
        <v>52</v>
      </c>
      <c r="E19" s="121">
        <v>21</v>
      </c>
      <c r="F19" s="213">
        <f t="shared" si="1"/>
        <v>346.5</v>
      </c>
      <c r="G19" s="241">
        <v>120</v>
      </c>
    </row>
    <row r="20" spans="2:7" ht="15.75" x14ac:dyDescent="0.25">
      <c r="B20" s="261" t="s">
        <v>378</v>
      </c>
      <c r="C20" s="262" t="s">
        <v>370</v>
      </c>
      <c r="D20" s="263" t="s">
        <v>375</v>
      </c>
      <c r="E20" s="258">
        <v>0</v>
      </c>
      <c r="F20" s="264">
        <v>0</v>
      </c>
      <c r="G20" s="265"/>
    </row>
    <row r="21" spans="2:7" x14ac:dyDescent="0.25">
      <c r="B21" s="132" t="s">
        <v>53</v>
      </c>
      <c r="C21" s="132" t="s">
        <v>54</v>
      </c>
      <c r="D21" s="129" t="s">
        <v>52</v>
      </c>
      <c r="E21" s="121">
        <v>21</v>
      </c>
      <c r="F21" s="213">
        <f t="shared" si="1"/>
        <v>346.5</v>
      </c>
      <c r="G21" s="241">
        <v>120</v>
      </c>
    </row>
    <row r="22" spans="2:7" x14ac:dyDescent="0.25">
      <c r="B22" s="128" t="s">
        <v>55</v>
      </c>
      <c r="C22" s="132" t="s">
        <v>56</v>
      </c>
      <c r="D22" s="129" t="s">
        <v>389</v>
      </c>
      <c r="E22" s="121">
        <v>21</v>
      </c>
      <c r="F22" s="213">
        <f t="shared" si="1"/>
        <v>346.5</v>
      </c>
      <c r="G22" s="241">
        <v>120</v>
      </c>
    </row>
    <row r="23" spans="2:7" x14ac:dyDescent="0.25">
      <c r="B23" s="128" t="s">
        <v>57</v>
      </c>
      <c r="C23" s="132" t="s">
        <v>58</v>
      </c>
      <c r="D23" s="129" t="s">
        <v>389</v>
      </c>
      <c r="E23" s="121">
        <v>21</v>
      </c>
      <c r="F23" s="213">
        <f>16.5*E23</f>
        <v>346.5</v>
      </c>
      <c r="G23" s="241">
        <v>120</v>
      </c>
    </row>
    <row r="24" spans="2:7" x14ac:dyDescent="0.25">
      <c r="B24" s="132" t="s">
        <v>266</v>
      </c>
      <c r="C24" s="132" t="s">
        <v>267</v>
      </c>
      <c r="D24" s="129" t="s">
        <v>23</v>
      </c>
      <c r="E24" s="132">
        <v>21</v>
      </c>
      <c r="F24" s="213">
        <f t="shared" ref="F24:F35" si="2">E24*16.5</f>
        <v>346.5</v>
      </c>
      <c r="G24" s="241">
        <v>120</v>
      </c>
    </row>
    <row r="25" spans="2:7" x14ac:dyDescent="0.25">
      <c r="B25" s="132"/>
      <c r="C25" s="132" t="s">
        <v>454</v>
      </c>
      <c r="D25" s="129"/>
      <c r="E25" s="132"/>
      <c r="F25" s="369">
        <v>2000</v>
      </c>
      <c r="G25" s="370"/>
    </row>
    <row r="26" spans="2:7" x14ac:dyDescent="0.25">
      <c r="B26" s="128" t="s">
        <v>66</v>
      </c>
      <c r="C26" s="132" t="s">
        <v>67</v>
      </c>
      <c r="D26" s="129" t="s">
        <v>32</v>
      </c>
      <c r="E26" s="132">
        <v>21</v>
      </c>
      <c r="F26" s="213">
        <f t="shared" si="2"/>
        <v>346.5</v>
      </c>
      <c r="G26" s="241">
        <v>120</v>
      </c>
    </row>
    <row r="27" spans="2:7" x14ac:dyDescent="0.25">
      <c r="B27" s="132" t="s">
        <v>320</v>
      </c>
      <c r="C27" s="132" t="s">
        <v>333</v>
      </c>
      <c r="D27" s="129" t="s">
        <v>389</v>
      </c>
      <c r="E27" s="132">
        <v>21</v>
      </c>
      <c r="F27" s="213">
        <f t="shared" si="2"/>
        <v>346.5</v>
      </c>
      <c r="G27" s="241">
        <v>120</v>
      </c>
    </row>
    <row r="28" spans="2:7" x14ac:dyDescent="0.25">
      <c r="B28" s="121" t="s">
        <v>303</v>
      </c>
      <c r="C28" s="121" t="s">
        <v>304</v>
      </c>
      <c r="D28" s="117" t="s">
        <v>40</v>
      </c>
      <c r="E28" s="132">
        <v>21</v>
      </c>
      <c r="F28" s="208">
        <f t="shared" si="2"/>
        <v>346.5</v>
      </c>
      <c r="G28" s="239"/>
    </row>
    <row r="29" spans="2:7" x14ac:dyDescent="0.25">
      <c r="B29" s="121" t="s">
        <v>224</v>
      </c>
      <c r="C29" s="121" t="s">
        <v>225</v>
      </c>
      <c r="D29" s="117" t="s">
        <v>143</v>
      </c>
      <c r="E29" s="132">
        <v>21</v>
      </c>
      <c r="F29" s="208">
        <f t="shared" si="2"/>
        <v>346.5</v>
      </c>
      <c r="G29" s="239"/>
    </row>
    <row r="30" spans="2:7" x14ac:dyDescent="0.25">
      <c r="B30" s="121" t="s">
        <v>70</v>
      </c>
      <c r="C30" s="121" t="s">
        <v>71</v>
      </c>
      <c r="D30" s="117" t="s">
        <v>32</v>
      </c>
      <c r="E30" s="132">
        <v>21</v>
      </c>
      <c r="F30" s="208">
        <f t="shared" si="2"/>
        <v>346.5</v>
      </c>
      <c r="G30" s="239">
        <v>120</v>
      </c>
    </row>
    <row r="31" spans="2:7" x14ac:dyDescent="0.25">
      <c r="B31" s="132" t="s">
        <v>280</v>
      </c>
      <c r="C31" s="132" t="s">
        <v>281</v>
      </c>
      <c r="D31" s="129" t="s">
        <v>86</v>
      </c>
      <c r="E31" s="135">
        <v>23</v>
      </c>
      <c r="F31" s="208">
        <f t="shared" si="2"/>
        <v>379.5</v>
      </c>
      <c r="G31" s="239">
        <v>120</v>
      </c>
    </row>
    <row r="32" spans="2:7" x14ac:dyDescent="0.25">
      <c r="B32" s="247" t="s">
        <v>74</v>
      </c>
      <c r="C32" s="135" t="s">
        <v>75</v>
      </c>
      <c r="D32" s="136" t="s">
        <v>143</v>
      </c>
      <c r="E32" s="135">
        <v>16</v>
      </c>
      <c r="F32" s="248">
        <f t="shared" si="2"/>
        <v>264</v>
      </c>
      <c r="G32" s="249">
        <v>91.36</v>
      </c>
    </row>
    <row r="33" spans="2:7" x14ac:dyDescent="0.25">
      <c r="B33" s="139" t="s">
        <v>392</v>
      </c>
      <c r="C33" s="139" t="s">
        <v>400</v>
      </c>
      <c r="D33" s="140" t="s">
        <v>396</v>
      </c>
      <c r="E33" s="121">
        <v>21</v>
      </c>
      <c r="F33" s="211">
        <f t="shared" si="2"/>
        <v>346.5</v>
      </c>
      <c r="G33" s="239">
        <v>120</v>
      </c>
    </row>
    <row r="34" spans="2:7" x14ac:dyDescent="0.25">
      <c r="B34" s="121" t="s">
        <v>237</v>
      </c>
      <c r="C34" s="121" t="s">
        <v>238</v>
      </c>
      <c r="D34" s="117" t="s">
        <v>103</v>
      </c>
      <c r="E34" s="121">
        <v>21</v>
      </c>
      <c r="F34" s="208">
        <f t="shared" si="2"/>
        <v>346.5</v>
      </c>
      <c r="G34" s="239">
        <v>120</v>
      </c>
    </row>
    <row r="35" spans="2:7" x14ac:dyDescent="0.25">
      <c r="B35" s="121" t="s">
        <v>229</v>
      </c>
      <c r="C35" s="121" t="s">
        <v>230</v>
      </c>
      <c r="D35" s="117" t="s">
        <v>143</v>
      </c>
      <c r="E35" s="121">
        <v>21</v>
      </c>
      <c r="F35" s="208">
        <f t="shared" si="2"/>
        <v>346.5</v>
      </c>
      <c r="G35" s="239">
        <v>120</v>
      </c>
    </row>
    <row r="36" spans="2:7" x14ac:dyDescent="0.25">
      <c r="B36" s="235" t="s">
        <v>383</v>
      </c>
      <c r="C36" s="235" t="s">
        <v>399</v>
      </c>
      <c r="D36" s="178" t="s">
        <v>13</v>
      </c>
      <c r="E36" s="135">
        <v>23</v>
      </c>
      <c r="F36" s="236">
        <f>16.5*E36</f>
        <v>379.5</v>
      </c>
      <c r="G36" s="241">
        <v>120</v>
      </c>
    </row>
    <row r="37" spans="2:7" x14ac:dyDescent="0.25">
      <c r="B37" s="121" t="s">
        <v>298</v>
      </c>
      <c r="C37" s="121" t="s">
        <v>299</v>
      </c>
      <c r="D37" s="117" t="s">
        <v>389</v>
      </c>
      <c r="E37" s="121">
        <v>21</v>
      </c>
      <c r="F37" s="208">
        <f>E37*16.5</f>
        <v>346.5</v>
      </c>
      <c r="G37" s="239">
        <v>120</v>
      </c>
    </row>
    <row r="38" spans="2:7" x14ac:dyDescent="0.25">
      <c r="B38" s="128" t="s">
        <v>87</v>
      </c>
      <c r="C38" s="132" t="s">
        <v>88</v>
      </c>
      <c r="D38" s="129" t="s">
        <v>23</v>
      </c>
      <c r="E38" s="132">
        <v>21</v>
      </c>
      <c r="F38" s="213">
        <f>16.5*E38</f>
        <v>346.5</v>
      </c>
      <c r="G38" s="241"/>
    </row>
    <row r="39" spans="2:7" x14ac:dyDescent="0.25">
      <c r="B39" s="247" t="s">
        <v>89</v>
      </c>
      <c r="C39" s="135" t="s">
        <v>90</v>
      </c>
      <c r="D39" s="136" t="s">
        <v>35</v>
      </c>
      <c r="E39" s="135">
        <v>9</v>
      </c>
      <c r="F39" s="248">
        <f>E39*16.5</f>
        <v>148.5</v>
      </c>
      <c r="G39" s="249"/>
    </row>
    <row r="40" spans="2:7" x14ac:dyDescent="0.25">
      <c r="B40" s="215" t="s">
        <v>91</v>
      </c>
      <c r="C40" s="121" t="s">
        <v>92</v>
      </c>
      <c r="D40" s="117" t="s">
        <v>377</v>
      </c>
      <c r="E40" s="121">
        <v>21</v>
      </c>
      <c r="F40" s="208">
        <f>E40*16.5</f>
        <v>346.5</v>
      </c>
      <c r="G40" s="239">
        <v>120</v>
      </c>
    </row>
    <row r="41" spans="2:7" x14ac:dyDescent="0.25">
      <c r="B41" s="217" t="s">
        <v>93</v>
      </c>
      <c r="C41" s="217" t="s">
        <v>94</v>
      </c>
      <c r="D41" s="129" t="s">
        <v>52</v>
      </c>
      <c r="E41" s="121">
        <v>21</v>
      </c>
      <c r="F41" s="213">
        <f>E41*16.5</f>
        <v>346.5</v>
      </c>
      <c r="G41" s="241"/>
    </row>
    <row r="42" spans="2:7" x14ac:dyDescent="0.25">
      <c r="B42" s="215" t="s">
        <v>95</v>
      </c>
      <c r="C42" s="121" t="s">
        <v>96</v>
      </c>
      <c r="D42" s="117" t="s">
        <v>389</v>
      </c>
      <c r="E42" s="121">
        <v>21</v>
      </c>
      <c r="F42" s="208">
        <f>E42*16.5</f>
        <v>346.5</v>
      </c>
      <c r="G42" s="239">
        <v>120</v>
      </c>
    </row>
    <row r="43" spans="2:7" x14ac:dyDescent="0.25">
      <c r="B43" s="132" t="s">
        <v>99</v>
      </c>
      <c r="C43" s="132" t="s">
        <v>100</v>
      </c>
      <c r="D43" s="129" t="s">
        <v>13</v>
      </c>
      <c r="E43" s="135">
        <v>0</v>
      </c>
      <c r="F43" s="213">
        <v>0</v>
      </c>
      <c r="G43" s="241" t="s">
        <v>10</v>
      </c>
    </row>
    <row r="44" spans="2:7" x14ac:dyDescent="0.25">
      <c r="B44" s="121" t="s">
        <v>273</v>
      </c>
      <c r="C44" s="121" t="s">
        <v>274</v>
      </c>
      <c r="D44" s="117" t="s">
        <v>35</v>
      </c>
      <c r="E44" s="121">
        <v>21</v>
      </c>
      <c r="F44" s="208">
        <f>E44*16.5</f>
        <v>346.5</v>
      </c>
      <c r="G44" s="239">
        <v>120</v>
      </c>
    </row>
    <row r="45" spans="2:7" x14ac:dyDescent="0.25">
      <c r="B45" s="121" t="s">
        <v>348</v>
      </c>
      <c r="C45" s="132" t="s">
        <v>362</v>
      </c>
      <c r="D45" s="117" t="s">
        <v>143</v>
      </c>
      <c r="E45" s="121">
        <v>21</v>
      </c>
      <c r="F45" s="208">
        <f>E45*16.5</f>
        <v>346.5</v>
      </c>
      <c r="G45" s="239">
        <v>120</v>
      </c>
    </row>
    <row r="46" spans="2:7" x14ac:dyDescent="0.25">
      <c r="B46" s="121" t="s">
        <v>338</v>
      </c>
      <c r="C46" s="132" t="s">
        <v>339</v>
      </c>
      <c r="D46" s="117" t="s">
        <v>23</v>
      </c>
      <c r="E46" s="121">
        <v>21</v>
      </c>
      <c r="F46" s="208">
        <f>E46*16.5</f>
        <v>346.5</v>
      </c>
      <c r="G46" s="239">
        <v>120</v>
      </c>
    </row>
    <row r="47" spans="2:7" x14ac:dyDescent="0.25">
      <c r="B47" s="121" t="s">
        <v>227</v>
      </c>
      <c r="C47" s="132" t="s">
        <v>228</v>
      </c>
      <c r="D47" s="117" t="s">
        <v>103</v>
      </c>
      <c r="E47" s="121">
        <v>21</v>
      </c>
      <c r="F47" s="208">
        <f>E47*16.5</f>
        <v>346.5</v>
      </c>
      <c r="G47" s="239">
        <v>120</v>
      </c>
    </row>
    <row r="48" spans="2:7" x14ac:dyDescent="0.25">
      <c r="B48" s="267" t="s">
        <v>106</v>
      </c>
      <c r="C48" s="258" t="s">
        <v>107</v>
      </c>
      <c r="D48" s="257" t="s">
        <v>389</v>
      </c>
      <c r="E48" s="258">
        <v>0</v>
      </c>
      <c r="F48" s="266">
        <v>0</v>
      </c>
      <c r="G48" s="265">
        <v>0</v>
      </c>
    </row>
    <row r="49" spans="2:7" x14ac:dyDescent="0.25">
      <c r="B49" s="132" t="s">
        <v>277</v>
      </c>
      <c r="C49" s="132" t="s">
        <v>278</v>
      </c>
      <c r="D49" s="129" t="s">
        <v>86</v>
      </c>
      <c r="E49" s="135">
        <v>23</v>
      </c>
      <c r="F49" s="208">
        <f t="shared" ref="F49:F77" si="3">E49*16.5</f>
        <v>379.5</v>
      </c>
      <c r="G49" s="239">
        <v>120</v>
      </c>
    </row>
    <row r="50" spans="2:7" x14ac:dyDescent="0.25">
      <c r="B50" s="132" t="s">
        <v>324</v>
      </c>
      <c r="C50" s="132" t="s">
        <v>334</v>
      </c>
      <c r="D50" s="129" t="s">
        <v>388</v>
      </c>
      <c r="E50" s="135">
        <v>22</v>
      </c>
      <c r="F50" s="208">
        <f t="shared" si="3"/>
        <v>363</v>
      </c>
      <c r="G50" s="239">
        <v>120</v>
      </c>
    </row>
    <row r="51" spans="2:7" x14ac:dyDescent="0.25">
      <c r="B51" s="215" t="s">
        <v>114</v>
      </c>
      <c r="C51" s="132" t="s">
        <v>115</v>
      </c>
      <c r="D51" s="117" t="s">
        <v>143</v>
      </c>
      <c r="E51" s="121">
        <v>21</v>
      </c>
      <c r="F51" s="208">
        <f t="shared" si="3"/>
        <v>346.5</v>
      </c>
      <c r="G51" s="239">
        <v>120</v>
      </c>
    </row>
    <row r="52" spans="2:7" x14ac:dyDescent="0.25">
      <c r="B52" s="132" t="s">
        <v>314</v>
      </c>
      <c r="C52" s="132" t="s">
        <v>335</v>
      </c>
      <c r="D52" s="129" t="s">
        <v>86</v>
      </c>
      <c r="E52" s="135">
        <v>23</v>
      </c>
      <c r="F52" s="208">
        <f t="shared" si="3"/>
        <v>379.5</v>
      </c>
      <c r="G52" s="239"/>
    </row>
    <row r="53" spans="2:7" x14ac:dyDescent="0.25">
      <c r="B53" s="132" t="s">
        <v>120</v>
      </c>
      <c r="C53" s="132" t="s">
        <v>121</v>
      </c>
      <c r="D53" s="129" t="s">
        <v>52</v>
      </c>
      <c r="E53" s="121">
        <v>21</v>
      </c>
      <c r="F53" s="213">
        <f t="shared" si="3"/>
        <v>346.5</v>
      </c>
      <c r="G53" s="241">
        <v>120</v>
      </c>
    </row>
    <row r="54" spans="2:7" x14ac:dyDescent="0.25">
      <c r="B54" s="215" t="s">
        <v>108</v>
      </c>
      <c r="C54" s="132" t="s">
        <v>109</v>
      </c>
      <c r="D54" s="117" t="s">
        <v>23</v>
      </c>
      <c r="E54" s="121">
        <v>21</v>
      </c>
      <c r="F54" s="208">
        <f t="shared" si="3"/>
        <v>346.5</v>
      </c>
      <c r="G54" s="239">
        <v>120</v>
      </c>
    </row>
    <row r="55" spans="2:7" x14ac:dyDescent="0.25">
      <c r="B55" s="218" t="s">
        <v>112</v>
      </c>
      <c r="C55" s="154" t="s">
        <v>113</v>
      </c>
      <c r="D55" s="150" t="s">
        <v>52</v>
      </c>
      <c r="E55" s="121">
        <v>21</v>
      </c>
      <c r="F55" s="219">
        <f t="shared" si="3"/>
        <v>346.5</v>
      </c>
      <c r="G55" s="241">
        <v>120</v>
      </c>
    </row>
    <row r="56" spans="2:7" x14ac:dyDescent="0.25">
      <c r="B56" s="258" t="s">
        <v>352</v>
      </c>
      <c r="C56" s="258" t="s">
        <v>363</v>
      </c>
      <c r="D56" s="257" t="s">
        <v>13</v>
      </c>
      <c r="E56" s="258">
        <v>0</v>
      </c>
      <c r="F56" s="266">
        <v>0</v>
      </c>
      <c r="G56" s="265"/>
    </row>
    <row r="57" spans="2:7" x14ac:dyDescent="0.25">
      <c r="B57" s="215" t="s">
        <v>122</v>
      </c>
      <c r="C57" s="121" t="s">
        <v>123</v>
      </c>
      <c r="D57" s="117" t="s">
        <v>143</v>
      </c>
      <c r="E57" s="121">
        <v>21</v>
      </c>
      <c r="F57" s="208">
        <f t="shared" si="3"/>
        <v>346.5</v>
      </c>
      <c r="G57" s="239">
        <v>120</v>
      </c>
    </row>
    <row r="58" spans="2:7" x14ac:dyDescent="0.25">
      <c r="B58" s="121" t="s">
        <v>306</v>
      </c>
      <c r="C58" s="121" t="s">
        <v>307</v>
      </c>
      <c r="D58" s="117" t="s">
        <v>40</v>
      </c>
      <c r="E58" s="121">
        <v>21</v>
      </c>
      <c r="F58" s="208">
        <f t="shared" si="3"/>
        <v>346.5</v>
      </c>
      <c r="G58" s="239">
        <v>120</v>
      </c>
    </row>
    <row r="59" spans="2:7" x14ac:dyDescent="0.25">
      <c r="B59" s="247" t="s">
        <v>124</v>
      </c>
      <c r="C59" s="135" t="s">
        <v>125</v>
      </c>
      <c r="D59" s="136" t="s">
        <v>86</v>
      </c>
      <c r="E59" s="135">
        <v>18</v>
      </c>
      <c r="F59" s="248">
        <f t="shared" si="3"/>
        <v>297</v>
      </c>
      <c r="G59" s="249">
        <v>102.78</v>
      </c>
    </row>
    <row r="60" spans="2:7" x14ac:dyDescent="0.25">
      <c r="B60" s="212">
        <v>4912836443</v>
      </c>
      <c r="C60" s="132" t="s">
        <v>128</v>
      </c>
      <c r="D60" s="129" t="s">
        <v>86</v>
      </c>
      <c r="E60" s="121">
        <v>21</v>
      </c>
      <c r="F60" s="213">
        <f t="shared" si="3"/>
        <v>346.5</v>
      </c>
      <c r="G60" s="241">
        <v>120</v>
      </c>
    </row>
    <row r="61" spans="2:7" x14ac:dyDescent="0.25">
      <c r="B61" s="121" t="s">
        <v>242</v>
      </c>
      <c r="C61" s="121" t="s">
        <v>243</v>
      </c>
      <c r="D61" s="117" t="s">
        <v>40</v>
      </c>
      <c r="E61" s="121">
        <v>21</v>
      </c>
      <c r="F61" s="208">
        <f t="shared" si="3"/>
        <v>346.5</v>
      </c>
      <c r="G61" s="239">
        <v>120</v>
      </c>
    </row>
    <row r="62" spans="2:7" x14ac:dyDescent="0.25">
      <c r="B62" s="121" t="s">
        <v>293</v>
      </c>
      <c r="C62" s="121" t="s">
        <v>294</v>
      </c>
      <c r="D62" s="117" t="s">
        <v>389</v>
      </c>
      <c r="E62" s="121">
        <v>21</v>
      </c>
      <c r="F62" s="208">
        <f t="shared" si="3"/>
        <v>346.5</v>
      </c>
      <c r="G62" s="239">
        <v>120</v>
      </c>
    </row>
    <row r="63" spans="2:7" x14ac:dyDescent="0.25">
      <c r="B63" s="215" t="s">
        <v>336</v>
      </c>
      <c r="C63" s="121" t="s">
        <v>132</v>
      </c>
      <c r="D63" s="117" t="s">
        <v>143</v>
      </c>
      <c r="E63" s="121">
        <v>21</v>
      </c>
      <c r="F63" s="208">
        <f t="shared" si="3"/>
        <v>346.5</v>
      </c>
      <c r="G63" s="239">
        <v>120</v>
      </c>
    </row>
    <row r="64" spans="2:7" ht="15.75" x14ac:dyDescent="0.25">
      <c r="B64" s="216" t="s">
        <v>381</v>
      </c>
      <c r="C64" s="214" t="s">
        <v>372</v>
      </c>
      <c r="D64" s="140" t="s">
        <v>377</v>
      </c>
      <c r="E64" s="121">
        <v>21</v>
      </c>
      <c r="F64" s="211">
        <f t="shared" si="3"/>
        <v>346.5</v>
      </c>
      <c r="G64" s="239">
        <v>120</v>
      </c>
    </row>
    <row r="65" spans="2:7" x14ac:dyDescent="0.25">
      <c r="B65" s="128" t="s">
        <v>135</v>
      </c>
      <c r="C65" s="132" t="s">
        <v>136</v>
      </c>
      <c r="D65" s="129" t="s">
        <v>86</v>
      </c>
      <c r="E65" s="135">
        <v>23</v>
      </c>
      <c r="F65" s="213">
        <f t="shared" si="3"/>
        <v>379.5</v>
      </c>
      <c r="G65" s="241">
        <v>120</v>
      </c>
    </row>
    <row r="66" spans="2:7" ht="15.75" x14ac:dyDescent="0.25">
      <c r="B66" s="216" t="s">
        <v>382</v>
      </c>
      <c r="C66" s="214" t="s">
        <v>374</v>
      </c>
      <c r="D66" s="140" t="s">
        <v>376</v>
      </c>
      <c r="E66" s="121">
        <v>21</v>
      </c>
      <c r="F66" s="211">
        <f t="shared" si="3"/>
        <v>346.5</v>
      </c>
      <c r="G66" s="239">
        <v>120</v>
      </c>
    </row>
    <row r="67" spans="2:7" x14ac:dyDescent="0.25">
      <c r="B67" s="121" t="s">
        <v>340</v>
      </c>
      <c r="C67" s="121" t="s">
        <v>364</v>
      </c>
      <c r="D67" s="117" t="s">
        <v>23</v>
      </c>
      <c r="E67" s="121">
        <v>21</v>
      </c>
      <c r="F67" s="208">
        <f t="shared" si="3"/>
        <v>346.5</v>
      </c>
      <c r="G67" s="239">
        <v>120</v>
      </c>
    </row>
    <row r="68" spans="2:7" x14ac:dyDescent="0.25">
      <c r="B68" s="267" t="s">
        <v>137</v>
      </c>
      <c r="C68" s="258" t="s">
        <v>138</v>
      </c>
      <c r="D68" s="257" t="s">
        <v>29</v>
      </c>
      <c r="E68" s="258">
        <v>0</v>
      </c>
      <c r="F68" s="266">
        <v>0</v>
      </c>
      <c r="G68" s="265">
        <v>0</v>
      </c>
    </row>
    <row r="69" spans="2:7" x14ac:dyDescent="0.25">
      <c r="B69" s="135" t="s">
        <v>144</v>
      </c>
      <c r="C69" s="135" t="s">
        <v>145</v>
      </c>
      <c r="D69" s="136" t="s">
        <v>143</v>
      </c>
      <c r="E69" s="135">
        <v>9</v>
      </c>
      <c r="F69" s="248">
        <f t="shared" si="3"/>
        <v>148.5</v>
      </c>
      <c r="G69" s="249">
        <v>51.39</v>
      </c>
    </row>
    <row r="70" spans="2:7" x14ac:dyDescent="0.25">
      <c r="B70" s="128" t="s">
        <v>146</v>
      </c>
      <c r="C70" s="132" t="s">
        <v>147</v>
      </c>
      <c r="D70" s="129" t="s">
        <v>52</v>
      </c>
      <c r="E70" s="121">
        <v>21</v>
      </c>
      <c r="F70" s="213">
        <f t="shared" si="3"/>
        <v>346.5</v>
      </c>
      <c r="G70" s="241">
        <v>120</v>
      </c>
    </row>
    <row r="71" spans="2:7" ht="15.75" x14ac:dyDescent="0.25">
      <c r="B71" s="216" t="s">
        <v>380</v>
      </c>
      <c r="C71" s="214" t="s">
        <v>373</v>
      </c>
      <c r="D71" s="140" t="s">
        <v>32</v>
      </c>
      <c r="E71" s="121">
        <v>21</v>
      </c>
      <c r="F71" s="211">
        <f t="shared" si="3"/>
        <v>346.5</v>
      </c>
      <c r="G71" s="239">
        <v>120</v>
      </c>
    </row>
    <row r="72" spans="2:7" x14ac:dyDescent="0.25">
      <c r="B72" s="121" t="s">
        <v>150</v>
      </c>
      <c r="C72" s="121" t="s">
        <v>151</v>
      </c>
      <c r="D72" s="117" t="s">
        <v>32</v>
      </c>
      <c r="E72" s="121">
        <v>21</v>
      </c>
      <c r="F72" s="208">
        <f t="shared" si="3"/>
        <v>346.5</v>
      </c>
      <c r="G72" s="239">
        <v>120</v>
      </c>
    </row>
    <row r="73" spans="2:7" x14ac:dyDescent="0.25">
      <c r="B73" s="121" t="s">
        <v>152</v>
      </c>
      <c r="C73" s="121" t="s">
        <v>153</v>
      </c>
      <c r="D73" s="117" t="s">
        <v>377</v>
      </c>
      <c r="E73" s="121">
        <v>21</v>
      </c>
      <c r="F73" s="208">
        <f t="shared" si="3"/>
        <v>346.5</v>
      </c>
      <c r="G73" s="239">
        <v>120</v>
      </c>
    </row>
    <row r="74" spans="2:7" x14ac:dyDescent="0.25">
      <c r="B74" s="220" t="s">
        <v>158</v>
      </c>
      <c r="C74" s="154" t="s">
        <v>159</v>
      </c>
      <c r="D74" s="150" t="s">
        <v>29</v>
      </c>
      <c r="E74" s="121">
        <v>21</v>
      </c>
      <c r="F74" s="219">
        <f t="shared" si="3"/>
        <v>346.5</v>
      </c>
      <c r="G74" s="242">
        <v>120</v>
      </c>
    </row>
    <row r="75" spans="2:7" x14ac:dyDescent="0.25">
      <c r="B75" s="121" t="s">
        <v>346</v>
      </c>
      <c r="C75" s="121" t="s">
        <v>366</v>
      </c>
      <c r="D75" s="117" t="s">
        <v>143</v>
      </c>
      <c r="E75" s="121">
        <v>21</v>
      </c>
      <c r="F75" s="208">
        <f t="shared" si="3"/>
        <v>346.5</v>
      </c>
      <c r="G75" s="239"/>
    </row>
    <row r="76" spans="2:7" x14ac:dyDescent="0.25">
      <c r="B76" s="121" t="s">
        <v>160</v>
      </c>
      <c r="C76" s="121" t="s">
        <v>161</v>
      </c>
      <c r="D76" s="117" t="s">
        <v>86</v>
      </c>
      <c r="E76" s="135">
        <v>22</v>
      </c>
      <c r="F76" s="208">
        <f t="shared" si="3"/>
        <v>363</v>
      </c>
      <c r="G76" s="239">
        <v>120</v>
      </c>
    </row>
    <row r="77" spans="2:7" x14ac:dyDescent="0.25">
      <c r="B77" s="128" t="s">
        <v>164</v>
      </c>
      <c r="C77" s="132" t="s">
        <v>165</v>
      </c>
      <c r="D77" s="129" t="s">
        <v>29</v>
      </c>
      <c r="E77" s="121">
        <v>21</v>
      </c>
      <c r="F77" s="213">
        <f t="shared" si="3"/>
        <v>346.5</v>
      </c>
      <c r="G77" s="241">
        <v>120</v>
      </c>
    </row>
    <row r="78" spans="2:7" x14ac:dyDescent="0.25">
      <c r="B78" s="128" t="s">
        <v>398</v>
      </c>
      <c r="C78" s="132" t="s">
        <v>397</v>
      </c>
      <c r="D78" s="117" t="s">
        <v>103</v>
      </c>
      <c r="E78" s="121">
        <v>21</v>
      </c>
      <c r="F78" s="213">
        <f>16.5*E78</f>
        <v>346.5</v>
      </c>
      <c r="G78" s="241">
        <v>120</v>
      </c>
    </row>
    <row r="79" spans="2:7" x14ac:dyDescent="0.25">
      <c r="B79" s="121" t="s">
        <v>290</v>
      </c>
      <c r="C79" s="121" t="s">
        <v>291</v>
      </c>
      <c r="D79" s="117" t="s">
        <v>32</v>
      </c>
      <c r="E79" s="121">
        <v>21</v>
      </c>
      <c r="F79" s="213">
        <f t="shared" ref="F79:F101" si="4">E79*16.5</f>
        <v>346.5</v>
      </c>
      <c r="G79" s="239">
        <v>120</v>
      </c>
    </row>
    <row r="80" spans="2:7" x14ac:dyDescent="0.25">
      <c r="B80" s="139" t="s">
        <v>384</v>
      </c>
      <c r="C80" s="139" t="s">
        <v>386</v>
      </c>
      <c r="D80" s="138" t="s">
        <v>387</v>
      </c>
      <c r="E80" s="121">
        <v>21</v>
      </c>
      <c r="F80" s="211">
        <f t="shared" si="4"/>
        <v>346.5</v>
      </c>
      <c r="G80" s="239">
        <v>120</v>
      </c>
    </row>
    <row r="81" spans="2:9" x14ac:dyDescent="0.25">
      <c r="B81" s="121" t="s">
        <v>260</v>
      </c>
      <c r="C81" s="121" t="s">
        <v>261</v>
      </c>
      <c r="D81" s="117" t="s">
        <v>23</v>
      </c>
      <c r="E81" s="121">
        <v>21</v>
      </c>
      <c r="F81" s="208">
        <f t="shared" si="4"/>
        <v>346.5</v>
      </c>
      <c r="G81" s="239">
        <v>120</v>
      </c>
    </row>
    <row r="82" spans="2:9" x14ac:dyDescent="0.25">
      <c r="B82" s="121" t="s">
        <v>170</v>
      </c>
      <c r="C82" s="121" t="s">
        <v>171</v>
      </c>
      <c r="D82" s="117" t="s">
        <v>52</v>
      </c>
      <c r="E82" s="121">
        <v>21</v>
      </c>
      <c r="F82" s="208">
        <f t="shared" si="4"/>
        <v>346.5</v>
      </c>
      <c r="G82" s="239">
        <v>120</v>
      </c>
    </row>
    <row r="83" spans="2:9" x14ac:dyDescent="0.25">
      <c r="B83" s="215" t="s">
        <v>175</v>
      </c>
      <c r="C83" s="121" t="s">
        <v>176</v>
      </c>
      <c r="D83" s="117" t="s">
        <v>86</v>
      </c>
      <c r="E83" s="135">
        <v>23</v>
      </c>
      <c r="F83" s="208">
        <f t="shared" si="4"/>
        <v>379.5</v>
      </c>
      <c r="G83" s="239">
        <v>120</v>
      </c>
    </row>
    <row r="84" spans="2:9" x14ac:dyDescent="0.25">
      <c r="B84" s="247" t="s">
        <v>177</v>
      </c>
      <c r="C84" s="135" t="s">
        <v>178</v>
      </c>
      <c r="D84" s="136" t="s">
        <v>86</v>
      </c>
      <c r="E84" s="135">
        <v>11</v>
      </c>
      <c r="F84" s="248">
        <f t="shared" si="4"/>
        <v>181.5</v>
      </c>
      <c r="G84" s="249">
        <v>62.81</v>
      </c>
    </row>
    <row r="85" spans="2:9" x14ac:dyDescent="0.25">
      <c r="B85" s="121" t="s">
        <v>183</v>
      </c>
      <c r="C85" s="121" t="s">
        <v>184</v>
      </c>
      <c r="D85" s="117" t="s">
        <v>32</v>
      </c>
      <c r="E85" s="121">
        <v>21</v>
      </c>
      <c r="F85" s="208">
        <f>E85*16.5</f>
        <v>346.5</v>
      </c>
      <c r="G85" s="239"/>
      <c r="I85" s="250"/>
    </row>
    <row r="86" spans="2:9" x14ac:dyDescent="0.25">
      <c r="B86" s="128" t="s">
        <v>187</v>
      </c>
      <c r="C86" s="132" t="s">
        <v>188</v>
      </c>
      <c r="D86" s="129" t="s">
        <v>29</v>
      </c>
      <c r="E86" s="121">
        <v>21</v>
      </c>
      <c r="F86" s="213">
        <f t="shared" si="4"/>
        <v>346.5</v>
      </c>
      <c r="G86" s="241"/>
      <c r="I86" s="250"/>
    </row>
    <row r="87" spans="2:9" x14ac:dyDescent="0.25">
      <c r="B87" s="215" t="s">
        <v>189</v>
      </c>
      <c r="C87" s="121" t="s">
        <v>190</v>
      </c>
      <c r="D87" s="117" t="s">
        <v>16</v>
      </c>
      <c r="E87" s="121">
        <v>21</v>
      </c>
      <c r="F87" s="208">
        <f t="shared" si="4"/>
        <v>346.5</v>
      </c>
      <c r="G87" s="239">
        <v>120</v>
      </c>
    </row>
    <row r="88" spans="2:9" x14ac:dyDescent="0.25">
      <c r="B88" s="121" t="s">
        <v>322</v>
      </c>
      <c r="C88" s="121" t="s">
        <v>337</v>
      </c>
      <c r="D88" s="117" t="s">
        <v>389</v>
      </c>
      <c r="E88" s="121">
        <v>21</v>
      </c>
      <c r="F88" s="208">
        <f t="shared" si="4"/>
        <v>346.5</v>
      </c>
      <c r="G88" s="239"/>
    </row>
    <row r="89" spans="2:9" x14ac:dyDescent="0.25">
      <c r="B89" s="215" t="s">
        <v>191</v>
      </c>
      <c r="C89" s="121" t="s">
        <v>192</v>
      </c>
      <c r="D89" s="117" t="s">
        <v>389</v>
      </c>
      <c r="E89" s="121">
        <v>21</v>
      </c>
      <c r="F89" s="208">
        <f t="shared" si="4"/>
        <v>346.5</v>
      </c>
      <c r="G89" s="239">
        <v>120</v>
      </c>
    </row>
    <row r="90" spans="2:9" x14ac:dyDescent="0.25">
      <c r="B90" s="247" t="s">
        <v>193</v>
      </c>
      <c r="C90" s="135" t="s">
        <v>194</v>
      </c>
      <c r="D90" s="136" t="s">
        <v>52</v>
      </c>
      <c r="E90" s="135">
        <v>9</v>
      </c>
      <c r="F90" s="248">
        <f t="shared" si="4"/>
        <v>148.5</v>
      </c>
      <c r="G90" s="249"/>
    </row>
    <row r="91" spans="2:9" x14ac:dyDescent="0.25">
      <c r="B91" s="215" t="s">
        <v>195</v>
      </c>
      <c r="C91" s="121" t="s">
        <v>196</v>
      </c>
      <c r="D91" s="117" t="s">
        <v>86</v>
      </c>
      <c r="E91" s="135">
        <v>22</v>
      </c>
      <c r="F91" s="208">
        <f t="shared" si="4"/>
        <v>363</v>
      </c>
      <c r="G91" s="239">
        <v>120</v>
      </c>
    </row>
    <row r="92" spans="2:9" x14ac:dyDescent="0.25">
      <c r="B92" s="121" t="s">
        <v>197</v>
      </c>
      <c r="C92" s="121" t="s">
        <v>198</v>
      </c>
      <c r="D92" s="117" t="s">
        <v>52</v>
      </c>
      <c r="E92" s="121">
        <v>21</v>
      </c>
      <c r="F92" s="208">
        <f t="shared" si="4"/>
        <v>346.5</v>
      </c>
      <c r="G92" s="239">
        <v>120</v>
      </c>
    </row>
    <row r="93" spans="2:9" x14ac:dyDescent="0.25">
      <c r="B93" s="121" t="s">
        <v>252</v>
      </c>
      <c r="C93" s="121" t="s">
        <v>253</v>
      </c>
      <c r="D93" s="117" t="s">
        <v>103</v>
      </c>
      <c r="E93" s="121">
        <v>21</v>
      </c>
      <c r="F93" s="208">
        <f t="shared" si="4"/>
        <v>346.5</v>
      </c>
      <c r="G93" s="239">
        <v>120</v>
      </c>
    </row>
    <row r="94" spans="2:9" x14ac:dyDescent="0.25">
      <c r="B94" s="157" t="s">
        <v>201</v>
      </c>
      <c r="C94" s="157" t="s">
        <v>202</v>
      </c>
      <c r="D94" s="156" t="s">
        <v>86</v>
      </c>
      <c r="E94" s="135">
        <v>22</v>
      </c>
      <c r="F94" s="221">
        <f t="shared" si="4"/>
        <v>363</v>
      </c>
      <c r="G94" s="239"/>
    </row>
    <row r="95" spans="2:9" x14ac:dyDescent="0.25">
      <c r="B95" s="222" t="s">
        <v>203</v>
      </c>
      <c r="C95" s="157" t="s">
        <v>204</v>
      </c>
      <c r="D95" s="156" t="s">
        <v>52</v>
      </c>
      <c r="E95" s="121">
        <v>21</v>
      </c>
      <c r="F95" s="221">
        <f t="shared" si="4"/>
        <v>346.5</v>
      </c>
      <c r="G95" s="239">
        <v>120</v>
      </c>
    </row>
    <row r="96" spans="2:9" x14ac:dyDescent="0.25">
      <c r="B96" s="157" t="s">
        <v>205</v>
      </c>
      <c r="C96" s="157" t="s">
        <v>206</v>
      </c>
      <c r="D96" s="156" t="s">
        <v>32</v>
      </c>
      <c r="E96" s="121">
        <v>21</v>
      </c>
      <c r="F96" s="221">
        <f t="shared" si="4"/>
        <v>346.5</v>
      </c>
      <c r="G96" s="239"/>
    </row>
    <row r="97" spans="2:7" x14ac:dyDescent="0.25">
      <c r="B97" s="223" t="s">
        <v>207</v>
      </c>
      <c r="C97" s="222" t="s">
        <v>208</v>
      </c>
      <c r="D97" s="156" t="s">
        <v>390</v>
      </c>
      <c r="E97" s="121">
        <v>21</v>
      </c>
      <c r="F97" s="221">
        <f t="shared" si="4"/>
        <v>346.5</v>
      </c>
      <c r="G97" s="239">
        <v>120</v>
      </c>
    </row>
    <row r="98" spans="2:7" x14ac:dyDescent="0.25">
      <c r="B98" s="253" t="s">
        <v>209</v>
      </c>
      <c r="C98" s="254" t="s">
        <v>210</v>
      </c>
      <c r="D98" s="255" t="s">
        <v>23</v>
      </c>
      <c r="E98" s="135">
        <v>3</v>
      </c>
      <c r="F98" s="256">
        <f>E98*16.5</f>
        <v>49.5</v>
      </c>
      <c r="G98" s="249">
        <v>17.14</v>
      </c>
    </row>
    <row r="99" spans="2:7" x14ac:dyDescent="0.25">
      <c r="B99" s="157" t="s">
        <v>211</v>
      </c>
      <c r="C99" s="157" t="s">
        <v>212</v>
      </c>
      <c r="D99" s="156" t="s">
        <v>86</v>
      </c>
      <c r="E99" s="135">
        <v>22</v>
      </c>
      <c r="F99" s="221">
        <f t="shared" si="4"/>
        <v>363</v>
      </c>
      <c r="G99" s="239">
        <v>120</v>
      </c>
    </row>
    <row r="100" spans="2:7" x14ac:dyDescent="0.25">
      <c r="B100" s="157" t="s">
        <v>258</v>
      </c>
      <c r="C100" s="157" t="s">
        <v>259</v>
      </c>
      <c r="D100" s="156" t="s">
        <v>23</v>
      </c>
      <c r="E100" s="121">
        <v>21</v>
      </c>
      <c r="F100" s="221">
        <f t="shared" si="4"/>
        <v>346.5</v>
      </c>
      <c r="G100" s="239"/>
    </row>
    <row r="101" spans="2:7" x14ac:dyDescent="0.25">
      <c r="B101" s="167" t="s">
        <v>393</v>
      </c>
      <c r="C101" s="167" t="s">
        <v>395</v>
      </c>
      <c r="D101" s="168" t="s">
        <v>86</v>
      </c>
      <c r="E101" s="135">
        <v>22</v>
      </c>
      <c r="F101" s="224">
        <f t="shared" si="4"/>
        <v>363</v>
      </c>
      <c r="G101" s="239">
        <v>120</v>
      </c>
    </row>
    <row r="102" spans="2:7" x14ac:dyDescent="0.25">
      <c r="B102" s="232" t="s">
        <v>213</v>
      </c>
      <c r="C102" s="233" t="s">
        <v>214</v>
      </c>
      <c r="D102" s="234" t="s">
        <v>32</v>
      </c>
      <c r="E102" s="132">
        <v>21</v>
      </c>
      <c r="F102" s="237">
        <f>16.5*E102</f>
        <v>346.5</v>
      </c>
      <c r="G102" s="241">
        <v>120</v>
      </c>
    </row>
    <row r="103" spans="2:7" x14ac:dyDescent="0.25">
      <c r="B103" s="157" t="s">
        <v>254</v>
      </c>
      <c r="C103" s="157" t="s">
        <v>255</v>
      </c>
      <c r="D103" s="156" t="s">
        <v>13</v>
      </c>
      <c r="E103" s="121">
        <v>21</v>
      </c>
      <c r="F103" s="225">
        <f t="shared" ref="F103:F116" si="5">E103*16.5</f>
        <v>346.5</v>
      </c>
      <c r="G103" s="239"/>
    </row>
    <row r="104" spans="2:7" x14ac:dyDescent="0.25">
      <c r="B104" s="177" t="s">
        <v>408</v>
      </c>
      <c r="C104" s="176" t="s">
        <v>405</v>
      </c>
      <c r="D104" s="156" t="s">
        <v>375</v>
      </c>
      <c r="E104" s="226">
        <v>21</v>
      </c>
      <c r="F104" s="225">
        <f t="shared" si="5"/>
        <v>346.5</v>
      </c>
      <c r="G104" s="239"/>
    </row>
    <row r="105" spans="2:7" x14ac:dyDescent="0.25">
      <c r="B105" s="177" t="s">
        <v>409</v>
      </c>
      <c r="C105" s="177" t="s">
        <v>406</v>
      </c>
      <c r="D105" s="156" t="s">
        <v>86</v>
      </c>
      <c r="E105" s="252">
        <v>22</v>
      </c>
      <c r="F105" s="225">
        <f t="shared" si="5"/>
        <v>363</v>
      </c>
      <c r="G105" s="239">
        <v>120</v>
      </c>
    </row>
    <row r="106" spans="2:7" x14ac:dyDescent="0.25">
      <c r="B106" s="227" t="s">
        <v>410</v>
      </c>
      <c r="C106" s="227" t="s">
        <v>407</v>
      </c>
      <c r="D106" s="156" t="s">
        <v>411</v>
      </c>
      <c r="E106" s="252">
        <v>23</v>
      </c>
      <c r="F106" s="225">
        <f t="shared" si="5"/>
        <v>379.5</v>
      </c>
      <c r="G106" s="239">
        <v>120</v>
      </c>
    </row>
    <row r="107" spans="2:7" x14ac:dyDescent="0.25">
      <c r="B107" s="228" t="s">
        <v>421</v>
      </c>
      <c r="C107" s="203" t="s">
        <v>418</v>
      </c>
      <c r="D107" s="98" t="s">
        <v>143</v>
      </c>
      <c r="E107" s="226">
        <v>21</v>
      </c>
      <c r="F107" s="225">
        <f t="shared" si="5"/>
        <v>346.5</v>
      </c>
      <c r="G107" s="243">
        <v>120</v>
      </c>
    </row>
    <row r="108" spans="2:7" x14ac:dyDescent="0.25">
      <c r="B108" s="181" t="s">
        <v>422</v>
      </c>
      <c r="C108" s="181" t="s">
        <v>419</v>
      </c>
      <c r="D108" s="204" t="s">
        <v>23</v>
      </c>
      <c r="E108" s="226">
        <v>21</v>
      </c>
      <c r="F108" s="225">
        <f t="shared" si="5"/>
        <v>346.5</v>
      </c>
      <c r="G108" s="244"/>
    </row>
    <row r="109" spans="2:7" x14ac:dyDescent="0.25">
      <c r="B109" s="177" t="s">
        <v>429</v>
      </c>
      <c r="C109" s="177" t="s">
        <v>445</v>
      </c>
      <c r="D109" s="204" t="s">
        <v>376</v>
      </c>
      <c r="E109" s="226">
        <v>21</v>
      </c>
      <c r="F109" s="225">
        <f t="shared" si="5"/>
        <v>346.5</v>
      </c>
      <c r="G109" s="244">
        <v>120</v>
      </c>
    </row>
    <row r="110" spans="2:7" x14ac:dyDescent="0.25">
      <c r="B110" s="177" t="s">
        <v>435</v>
      </c>
      <c r="C110" s="177" t="s">
        <v>446</v>
      </c>
      <c r="D110" s="204" t="s">
        <v>143</v>
      </c>
      <c r="E110" s="226">
        <v>21</v>
      </c>
      <c r="F110" s="225">
        <f t="shared" si="5"/>
        <v>346.5</v>
      </c>
      <c r="G110" s="244"/>
    </row>
    <row r="111" spans="2:7" x14ac:dyDescent="0.25">
      <c r="B111" s="177" t="s">
        <v>436</v>
      </c>
      <c r="C111" s="177" t="s">
        <v>447</v>
      </c>
      <c r="D111" s="204" t="s">
        <v>16</v>
      </c>
      <c r="E111" s="226">
        <v>21</v>
      </c>
      <c r="F111" s="225">
        <f t="shared" si="5"/>
        <v>346.5</v>
      </c>
      <c r="G111" s="244">
        <v>120</v>
      </c>
    </row>
    <row r="112" spans="2:7" x14ac:dyDescent="0.25">
      <c r="B112" s="177" t="s">
        <v>443</v>
      </c>
      <c r="C112" s="177" t="s">
        <v>441</v>
      </c>
      <c r="D112" s="76" t="s">
        <v>23</v>
      </c>
      <c r="E112" s="252">
        <v>27</v>
      </c>
      <c r="F112" s="225">
        <f t="shared" si="5"/>
        <v>445.5</v>
      </c>
      <c r="G112" s="244">
        <v>156</v>
      </c>
    </row>
    <row r="113" spans="2:7" x14ac:dyDescent="0.25">
      <c r="B113" s="230" t="s">
        <v>440</v>
      </c>
      <c r="C113" s="177" t="s">
        <v>442</v>
      </c>
      <c r="D113" s="76" t="s">
        <v>23</v>
      </c>
      <c r="E113" s="252">
        <v>27</v>
      </c>
      <c r="F113" s="225">
        <f t="shared" si="5"/>
        <v>445.5</v>
      </c>
      <c r="G113" s="244">
        <v>156</v>
      </c>
    </row>
    <row r="114" spans="2:7" x14ac:dyDescent="0.25">
      <c r="B114" s="229" t="s">
        <v>451</v>
      </c>
      <c r="C114" s="177" t="s">
        <v>448</v>
      </c>
      <c r="D114" s="204" t="s">
        <v>16</v>
      </c>
      <c r="E114" s="252">
        <v>27</v>
      </c>
      <c r="F114" s="225">
        <f t="shared" si="5"/>
        <v>445.5</v>
      </c>
      <c r="G114" s="244">
        <v>156</v>
      </c>
    </row>
    <row r="115" spans="2:7" x14ac:dyDescent="0.25">
      <c r="B115" s="177" t="s">
        <v>452</v>
      </c>
      <c r="C115" s="177" t="s">
        <v>449</v>
      </c>
      <c r="D115" s="76" t="s">
        <v>23</v>
      </c>
      <c r="E115" s="252">
        <v>27</v>
      </c>
      <c r="F115" s="225">
        <f t="shared" si="5"/>
        <v>445.5</v>
      </c>
      <c r="G115" s="244">
        <v>156</v>
      </c>
    </row>
    <row r="116" spans="2:7" x14ac:dyDescent="0.25">
      <c r="B116" s="229" t="s">
        <v>453</v>
      </c>
      <c r="C116" s="177" t="s">
        <v>450</v>
      </c>
      <c r="D116" s="204" t="s">
        <v>377</v>
      </c>
      <c r="E116" s="252">
        <v>27</v>
      </c>
      <c r="F116" s="225">
        <f t="shared" si="5"/>
        <v>445.5</v>
      </c>
      <c r="G116" s="244">
        <v>156</v>
      </c>
    </row>
    <row r="117" spans="2:7" x14ac:dyDescent="0.25">
      <c r="B117" s="205"/>
      <c r="C117" s="206"/>
      <c r="D117" s="205"/>
      <c r="E117" s="206"/>
      <c r="F117" s="207">
        <f>SUM(F3:F116)</f>
        <v>38339</v>
      </c>
      <c r="G117" s="245">
        <f>SUM(G4:G116)</f>
        <v>9922.5800000000017</v>
      </c>
    </row>
    <row r="119" spans="2:7" x14ac:dyDescent="0.25">
      <c r="F119" s="246"/>
    </row>
  </sheetData>
  <autoFilter ref="B3:G117" xr:uid="{37FD0510-C322-40AC-99ED-6EA7011C879E}"/>
  <mergeCells count="1">
    <mergeCell ref="F25:G25"/>
  </mergeCells>
  <conditionalFormatting sqref="B14">
    <cfRule type="expression" dxfId="5" priority="1">
      <formula>AND(B14&gt;TODAY(), B14-TODAY()&gt;=WEEKDAY(B14), B14-TODAY()&lt;WEEKDAY(B14)+7)</formula>
    </cfRule>
    <cfRule type="expression" dxfId="4" priority="2">
      <formula>OR(AND(B14&lt;=TODAY(), TODAY()-B14&lt;WEEKDAY(TODAY())), AND(TODAY()&lt;B14, B14-TODAY()&lt;WEEKDAY(B14)))</formula>
    </cfRule>
  </conditionalFormatting>
  <conditionalFormatting sqref="C34:C35 D46 D50:D52 D55">
    <cfRule type="expression" dxfId="3" priority="3" stopIfTrue="1">
      <formula>AND(COUNTIF(#REF!, C34)+COUNTIF($C:$C, C34)&gt;1,NOT(ISBLANK(C34)))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08D2-FE17-496B-B0CC-05F80D535F0C}">
  <dimension ref="B2:J28"/>
  <sheetViews>
    <sheetView topLeftCell="A27" zoomScale="85" zoomScaleNormal="85" workbookViewId="0">
      <selection activeCell="D30" sqref="D30"/>
    </sheetView>
  </sheetViews>
  <sheetFormatPr defaultRowHeight="15" x14ac:dyDescent="0.25"/>
  <cols>
    <col min="2" max="2" width="17.85546875" customWidth="1"/>
    <col min="3" max="3" width="43.85546875" bestFit="1" customWidth="1"/>
    <col min="4" max="4" width="20.5703125" customWidth="1"/>
    <col min="5" max="5" width="34.5703125" bestFit="1" customWidth="1"/>
    <col min="6" max="6" width="30" bestFit="1" customWidth="1"/>
    <col min="7" max="7" width="10" customWidth="1"/>
    <col min="8" max="8" width="15.42578125" customWidth="1"/>
    <col min="9" max="9" width="17.42578125" bestFit="1" customWidth="1"/>
    <col min="10" max="10" width="16.5703125" customWidth="1"/>
  </cols>
  <sheetData>
    <row r="2" spans="2:10" x14ac:dyDescent="0.25">
      <c r="B2" s="335" t="s">
        <v>404</v>
      </c>
      <c r="C2" s="333"/>
      <c r="D2" s="333"/>
      <c r="E2" s="333"/>
      <c r="F2" s="333"/>
      <c r="G2" s="333"/>
      <c r="H2" s="333"/>
      <c r="I2" s="333"/>
      <c r="J2" s="334"/>
    </row>
    <row r="3" spans="2:10" ht="30" x14ac:dyDescent="0.25">
      <c r="B3" s="28" t="s">
        <v>219</v>
      </c>
      <c r="C3" s="28" t="s">
        <v>220</v>
      </c>
      <c r="D3" s="28" t="s">
        <v>1</v>
      </c>
      <c r="E3" s="28" t="s">
        <v>2</v>
      </c>
      <c r="F3" s="28" t="s">
        <v>3</v>
      </c>
      <c r="G3" s="28" t="s">
        <v>4</v>
      </c>
      <c r="H3" s="29" t="s">
        <v>5</v>
      </c>
      <c r="I3" s="29" t="s">
        <v>6</v>
      </c>
      <c r="J3" s="5" t="s">
        <v>233</v>
      </c>
    </row>
    <row r="4" spans="2:10" x14ac:dyDescent="0.25">
      <c r="B4" s="79"/>
      <c r="C4" s="79"/>
      <c r="D4" s="76"/>
      <c r="E4" s="176"/>
      <c r="F4" s="269"/>
      <c r="G4" s="156"/>
      <c r="H4" s="279"/>
      <c r="I4" s="274"/>
      <c r="J4" s="80"/>
    </row>
    <row r="5" spans="2:10" x14ac:dyDescent="0.25">
      <c r="B5" s="184" t="s">
        <v>416</v>
      </c>
      <c r="C5" s="185" t="s">
        <v>416</v>
      </c>
      <c r="D5" s="178" t="s">
        <v>383</v>
      </c>
      <c r="E5" s="179" t="s">
        <v>399</v>
      </c>
      <c r="F5" s="270" t="s">
        <v>13</v>
      </c>
      <c r="G5" s="177">
        <v>2</v>
      </c>
      <c r="H5" s="76"/>
      <c r="I5" s="275">
        <v>33</v>
      </c>
      <c r="J5" s="99"/>
    </row>
    <row r="6" spans="2:10" x14ac:dyDescent="0.25">
      <c r="B6" s="184" t="s">
        <v>416</v>
      </c>
      <c r="C6" s="184" t="s">
        <v>416</v>
      </c>
      <c r="D6" s="194" t="s">
        <v>427</v>
      </c>
      <c r="E6" s="193" t="s">
        <v>426</v>
      </c>
      <c r="F6" s="271" t="s">
        <v>86</v>
      </c>
      <c r="G6" s="177">
        <v>3</v>
      </c>
      <c r="H6" s="280"/>
      <c r="I6" s="274">
        <v>49.5</v>
      </c>
      <c r="J6" s="90"/>
    </row>
    <row r="7" spans="2:10" x14ac:dyDescent="0.25">
      <c r="B7" s="89">
        <v>46280</v>
      </c>
      <c r="C7" s="83">
        <v>46280</v>
      </c>
      <c r="D7" s="76" t="s">
        <v>459</v>
      </c>
      <c r="E7" s="177" t="s">
        <v>455</v>
      </c>
      <c r="F7" s="269" t="s">
        <v>463</v>
      </c>
      <c r="G7" s="76">
        <v>12</v>
      </c>
      <c r="H7" s="87">
        <f>16.5*G7</f>
        <v>198</v>
      </c>
      <c r="I7" s="276">
        <f>120/21*12</f>
        <v>68.571428571428569</v>
      </c>
      <c r="J7" s="109"/>
    </row>
    <row r="8" spans="2:10" x14ac:dyDescent="0.25">
      <c r="B8" s="89">
        <v>46280</v>
      </c>
      <c r="C8" s="83">
        <v>46280</v>
      </c>
      <c r="D8" s="76" t="s">
        <v>460</v>
      </c>
      <c r="E8" s="177" t="s">
        <v>456</v>
      </c>
      <c r="F8" s="269" t="s">
        <v>464</v>
      </c>
      <c r="G8" s="76">
        <v>12</v>
      </c>
      <c r="H8" s="87">
        <f t="shared" ref="H8:H10" si="0">16.5*G8</f>
        <v>198</v>
      </c>
      <c r="I8" s="276">
        <f t="shared" ref="I8:I10" si="1">120/21*12</f>
        <v>68.571428571428569</v>
      </c>
      <c r="J8" s="91"/>
    </row>
    <row r="9" spans="2:10" x14ac:dyDescent="0.25">
      <c r="B9" s="89">
        <v>46280</v>
      </c>
      <c r="C9" s="83">
        <v>46280</v>
      </c>
      <c r="D9" s="76" t="s">
        <v>461</v>
      </c>
      <c r="E9" s="177" t="s">
        <v>457</v>
      </c>
      <c r="F9" s="269" t="s">
        <v>465</v>
      </c>
      <c r="G9" s="76">
        <v>12</v>
      </c>
      <c r="H9" s="87">
        <f t="shared" si="0"/>
        <v>198</v>
      </c>
      <c r="I9" s="276">
        <f t="shared" si="1"/>
        <v>68.571428571428569</v>
      </c>
      <c r="J9" s="96"/>
    </row>
    <row r="10" spans="2:10" x14ac:dyDescent="0.25">
      <c r="B10" s="89">
        <v>46280</v>
      </c>
      <c r="C10" s="83">
        <v>46280</v>
      </c>
      <c r="D10" s="76" t="s">
        <v>462</v>
      </c>
      <c r="E10" s="268" t="s">
        <v>458</v>
      </c>
      <c r="F10" s="272" t="s">
        <v>466</v>
      </c>
      <c r="G10" s="76">
        <v>12</v>
      </c>
      <c r="H10" s="87">
        <f t="shared" si="0"/>
        <v>198</v>
      </c>
      <c r="I10" s="276">
        <f t="shared" si="1"/>
        <v>68.571428571428569</v>
      </c>
      <c r="J10" s="91"/>
    </row>
    <row r="11" spans="2:10" x14ac:dyDescent="0.25">
      <c r="B11" s="89"/>
      <c r="C11" s="89"/>
      <c r="D11" s="76"/>
      <c r="E11" s="76"/>
      <c r="F11" s="269"/>
      <c r="G11" s="76"/>
      <c r="H11" s="99"/>
      <c r="I11" s="277"/>
      <c r="J11" s="76"/>
    </row>
    <row r="12" spans="2:10" x14ac:dyDescent="0.25">
      <c r="B12" s="89"/>
      <c r="C12" s="89"/>
      <c r="D12" s="76"/>
      <c r="E12" s="76"/>
      <c r="F12" s="269"/>
      <c r="G12" s="76"/>
      <c r="H12" s="99"/>
      <c r="I12" s="277"/>
      <c r="J12" s="76"/>
    </row>
    <row r="13" spans="2:10" x14ac:dyDescent="0.25">
      <c r="B13" s="89"/>
      <c r="C13" s="89"/>
      <c r="D13" s="76"/>
      <c r="E13" s="76"/>
      <c r="F13" s="273"/>
      <c r="G13" s="76"/>
      <c r="H13" s="99"/>
      <c r="I13" s="278"/>
      <c r="J13" s="76"/>
    </row>
    <row r="14" spans="2:10" x14ac:dyDescent="0.25">
      <c r="B14" s="89"/>
      <c r="C14" s="111"/>
      <c r="D14" s="76"/>
      <c r="E14" s="76"/>
      <c r="F14" s="273"/>
      <c r="G14" s="76"/>
      <c r="H14" s="99"/>
      <c r="I14" s="278"/>
      <c r="J14" s="76"/>
    </row>
    <row r="15" spans="2:10" x14ac:dyDescent="0.25">
      <c r="B15" s="89"/>
      <c r="C15" s="89"/>
      <c r="D15" s="76"/>
      <c r="E15" s="112"/>
      <c r="F15" s="273"/>
      <c r="G15" s="76"/>
      <c r="H15" s="99"/>
      <c r="I15" s="278"/>
      <c r="J15" s="76"/>
    </row>
    <row r="16" spans="2:10" x14ac:dyDescent="0.25">
      <c r="B16" s="76"/>
      <c r="C16" s="76"/>
      <c r="D16" s="76"/>
      <c r="E16" s="76"/>
      <c r="F16" s="269"/>
      <c r="G16" s="76"/>
      <c r="H16" s="76"/>
      <c r="I16" s="278"/>
      <c r="J16" s="76"/>
    </row>
    <row r="17" spans="2:10" x14ac:dyDescent="0.25">
      <c r="B17" s="76"/>
      <c r="C17" s="76"/>
      <c r="D17" s="76"/>
      <c r="E17" s="76"/>
      <c r="F17" s="76"/>
      <c r="G17" s="76"/>
      <c r="H17" s="76"/>
      <c r="I17" s="76"/>
      <c r="J17" s="76"/>
    </row>
    <row r="18" spans="2:10" x14ac:dyDescent="0.25">
      <c r="B18" s="76"/>
      <c r="C18" s="76"/>
      <c r="D18" s="76"/>
      <c r="E18" s="76"/>
      <c r="F18" s="76"/>
      <c r="G18" s="76"/>
      <c r="H18" s="76"/>
      <c r="I18" s="76"/>
      <c r="J18" s="76"/>
    </row>
    <row r="19" spans="2:10" x14ac:dyDescent="0.25">
      <c r="B19" s="76"/>
      <c r="C19" s="76"/>
      <c r="D19" s="76"/>
      <c r="E19" s="76"/>
      <c r="F19" s="76"/>
      <c r="G19" s="76"/>
      <c r="H19" s="76"/>
      <c r="I19" s="76"/>
      <c r="J19" s="76"/>
    </row>
    <row r="20" spans="2:10" x14ac:dyDescent="0.25">
      <c r="B20" s="76"/>
      <c r="C20" s="76"/>
      <c r="D20" s="76"/>
      <c r="E20" s="76"/>
      <c r="F20" s="76"/>
      <c r="G20" s="76"/>
      <c r="H20" s="76"/>
      <c r="I20" s="192">
        <f>SUM(I5:I19)</f>
        <v>356.78571428571422</v>
      </c>
      <c r="J20" s="76"/>
    </row>
    <row r="21" spans="2:10" x14ac:dyDescent="0.25">
      <c r="B21" s="78"/>
      <c r="C21" s="78"/>
      <c r="D21" s="78"/>
      <c r="E21" s="78"/>
      <c r="F21" s="78"/>
      <c r="G21" s="78"/>
      <c r="H21" s="78"/>
      <c r="I21" s="78"/>
      <c r="J21" s="78"/>
    </row>
    <row r="22" spans="2:10" x14ac:dyDescent="0.25">
      <c r="B22" s="338" t="s">
        <v>632</v>
      </c>
      <c r="C22" s="339" t="s">
        <v>631</v>
      </c>
      <c r="D22" s="338" t="s">
        <v>377</v>
      </c>
      <c r="E22" s="341" t="s">
        <v>639</v>
      </c>
      <c r="F22" s="340">
        <f>16.5*E22</f>
        <v>82.5</v>
      </c>
      <c r="G22" s="340">
        <f>120/21*E22</f>
        <v>28.571428571428573</v>
      </c>
      <c r="H22" s="78"/>
      <c r="I22" s="78"/>
      <c r="J22" s="78"/>
    </row>
    <row r="23" spans="2:10" x14ac:dyDescent="0.25">
      <c r="B23" s="336" t="s">
        <v>633</v>
      </c>
      <c r="C23" s="337" t="s">
        <v>634</v>
      </c>
      <c r="D23" s="156" t="s">
        <v>377</v>
      </c>
      <c r="E23" s="342" t="s">
        <v>639</v>
      </c>
      <c r="F23" s="340">
        <f>16.5*E23</f>
        <v>82.5</v>
      </c>
      <c r="G23" s="340">
        <f t="shared" ref="G23:G25" si="2">120/21*E23</f>
        <v>28.571428571428573</v>
      </c>
      <c r="H23" s="78"/>
      <c r="I23" s="78"/>
      <c r="J23" s="78"/>
    </row>
    <row r="24" spans="2:10" x14ac:dyDescent="0.25">
      <c r="B24" s="76" t="s">
        <v>636</v>
      </c>
      <c r="C24" s="177" t="s">
        <v>635</v>
      </c>
      <c r="D24" s="76" t="s">
        <v>16</v>
      </c>
      <c r="E24" s="341" t="s">
        <v>639</v>
      </c>
      <c r="F24" s="340">
        <f>16.5*E24</f>
        <v>82.5</v>
      </c>
      <c r="G24" s="340">
        <f t="shared" si="2"/>
        <v>28.571428571428573</v>
      </c>
    </row>
    <row r="25" spans="2:10" x14ac:dyDescent="0.25">
      <c r="B25" s="76" t="s">
        <v>637</v>
      </c>
      <c r="C25" s="177" t="s">
        <v>638</v>
      </c>
      <c r="D25" s="76" t="s">
        <v>396</v>
      </c>
      <c r="E25" s="341" t="s">
        <v>639</v>
      </c>
      <c r="F25" s="340">
        <f>16.5*E25</f>
        <v>82.5</v>
      </c>
      <c r="G25" s="340">
        <f t="shared" si="2"/>
        <v>28.571428571428573</v>
      </c>
    </row>
    <row r="26" spans="2:10" x14ac:dyDescent="0.25">
      <c r="B26" s="317"/>
      <c r="C26" s="317"/>
      <c r="D26" s="317"/>
      <c r="E26" s="343"/>
      <c r="F26" s="318">
        <f>SUM(F22:F25)</f>
        <v>330</v>
      </c>
      <c r="G26" s="318">
        <f>SUM(G22:G25)</f>
        <v>114.28571428571429</v>
      </c>
    </row>
    <row r="27" spans="2:10" x14ac:dyDescent="0.25">
      <c r="E27" s="329"/>
      <c r="G27" s="340">
        <f>SUM(F26+G26+'10 2026 Proporcional '!H12+'10 2026 Proporcional '!I12)</f>
        <v>444.28571428571428</v>
      </c>
    </row>
    <row r="28" spans="2:10" x14ac:dyDescent="0.25">
      <c r="F28" s="246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F6B4-2534-4A4B-9F00-A5DC6B8DD2AD}">
  <dimension ref="B1:J204"/>
  <sheetViews>
    <sheetView topLeftCell="D2" zoomScale="115" zoomScaleNormal="115" workbookViewId="0">
      <selection activeCell="B1" sqref="B1:J1048576"/>
    </sheetView>
  </sheetViews>
  <sheetFormatPr defaultColWidth="26.7109375" defaultRowHeight="15" x14ac:dyDescent="0.25"/>
  <cols>
    <col min="1" max="1" width="10.5703125" customWidth="1"/>
    <col min="2" max="2" width="16.28515625" bestFit="1" customWidth="1"/>
    <col min="3" max="3" width="43.85546875" bestFit="1" customWidth="1"/>
    <col min="4" max="4" width="15.42578125" bestFit="1" customWidth="1"/>
    <col min="5" max="5" width="13" customWidth="1"/>
    <col min="6" max="6" width="25.28515625" bestFit="1" customWidth="1"/>
    <col min="7" max="7" width="24.140625" bestFit="1" customWidth="1"/>
  </cols>
  <sheetData>
    <row r="1" spans="2:10" x14ac:dyDescent="0.25">
      <c r="B1" s="2" t="s">
        <v>1</v>
      </c>
      <c r="C1" s="3" t="s">
        <v>2</v>
      </c>
      <c r="D1" s="4" t="s">
        <v>3</v>
      </c>
      <c r="E1" s="303" t="s">
        <v>4</v>
      </c>
      <c r="F1" s="310" t="s">
        <v>5</v>
      </c>
      <c r="G1" s="310" t="s">
        <v>232</v>
      </c>
      <c r="H1" s="312" t="s">
        <v>66</v>
      </c>
      <c r="I1" s="313" t="s">
        <v>627</v>
      </c>
      <c r="J1" s="314" t="s">
        <v>624</v>
      </c>
    </row>
    <row r="2" spans="2:10" x14ac:dyDescent="0.25">
      <c r="B2" s="308" t="s">
        <v>470</v>
      </c>
      <c r="C2" s="307" t="s">
        <v>328</v>
      </c>
      <c r="D2" s="309" t="s">
        <v>23</v>
      </c>
      <c r="E2" s="177">
        <v>21</v>
      </c>
      <c r="F2" s="330">
        <f>16.5*E2</f>
        <v>346.5</v>
      </c>
      <c r="G2" s="327"/>
    </row>
    <row r="3" spans="2:10" ht="22.5" x14ac:dyDescent="0.25">
      <c r="B3" s="319" t="s">
        <v>471</v>
      </c>
      <c r="C3" s="320" t="s">
        <v>8</v>
      </c>
      <c r="D3" s="321" t="s">
        <v>86</v>
      </c>
      <c r="E3" s="322">
        <v>12</v>
      </c>
      <c r="F3" s="331">
        <f t="shared" ref="F3:F65" si="0">16.5*E3</f>
        <v>198</v>
      </c>
      <c r="G3" s="328"/>
      <c r="H3" s="315">
        <v>46307</v>
      </c>
      <c r="I3" s="316" t="s">
        <v>625</v>
      </c>
      <c r="J3" s="316" t="s">
        <v>626</v>
      </c>
    </row>
    <row r="4" spans="2:10" x14ac:dyDescent="0.25">
      <c r="B4" s="308" t="s">
        <v>473</v>
      </c>
      <c r="C4" s="307" t="s">
        <v>472</v>
      </c>
      <c r="D4" s="309" t="s">
        <v>23</v>
      </c>
      <c r="E4" s="177">
        <v>21</v>
      </c>
      <c r="F4" s="330">
        <f t="shared" si="0"/>
        <v>346.5</v>
      </c>
      <c r="G4" s="327"/>
    </row>
    <row r="5" spans="2:10" x14ac:dyDescent="0.25">
      <c r="B5" s="308" t="s">
        <v>474</v>
      </c>
      <c r="C5" s="307" t="s">
        <v>265</v>
      </c>
      <c r="D5" s="309" t="s">
        <v>143</v>
      </c>
      <c r="E5" s="177">
        <v>21</v>
      </c>
      <c r="F5" s="330">
        <f t="shared" si="0"/>
        <v>346.5</v>
      </c>
      <c r="G5" s="327">
        <v>120</v>
      </c>
    </row>
    <row r="6" spans="2:10" x14ac:dyDescent="0.25">
      <c r="B6" s="319" t="s">
        <v>476</v>
      </c>
      <c r="C6" s="320" t="s">
        <v>475</v>
      </c>
      <c r="D6" s="321" t="s">
        <v>86</v>
      </c>
      <c r="E6" s="322">
        <v>24</v>
      </c>
      <c r="F6" s="331">
        <f t="shared" si="0"/>
        <v>396</v>
      </c>
      <c r="G6" s="328">
        <v>120</v>
      </c>
    </row>
    <row r="7" spans="2:10" x14ac:dyDescent="0.25">
      <c r="B7" s="308" t="s">
        <v>478</v>
      </c>
      <c r="C7" s="307" t="s">
        <v>477</v>
      </c>
      <c r="D7" s="309" t="s">
        <v>16</v>
      </c>
      <c r="E7" s="177">
        <v>21</v>
      </c>
      <c r="F7" s="330">
        <f t="shared" si="0"/>
        <v>346.5</v>
      </c>
      <c r="G7" s="327">
        <v>120</v>
      </c>
    </row>
    <row r="8" spans="2:10" x14ac:dyDescent="0.25">
      <c r="B8" s="308" t="s">
        <v>479</v>
      </c>
      <c r="C8" s="307" t="s">
        <v>28</v>
      </c>
      <c r="D8" s="309" t="s">
        <v>29</v>
      </c>
      <c r="E8" s="177">
        <v>21</v>
      </c>
      <c r="F8" s="330">
        <f t="shared" si="0"/>
        <v>346.5</v>
      </c>
      <c r="G8" s="327">
        <v>120</v>
      </c>
    </row>
    <row r="9" spans="2:10" x14ac:dyDescent="0.25">
      <c r="B9" s="308" t="s">
        <v>481</v>
      </c>
      <c r="C9" s="307" t="s">
        <v>480</v>
      </c>
      <c r="D9" s="309" t="s">
        <v>29</v>
      </c>
      <c r="E9" s="177">
        <v>21</v>
      </c>
      <c r="F9" s="330">
        <f t="shared" si="0"/>
        <v>346.5</v>
      </c>
      <c r="G9" s="327">
        <v>120</v>
      </c>
    </row>
    <row r="10" spans="2:10" x14ac:dyDescent="0.25">
      <c r="B10" s="308" t="s">
        <v>482</v>
      </c>
      <c r="C10" s="307" t="s">
        <v>42</v>
      </c>
      <c r="D10" s="309" t="s">
        <v>35</v>
      </c>
      <c r="E10" s="177">
        <v>21</v>
      </c>
      <c r="F10" s="330">
        <f t="shared" si="0"/>
        <v>346.5</v>
      </c>
      <c r="G10" s="327">
        <v>120</v>
      </c>
    </row>
    <row r="11" spans="2:10" x14ac:dyDescent="0.25">
      <c r="B11" s="308" t="s">
        <v>484</v>
      </c>
      <c r="C11" s="307" t="s">
        <v>483</v>
      </c>
      <c r="D11" s="309" t="s">
        <v>485</v>
      </c>
      <c r="E11" s="177">
        <v>21</v>
      </c>
      <c r="F11" s="330">
        <f t="shared" si="0"/>
        <v>346.5</v>
      </c>
      <c r="G11" s="327"/>
    </row>
    <row r="12" spans="2:10" x14ac:dyDescent="0.25">
      <c r="B12" s="319" t="s">
        <v>486</v>
      </c>
      <c r="C12" s="320" t="s">
        <v>331</v>
      </c>
      <c r="D12" s="321" t="s">
        <v>86</v>
      </c>
      <c r="E12" s="322">
        <v>22</v>
      </c>
      <c r="F12" s="331">
        <f t="shared" si="0"/>
        <v>363</v>
      </c>
      <c r="G12" s="328">
        <v>120</v>
      </c>
    </row>
    <row r="13" spans="2:10" x14ac:dyDescent="0.25">
      <c r="B13" s="308" t="s">
        <v>487</v>
      </c>
      <c r="C13" s="307" t="s">
        <v>369</v>
      </c>
      <c r="D13" s="309" t="s">
        <v>35</v>
      </c>
      <c r="E13" s="177">
        <v>21</v>
      </c>
      <c r="F13" s="330">
        <f t="shared" si="0"/>
        <v>346.5</v>
      </c>
      <c r="G13" s="327">
        <v>120</v>
      </c>
    </row>
    <row r="14" spans="2:10" x14ac:dyDescent="0.25">
      <c r="B14" s="308" t="s">
        <v>489</v>
      </c>
      <c r="C14" s="307" t="s">
        <v>488</v>
      </c>
      <c r="D14" s="309" t="s">
        <v>16</v>
      </c>
      <c r="E14" s="177">
        <v>21</v>
      </c>
      <c r="F14" s="330">
        <f t="shared" si="0"/>
        <v>346.5</v>
      </c>
      <c r="G14" s="327">
        <v>120</v>
      </c>
    </row>
    <row r="15" spans="2:10" x14ac:dyDescent="0.25">
      <c r="B15" s="308" t="s">
        <v>491</v>
      </c>
      <c r="C15" s="307" t="s">
        <v>490</v>
      </c>
      <c r="D15" s="309" t="s">
        <v>32</v>
      </c>
      <c r="E15" s="177">
        <v>21</v>
      </c>
      <c r="F15" s="330">
        <f t="shared" si="0"/>
        <v>346.5</v>
      </c>
      <c r="G15" s="327">
        <v>120</v>
      </c>
    </row>
    <row r="16" spans="2:10" x14ac:dyDescent="0.25">
      <c r="B16" s="319" t="s">
        <v>493</v>
      </c>
      <c r="C16" s="320" t="s">
        <v>492</v>
      </c>
      <c r="D16" s="321" t="s">
        <v>86</v>
      </c>
      <c r="E16" s="322">
        <v>21</v>
      </c>
      <c r="F16" s="331">
        <f t="shared" si="0"/>
        <v>346.5</v>
      </c>
      <c r="G16" s="328">
        <v>120</v>
      </c>
    </row>
    <row r="17" spans="2:7" x14ac:dyDescent="0.25">
      <c r="B17" s="308" t="s">
        <v>495</v>
      </c>
      <c r="C17" s="307" t="s">
        <v>494</v>
      </c>
      <c r="D17" s="309" t="s">
        <v>16</v>
      </c>
      <c r="E17" s="177">
        <v>21</v>
      </c>
      <c r="F17" s="330">
        <f t="shared" si="0"/>
        <v>346.5</v>
      </c>
      <c r="G17" s="327">
        <v>120</v>
      </c>
    </row>
    <row r="18" spans="2:7" x14ac:dyDescent="0.25">
      <c r="B18" s="308" t="s">
        <v>496</v>
      </c>
      <c r="C18" s="307" t="s">
        <v>289</v>
      </c>
      <c r="D18" s="309" t="s">
        <v>32</v>
      </c>
      <c r="E18" s="177">
        <v>21</v>
      </c>
      <c r="F18" s="330">
        <f t="shared" si="0"/>
        <v>346.5</v>
      </c>
      <c r="G18" s="327">
        <v>120</v>
      </c>
    </row>
    <row r="19" spans="2:7" x14ac:dyDescent="0.25">
      <c r="B19" s="308" t="s">
        <v>497</v>
      </c>
      <c r="C19" s="307" t="s">
        <v>51</v>
      </c>
      <c r="D19" s="309" t="s">
        <v>498</v>
      </c>
      <c r="E19" s="177">
        <v>21</v>
      </c>
      <c r="F19" s="330">
        <f t="shared" si="0"/>
        <v>346.5</v>
      </c>
      <c r="G19" s="327">
        <v>120</v>
      </c>
    </row>
    <row r="20" spans="2:7" x14ac:dyDescent="0.25">
      <c r="B20" s="308" t="s">
        <v>500</v>
      </c>
      <c r="C20" s="307" t="s">
        <v>499</v>
      </c>
      <c r="D20" s="309" t="s">
        <v>40</v>
      </c>
      <c r="E20" s="177">
        <v>21</v>
      </c>
      <c r="F20" s="330">
        <f t="shared" si="0"/>
        <v>346.5</v>
      </c>
      <c r="G20" s="327"/>
    </row>
    <row r="21" spans="2:7" x14ac:dyDescent="0.25">
      <c r="B21" s="308" t="s">
        <v>502</v>
      </c>
      <c r="C21" s="307" t="s">
        <v>501</v>
      </c>
      <c r="D21" s="309" t="s">
        <v>498</v>
      </c>
      <c r="E21" s="177">
        <v>21</v>
      </c>
      <c r="F21" s="330">
        <f t="shared" si="0"/>
        <v>346.5</v>
      </c>
      <c r="G21" s="327">
        <v>120</v>
      </c>
    </row>
    <row r="22" spans="2:7" x14ac:dyDescent="0.25">
      <c r="B22" s="319" t="s">
        <v>503</v>
      </c>
      <c r="C22" s="320" t="s">
        <v>56</v>
      </c>
      <c r="D22" s="321" t="s">
        <v>628</v>
      </c>
      <c r="E22" s="322">
        <v>9</v>
      </c>
      <c r="F22" s="331">
        <f t="shared" si="0"/>
        <v>148.5</v>
      </c>
      <c r="G22" s="328">
        <v>51.43</v>
      </c>
    </row>
    <row r="23" spans="2:7" x14ac:dyDescent="0.25">
      <c r="B23" s="308" t="s">
        <v>504</v>
      </c>
      <c r="C23" s="307" t="s">
        <v>58</v>
      </c>
      <c r="D23" s="309" t="s">
        <v>628</v>
      </c>
      <c r="E23" s="177">
        <v>21</v>
      </c>
      <c r="F23" s="330">
        <f t="shared" si="0"/>
        <v>346.5</v>
      </c>
      <c r="G23" s="327">
        <v>120</v>
      </c>
    </row>
    <row r="24" spans="2:7" x14ac:dyDescent="0.25">
      <c r="B24" s="308" t="s">
        <v>505</v>
      </c>
      <c r="C24" s="307" t="s">
        <v>267</v>
      </c>
      <c r="D24" s="309" t="s">
        <v>23</v>
      </c>
      <c r="E24" s="177">
        <v>21</v>
      </c>
      <c r="F24" s="330">
        <f t="shared" si="0"/>
        <v>346.5</v>
      </c>
      <c r="G24" s="327">
        <v>120</v>
      </c>
    </row>
    <row r="25" spans="2:7" x14ac:dyDescent="0.25">
      <c r="B25" s="308" t="s">
        <v>507</v>
      </c>
      <c r="C25" s="307" t="s">
        <v>506</v>
      </c>
      <c r="D25" s="309" t="s">
        <v>32</v>
      </c>
      <c r="E25" s="177">
        <v>21</v>
      </c>
      <c r="F25" s="330">
        <f t="shared" si="0"/>
        <v>346.5</v>
      </c>
      <c r="G25" s="327">
        <v>120</v>
      </c>
    </row>
    <row r="26" spans="2:7" x14ac:dyDescent="0.25">
      <c r="B26" s="308" t="s">
        <v>509</v>
      </c>
      <c r="C26" s="307" t="s">
        <v>508</v>
      </c>
      <c r="D26" s="309" t="s">
        <v>628</v>
      </c>
      <c r="E26" s="177">
        <v>21</v>
      </c>
      <c r="F26" s="330">
        <f t="shared" si="0"/>
        <v>346.5</v>
      </c>
      <c r="G26" s="327">
        <v>120</v>
      </c>
    </row>
    <row r="27" spans="2:7" x14ac:dyDescent="0.25">
      <c r="B27" s="308" t="s">
        <v>511</v>
      </c>
      <c r="C27" s="307" t="s">
        <v>510</v>
      </c>
      <c r="D27" s="309" t="s">
        <v>40</v>
      </c>
      <c r="E27" s="177">
        <v>21</v>
      </c>
      <c r="F27" s="330">
        <f t="shared" si="0"/>
        <v>346.5</v>
      </c>
      <c r="G27" s="327"/>
    </row>
    <row r="28" spans="2:7" x14ac:dyDescent="0.25">
      <c r="B28" s="308" t="s">
        <v>512</v>
      </c>
      <c r="C28" s="307" t="s">
        <v>225</v>
      </c>
      <c r="D28" s="309" t="s">
        <v>143</v>
      </c>
      <c r="E28" s="177">
        <v>21</v>
      </c>
      <c r="F28" s="330">
        <f t="shared" si="0"/>
        <v>346.5</v>
      </c>
      <c r="G28" s="327"/>
    </row>
    <row r="29" spans="2:7" x14ac:dyDescent="0.25">
      <c r="B29" s="308" t="s">
        <v>513</v>
      </c>
      <c r="C29" s="307" t="s">
        <v>71</v>
      </c>
      <c r="D29" s="309" t="s">
        <v>32</v>
      </c>
      <c r="E29" s="177">
        <v>21</v>
      </c>
      <c r="F29" s="330">
        <f t="shared" si="0"/>
        <v>346.5</v>
      </c>
      <c r="G29" s="327">
        <v>120</v>
      </c>
    </row>
    <row r="30" spans="2:7" x14ac:dyDescent="0.25">
      <c r="B30" s="319" t="s">
        <v>515</v>
      </c>
      <c r="C30" s="320" t="s">
        <v>514</v>
      </c>
      <c r="D30" s="321" t="s">
        <v>86</v>
      </c>
      <c r="E30" s="322">
        <v>22</v>
      </c>
      <c r="F30" s="331">
        <f t="shared" si="0"/>
        <v>363</v>
      </c>
      <c r="G30" s="328">
        <v>120</v>
      </c>
    </row>
    <row r="31" spans="2:7" x14ac:dyDescent="0.25">
      <c r="B31" s="308" t="s">
        <v>517</v>
      </c>
      <c r="C31" s="307" t="s">
        <v>516</v>
      </c>
      <c r="D31" s="309" t="s">
        <v>143</v>
      </c>
      <c r="E31" s="177">
        <v>21</v>
      </c>
      <c r="F31" s="330">
        <f t="shared" si="0"/>
        <v>346.5</v>
      </c>
      <c r="G31" s="327">
        <v>120</v>
      </c>
    </row>
    <row r="32" spans="2:7" x14ac:dyDescent="0.25">
      <c r="B32" s="308" t="s">
        <v>518</v>
      </c>
      <c r="C32" s="307" t="s">
        <v>468</v>
      </c>
      <c r="D32" s="309" t="s">
        <v>29</v>
      </c>
      <c r="E32" s="177">
        <v>21</v>
      </c>
      <c r="F32" s="330">
        <f t="shared" si="0"/>
        <v>346.5</v>
      </c>
      <c r="G32" s="327">
        <v>120</v>
      </c>
    </row>
    <row r="33" spans="2:7" x14ac:dyDescent="0.25">
      <c r="B33" s="308" t="s">
        <v>520</v>
      </c>
      <c r="C33" s="307" t="s">
        <v>519</v>
      </c>
      <c r="D33" s="309" t="s">
        <v>23</v>
      </c>
      <c r="E33" s="177">
        <v>21</v>
      </c>
      <c r="F33" s="330">
        <f t="shared" si="0"/>
        <v>346.5</v>
      </c>
      <c r="G33" s="327">
        <v>120</v>
      </c>
    </row>
    <row r="34" spans="2:7" x14ac:dyDescent="0.25">
      <c r="B34" s="308" t="s">
        <v>522</v>
      </c>
      <c r="C34" s="307" t="s">
        <v>521</v>
      </c>
      <c r="D34" s="309" t="s">
        <v>103</v>
      </c>
      <c r="E34" s="177">
        <v>21</v>
      </c>
      <c r="F34" s="330">
        <f t="shared" si="0"/>
        <v>346.5</v>
      </c>
      <c r="G34" s="327">
        <v>120</v>
      </c>
    </row>
    <row r="35" spans="2:7" x14ac:dyDescent="0.25">
      <c r="B35" s="308" t="s">
        <v>524</v>
      </c>
      <c r="C35" s="307" t="s">
        <v>523</v>
      </c>
      <c r="D35" s="309" t="s">
        <v>143</v>
      </c>
      <c r="E35" s="177">
        <v>21</v>
      </c>
      <c r="F35" s="330">
        <f t="shared" si="0"/>
        <v>346.5</v>
      </c>
      <c r="G35" s="327">
        <v>120</v>
      </c>
    </row>
    <row r="36" spans="2:7" x14ac:dyDescent="0.25">
      <c r="B36" s="308" t="s">
        <v>526</v>
      </c>
      <c r="C36" s="307" t="s">
        <v>525</v>
      </c>
      <c r="D36" s="309" t="s">
        <v>23</v>
      </c>
      <c r="E36" s="177">
        <v>21</v>
      </c>
      <c r="F36" s="330">
        <f t="shared" si="0"/>
        <v>346.5</v>
      </c>
      <c r="G36" s="327">
        <v>120</v>
      </c>
    </row>
    <row r="37" spans="2:7" x14ac:dyDescent="0.25">
      <c r="B37" s="319" t="s">
        <v>527</v>
      </c>
      <c r="C37" s="320" t="s">
        <v>469</v>
      </c>
      <c r="D37" s="321" t="s">
        <v>13</v>
      </c>
      <c r="E37" s="322">
        <v>21</v>
      </c>
      <c r="F37" s="331">
        <f t="shared" si="0"/>
        <v>346.5</v>
      </c>
      <c r="G37" s="328">
        <v>120</v>
      </c>
    </row>
    <row r="38" spans="2:7" x14ac:dyDescent="0.25">
      <c r="B38" s="308" t="s">
        <v>528</v>
      </c>
      <c r="C38" s="307" t="s">
        <v>299</v>
      </c>
      <c r="D38" s="309" t="s">
        <v>628</v>
      </c>
      <c r="E38" s="177">
        <v>21</v>
      </c>
      <c r="F38" s="330">
        <f t="shared" si="0"/>
        <v>346.5</v>
      </c>
      <c r="G38" s="327">
        <v>120</v>
      </c>
    </row>
    <row r="39" spans="2:7" x14ac:dyDescent="0.25">
      <c r="B39" s="308" t="s">
        <v>530</v>
      </c>
      <c r="C39" s="307" t="s">
        <v>529</v>
      </c>
      <c r="D39" s="309" t="s">
        <v>23</v>
      </c>
      <c r="E39" s="177">
        <v>21</v>
      </c>
      <c r="F39" s="330">
        <f t="shared" si="0"/>
        <v>346.5</v>
      </c>
      <c r="G39" s="327"/>
    </row>
    <row r="40" spans="2:7" x14ac:dyDescent="0.25">
      <c r="B40" s="308" t="s">
        <v>531</v>
      </c>
      <c r="C40" s="307" t="s">
        <v>90</v>
      </c>
      <c r="D40" s="309" t="s">
        <v>35</v>
      </c>
      <c r="E40" s="177">
        <v>21</v>
      </c>
      <c r="F40" s="330">
        <f t="shared" si="0"/>
        <v>346.5</v>
      </c>
      <c r="G40" s="327"/>
    </row>
    <row r="41" spans="2:7" x14ac:dyDescent="0.25">
      <c r="B41" s="308" t="s">
        <v>532</v>
      </c>
      <c r="C41" s="307" t="s">
        <v>92</v>
      </c>
      <c r="D41" s="309" t="s">
        <v>23</v>
      </c>
      <c r="E41" s="177">
        <v>21</v>
      </c>
      <c r="F41" s="330">
        <f t="shared" si="0"/>
        <v>346.5</v>
      </c>
      <c r="G41" s="327">
        <v>120</v>
      </c>
    </row>
    <row r="42" spans="2:7" x14ac:dyDescent="0.25">
      <c r="B42" s="308" t="s">
        <v>533</v>
      </c>
      <c r="C42" s="307" t="s">
        <v>94</v>
      </c>
      <c r="D42" s="309" t="s">
        <v>498</v>
      </c>
      <c r="E42" s="177">
        <v>21</v>
      </c>
      <c r="F42" s="330">
        <f t="shared" si="0"/>
        <v>346.5</v>
      </c>
      <c r="G42" s="327"/>
    </row>
    <row r="43" spans="2:7" x14ac:dyDescent="0.25">
      <c r="B43" s="319" t="s">
        <v>535</v>
      </c>
      <c r="C43" s="320" t="s">
        <v>534</v>
      </c>
      <c r="D43" s="321" t="s">
        <v>13</v>
      </c>
      <c r="E43" s="322"/>
      <c r="F43" s="331"/>
      <c r="G43" s="328"/>
    </row>
    <row r="44" spans="2:7" x14ac:dyDescent="0.25">
      <c r="B44" s="308" t="s">
        <v>537</v>
      </c>
      <c r="C44" s="307" t="s">
        <v>536</v>
      </c>
      <c r="D44" s="309" t="s">
        <v>35</v>
      </c>
      <c r="E44" s="177">
        <v>21</v>
      </c>
      <c r="F44" s="330">
        <f t="shared" si="0"/>
        <v>346.5</v>
      </c>
      <c r="G44" s="327">
        <v>120</v>
      </c>
    </row>
    <row r="45" spans="2:7" x14ac:dyDescent="0.25">
      <c r="B45" s="308" t="s">
        <v>539</v>
      </c>
      <c r="C45" s="307" t="s">
        <v>538</v>
      </c>
      <c r="D45" s="309" t="s">
        <v>143</v>
      </c>
      <c r="E45" s="177">
        <v>21</v>
      </c>
      <c r="F45" s="330">
        <f t="shared" si="0"/>
        <v>346.5</v>
      </c>
      <c r="G45" s="327">
        <v>120</v>
      </c>
    </row>
    <row r="46" spans="2:7" x14ac:dyDescent="0.25">
      <c r="B46" s="308" t="s">
        <v>541</v>
      </c>
      <c r="C46" s="307" t="s">
        <v>540</v>
      </c>
      <c r="D46" s="309" t="s">
        <v>23</v>
      </c>
      <c r="E46" s="177">
        <v>21</v>
      </c>
      <c r="F46" s="330">
        <f t="shared" si="0"/>
        <v>346.5</v>
      </c>
      <c r="G46" s="327">
        <v>120</v>
      </c>
    </row>
    <row r="47" spans="2:7" x14ac:dyDescent="0.25">
      <c r="B47" s="308" t="s">
        <v>543</v>
      </c>
      <c r="C47" s="307" t="s">
        <v>542</v>
      </c>
      <c r="D47" s="309" t="s">
        <v>103</v>
      </c>
      <c r="E47" s="177">
        <v>21</v>
      </c>
      <c r="F47" s="330">
        <f t="shared" si="0"/>
        <v>346.5</v>
      </c>
      <c r="G47" s="327">
        <v>120</v>
      </c>
    </row>
    <row r="48" spans="2:7" x14ac:dyDescent="0.25">
      <c r="B48" s="308" t="s">
        <v>544</v>
      </c>
      <c r="C48" s="307" t="s">
        <v>109</v>
      </c>
      <c r="D48" s="309" t="s">
        <v>23</v>
      </c>
      <c r="E48" s="177">
        <v>21</v>
      </c>
      <c r="F48" s="330">
        <f t="shared" si="0"/>
        <v>346.5</v>
      </c>
      <c r="G48" s="327">
        <v>120</v>
      </c>
    </row>
    <row r="49" spans="2:7" x14ac:dyDescent="0.25">
      <c r="B49" s="319" t="s">
        <v>545</v>
      </c>
      <c r="C49" s="320" t="s">
        <v>278</v>
      </c>
      <c r="D49" s="321" t="s">
        <v>86</v>
      </c>
      <c r="E49" s="322">
        <v>23</v>
      </c>
      <c r="F49" s="331">
        <f t="shared" si="0"/>
        <v>379.5</v>
      </c>
      <c r="G49" s="328">
        <v>120</v>
      </c>
    </row>
    <row r="50" spans="2:7" x14ac:dyDescent="0.25">
      <c r="B50" s="308" t="s">
        <v>546</v>
      </c>
      <c r="C50" s="307" t="s">
        <v>113</v>
      </c>
      <c r="D50" s="309" t="s">
        <v>498</v>
      </c>
      <c r="E50" s="177">
        <v>21</v>
      </c>
      <c r="F50" s="330">
        <f t="shared" si="0"/>
        <v>346.5</v>
      </c>
      <c r="G50" s="327">
        <v>120</v>
      </c>
    </row>
    <row r="51" spans="2:7" x14ac:dyDescent="0.25">
      <c r="B51" s="319" t="s">
        <v>547</v>
      </c>
      <c r="C51" s="320" t="s">
        <v>334</v>
      </c>
      <c r="D51" s="321" t="s">
        <v>86</v>
      </c>
      <c r="E51" s="322">
        <v>23</v>
      </c>
      <c r="F51" s="331">
        <f t="shared" si="0"/>
        <v>379.5</v>
      </c>
      <c r="G51" s="328">
        <v>120</v>
      </c>
    </row>
    <row r="52" spans="2:7" x14ac:dyDescent="0.25">
      <c r="B52" s="308" t="s">
        <v>549</v>
      </c>
      <c r="C52" s="307" t="s">
        <v>548</v>
      </c>
      <c r="D52" s="309" t="s">
        <v>143</v>
      </c>
      <c r="E52" s="177">
        <v>21</v>
      </c>
      <c r="F52" s="330">
        <f t="shared" si="0"/>
        <v>346.5</v>
      </c>
      <c r="G52" s="327">
        <v>120</v>
      </c>
    </row>
    <row r="53" spans="2:7" x14ac:dyDescent="0.25">
      <c r="B53" s="319" t="s">
        <v>551</v>
      </c>
      <c r="C53" s="320" t="s">
        <v>550</v>
      </c>
      <c r="D53" s="321" t="s">
        <v>86</v>
      </c>
      <c r="E53" s="322">
        <v>23</v>
      </c>
      <c r="F53" s="331">
        <f t="shared" si="0"/>
        <v>379.5</v>
      </c>
      <c r="G53" s="328"/>
    </row>
    <row r="54" spans="2:7" x14ac:dyDescent="0.25">
      <c r="B54" s="308" t="s">
        <v>553</v>
      </c>
      <c r="C54" s="307" t="s">
        <v>552</v>
      </c>
      <c r="D54" s="309" t="s">
        <v>498</v>
      </c>
      <c r="E54" s="177">
        <v>21</v>
      </c>
      <c r="F54" s="330">
        <f t="shared" si="0"/>
        <v>346.5</v>
      </c>
      <c r="G54" s="327">
        <v>120</v>
      </c>
    </row>
    <row r="55" spans="2:7" x14ac:dyDescent="0.25">
      <c r="B55" s="319" t="s">
        <v>554</v>
      </c>
      <c r="C55" s="320" t="s">
        <v>412</v>
      </c>
      <c r="D55" s="321" t="s">
        <v>86</v>
      </c>
      <c r="E55" s="322">
        <v>22</v>
      </c>
      <c r="F55" s="331">
        <f t="shared" si="0"/>
        <v>363</v>
      </c>
      <c r="G55" s="328">
        <v>120</v>
      </c>
    </row>
    <row r="56" spans="2:7" x14ac:dyDescent="0.25">
      <c r="B56" s="308" t="s">
        <v>556</v>
      </c>
      <c r="C56" s="307" t="s">
        <v>555</v>
      </c>
      <c r="D56" s="309" t="s">
        <v>143</v>
      </c>
      <c r="E56" s="177">
        <v>21</v>
      </c>
      <c r="F56" s="330">
        <f t="shared" si="0"/>
        <v>346.5</v>
      </c>
      <c r="G56" s="327">
        <v>120</v>
      </c>
    </row>
    <row r="57" spans="2:7" x14ac:dyDescent="0.25">
      <c r="B57" s="319" t="s">
        <v>557</v>
      </c>
      <c r="C57" s="320" t="s">
        <v>123</v>
      </c>
      <c r="D57" s="321" t="s">
        <v>143</v>
      </c>
      <c r="E57" s="322">
        <v>11</v>
      </c>
      <c r="F57" s="331">
        <f t="shared" si="0"/>
        <v>181.5</v>
      </c>
      <c r="G57" s="328">
        <v>62.86</v>
      </c>
    </row>
    <row r="58" spans="2:7" x14ac:dyDescent="0.25">
      <c r="B58" s="308" t="s">
        <v>558</v>
      </c>
      <c r="C58" s="307" t="s">
        <v>307</v>
      </c>
      <c r="D58" s="309" t="s">
        <v>40</v>
      </c>
      <c r="E58" s="177">
        <v>21</v>
      </c>
      <c r="F58" s="330">
        <f t="shared" si="0"/>
        <v>346.5</v>
      </c>
      <c r="G58" s="327">
        <v>120</v>
      </c>
    </row>
    <row r="59" spans="2:7" x14ac:dyDescent="0.25">
      <c r="B59" s="319" t="s">
        <v>559</v>
      </c>
      <c r="C59" s="320" t="s">
        <v>125</v>
      </c>
      <c r="D59" s="321" t="s">
        <v>86</v>
      </c>
      <c r="E59" s="322">
        <v>23</v>
      </c>
      <c r="F59" s="331">
        <f t="shared" si="0"/>
        <v>379.5</v>
      </c>
      <c r="G59" s="328">
        <v>120</v>
      </c>
    </row>
    <row r="60" spans="2:7" x14ac:dyDescent="0.25">
      <c r="B60" s="319" t="s">
        <v>560</v>
      </c>
      <c r="C60" s="320" t="s">
        <v>128</v>
      </c>
      <c r="D60" s="321" t="s">
        <v>86</v>
      </c>
      <c r="E60" s="322">
        <v>13</v>
      </c>
      <c r="F60" s="331">
        <f t="shared" si="0"/>
        <v>214.5</v>
      </c>
      <c r="G60" s="328">
        <v>74.290000000000006</v>
      </c>
    </row>
    <row r="61" spans="2:7" x14ac:dyDescent="0.25">
      <c r="B61" s="308" t="s">
        <v>561</v>
      </c>
      <c r="C61" s="307" t="s">
        <v>243</v>
      </c>
      <c r="D61" s="309" t="s">
        <v>40</v>
      </c>
      <c r="E61" s="177">
        <v>21</v>
      </c>
      <c r="F61" s="330">
        <f t="shared" si="0"/>
        <v>346.5</v>
      </c>
      <c r="G61" s="327">
        <v>120</v>
      </c>
    </row>
    <row r="62" spans="2:7" x14ac:dyDescent="0.25">
      <c r="B62" s="308" t="s">
        <v>562</v>
      </c>
      <c r="C62" s="307" t="s">
        <v>294</v>
      </c>
      <c r="D62" s="309" t="s">
        <v>628</v>
      </c>
      <c r="E62" s="177">
        <v>21</v>
      </c>
      <c r="F62" s="330">
        <f t="shared" si="0"/>
        <v>346.5</v>
      </c>
      <c r="G62" s="327">
        <v>120</v>
      </c>
    </row>
    <row r="63" spans="2:7" x14ac:dyDescent="0.25">
      <c r="B63" s="308" t="s">
        <v>564</v>
      </c>
      <c r="C63" s="307" t="s">
        <v>563</v>
      </c>
      <c r="D63" s="309" t="s">
        <v>390</v>
      </c>
      <c r="E63" s="177">
        <v>21</v>
      </c>
      <c r="F63" s="330">
        <f t="shared" si="0"/>
        <v>346.5</v>
      </c>
      <c r="G63" s="327">
        <v>120</v>
      </c>
    </row>
    <row r="64" spans="2:7" x14ac:dyDescent="0.25">
      <c r="B64" s="319" t="s">
        <v>565</v>
      </c>
      <c r="C64" s="320" t="s">
        <v>136</v>
      </c>
      <c r="D64" s="321" t="s">
        <v>86</v>
      </c>
      <c r="E64" s="322">
        <v>22</v>
      </c>
      <c r="F64" s="331">
        <f t="shared" si="0"/>
        <v>363</v>
      </c>
      <c r="G64" s="328">
        <v>120</v>
      </c>
    </row>
    <row r="65" spans="2:7" x14ac:dyDescent="0.25">
      <c r="B65" s="308" t="s">
        <v>567</v>
      </c>
      <c r="C65" s="307" t="s">
        <v>566</v>
      </c>
      <c r="D65" s="309" t="s">
        <v>103</v>
      </c>
      <c r="E65" s="177">
        <v>21</v>
      </c>
      <c r="F65" s="330">
        <f t="shared" si="0"/>
        <v>346.5</v>
      </c>
      <c r="G65" s="327">
        <v>120</v>
      </c>
    </row>
    <row r="66" spans="2:7" x14ac:dyDescent="0.25">
      <c r="B66" s="308" t="s">
        <v>569</v>
      </c>
      <c r="C66" s="307" t="s">
        <v>568</v>
      </c>
      <c r="D66" s="309" t="s">
        <v>23</v>
      </c>
      <c r="E66" s="177">
        <v>21</v>
      </c>
      <c r="F66" s="330">
        <f t="shared" ref="F66:F104" si="1">16.5*E66</f>
        <v>346.5</v>
      </c>
      <c r="G66" s="327">
        <v>120</v>
      </c>
    </row>
    <row r="67" spans="2:7" x14ac:dyDescent="0.25">
      <c r="B67" s="308" t="s">
        <v>570</v>
      </c>
      <c r="C67" s="307" t="s">
        <v>145</v>
      </c>
      <c r="D67" s="309" t="s">
        <v>143</v>
      </c>
      <c r="E67" s="177">
        <v>21</v>
      </c>
      <c r="F67" s="330">
        <f t="shared" si="1"/>
        <v>346.5</v>
      </c>
      <c r="G67" s="327">
        <v>120</v>
      </c>
    </row>
    <row r="68" spans="2:7" x14ac:dyDescent="0.25">
      <c r="B68" s="308" t="s">
        <v>571</v>
      </c>
      <c r="C68" s="307" t="s">
        <v>147</v>
      </c>
      <c r="D68" s="309" t="s">
        <v>498</v>
      </c>
      <c r="E68" s="177">
        <v>21</v>
      </c>
      <c r="F68" s="330">
        <f t="shared" si="1"/>
        <v>346.5</v>
      </c>
      <c r="G68" s="327">
        <v>120</v>
      </c>
    </row>
    <row r="69" spans="2:7" x14ac:dyDescent="0.25">
      <c r="B69" s="308" t="s">
        <v>573</v>
      </c>
      <c r="C69" s="307" t="s">
        <v>572</v>
      </c>
      <c r="D69" s="309" t="s">
        <v>32</v>
      </c>
      <c r="E69" s="177">
        <v>21</v>
      </c>
      <c r="F69" s="330">
        <f t="shared" si="1"/>
        <v>346.5</v>
      </c>
      <c r="G69" s="327">
        <v>120</v>
      </c>
    </row>
    <row r="70" spans="2:7" x14ac:dyDescent="0.25">
      <c r="B70" s="308" t="s">
        <v>574</v>
      </c>
      <c r="C70" s="307" t="s">
        <v>151</v>
      </c>
      <c r="D70" s="309" t="s">
        <v>32</v>
      </c>
      <c r="E70" s="177">
        <v>21</v>
      </c>
      <c r="F70" s="330">
        <f t="shared" si="1"/>
        <v>346.5</v>
      </c>
      <c r="G70" s="327">
        <v>120</v>
      </c>
    </row>
    <row r="71" spans="2:7" x14ac:dyDescent="0.25">
      <c r="B71" s="308" t="s">
        <v>576</v>
      </c>
      <c r="C71" s="307" t="s">
        <v>575</v>
      </c>
      <c r="D71" s="309" t="s">
        <v>23</v>
      </c>
      <c r="E71" s="177">
        <v>21</v>
      </c>
      <c r="F71" s="330">
        <f t="shared" si="1"/>
        <v>346.5</v>
      </c>
      <c r="G71" s="327">
        <v>120</v>
      </c>
    </row>
    <row r="72" spans="2:7" x14ac:dyDescent="0.25">
      <c r="B72" s="308" t="s">
        <v>577</v>
      </c>
      <c r="C72" s="307" t="s">
        <v>159</v>
      </c>
      <c r="D72" s="309" t="s">
        <v>29</v>
      </c>
      <c r="E72" s="177">
        <v>21</v>
      </c>
      <c r="F72" s="330">
        <f t="shared" si="1"/>
        <v>346.5</v>
      </c>
      <c r="G72" s="327">
        <v>120</v>
      </c>
    </row>
    <row r="73" spans="2:7" x14ac:dyDescent="0.25">
      <c r="B73" s="308" t="s">
        <v>579</v>
      </c>
      <c r="C73" s="307" t="s">
        <v>578</v>
      </c>
      <c r="D73" s="309" t="s">
        <v>143</v>
      </c>
      <c r="E73" s="177">
        <v>21</v>
      </c>
      <c r="F73" s="330">
        <f t="shared" si="1"/>
        <v>346.5</v>
      </c>
      <c r="G73" s="327"/>
    </row>
    <row r="74" spans="2:7" x14ac:dyDescent="0.25">
      <c r="B74" s="319" t="s">
        <v>581</v>
      </c>
      <c r="C74" s="320" t="s">
        <v>580</v>
      </c>
      <c r="D74" s="321" t="s">
        <v>86</v>
      </c>
      <c r="E74" s="322">
        <v>23</v>
      </c>
      <c r="F74" s="331">
        <f t="shared" si="1"/>
        <v>379.5</v>
      </c>
      <c r="G74" s="328">
        <v>120</v>
      </c>
    </row>
    <row r="75" spans="2:7" x14ac:dyDescent="0.25">
      <c r="B75" s="308" t="s">
        <v>582</v>
      </c>
      <c r="C75" s="307" t="s">
        <v>165</v>
      </c>
      <c r="D75" s="309" t="s">
        <v>29</v>
      </c>
      <c r="E75" s="177">
        <v>21</v>
      </c>
      <c r="F75" s="330">
        <f t="shared" si="1"/>
        <v>346.5</v>
      </c>
      <c r="G75" s="327">
        <v>120</v>
      </c>
    </row>
    <row r="76" spans="2:7" x14ac:dyDescent="0.25">
      <c r="B76" s="308" t="s">
        <v>584</v>
      </c>
      <c r="C76" s="307" t="s">
        <v>583</v>
      </c>
      <c r="D76" s="309" t="s">
        <v>103</v>
      </c>
      <c r="E76" s="177">
        <v>21</v>
      </c>
      <c r="F76" s="330">
        <f t="shared" si="1"/>
        <v>346.5</v>
      </c>
      <c r="G76" s="327">
        <v>120</v>
      </c>
    </row>
    <row r="77" spans="2:7" x14ac:dyDescent="0.25">
      <c r="B77" s="308" t="s">
        <v>586</v>
      </c>
      <c r="C77" s="307" t="s">
        <v>585</v>
      </c>
      <c r="D77" s="309" t="s">
        <v>23</v>
      </c>
      <c r="E77" s="177">
        <v>21</v>
      </c>
      <c r="F77" s="330">
        <f t="shared" si="1"/>
        <v>346.5</v>
      </c>
      <c r="G77" s="327">
        <v>120</v>
      </c>
    </row>
    <row r="78" spans="2:7" x14ac:dyDescent="0.25">
      <c r="B78" s="308" t="s">
        <v>588</v>
      </c>
      <c r="C78" s="307" t="s">
        <v>587</v>
      </c>
      <c r="D78" s="309" t="s">
        <v>498</v>
      </c>
      <c r="E78" s="177">
        <v>21</v>
      </c>
      <c r="F78" s="330">
        <f t="shared" si="1"/>
        <v>346.5</v>
      </c>
      <c r="G78" s="327">
        <v>120</v>
      </c>
    </row>
    <row r="79" spans="2:7" x14ac:dyDescent="0.25">
      <c r="B79" s="308" t="s">
        <v>589</v>
      </c>
      <c r="C79" s="307" t="s">
        <v>261</v>
      </c>
      <c r="D79" s="309" t="s">
        <v>23</v>
      </c>
      <c r="E79" s="177">
        <v>21</v>
      </c>
      <c r="F79" s="330">
        <f t="shared" si="1"/>
        <v>346.5</v>
      </c>
      <c r="G79" s="327">
        <v>120</v>
      </c>
    </row>
    <row r="80" spans="2:7" x14ac:dyDescent="0.25">
      <c r="B80" s="308" t="s">
        <v>591</v>
      </c>
      <c r="C80" s="307" t="s">
        <v>590</v>
      </c>
      <c r="D80" s="309" t="s">
        <v>498</v>
      </c>
      <c r="E80" s="177">
        <v>21</v>
      </c>
      <c r="F80" s="330">
        <f t="shared" si="1"/>
        <v>346.5</v>
      </c>
      <c r="G80" s="327">
        <v>120</v>
      </c>
    </row>
    <row r="81" spans="2:7" x14ac:dyDescent="0.25">
      <c r="B81" s="319" t="s">
        <v>592</v>
      </c>
      <c r="C81" s="320" t="s">
        <v>176</v>
      </c>
      <c r="D81" s="321" t="s">
        <v>86</v>
      </c>
      <c r="E81" s="322">
        <v>23</v>
      </c>
      <c r="F81" s="331">
        <f t="shared" si="1"/>
        <v>379.5</v>
      </c>
      <c r="G81" s="328">
        <v>120</v>
      </c>
    </row>
    <row r="82" spans="2:7" x14ac:dyDescent="0.25">
      <c r="B82" s="319" t="s">
        <v>593</v>
      </c>
      <c r="C82" s="320" t="s">
        <v>178</v>
      </c>
      <c r="D82" s="321" t="s">
        <v>86</v>
      </c>
      <c r="E82" s="322">
        <v>22</v>
      </c>
      <c r="F82" s="331">
        <f t="shared" si="1"/>
        <v>363</v>
      </c>
      <c r="G82" s="328">
        <v>120</v>
      </c>
    </row>
    <row r="83" spans="2:7" x14ac:dyDescent="0.25">
      <c r="B83" s="308" t="s">
        <v>595</v>
      </c>
      <c r="C83" s="307" t="s">
        <v>594</v>
      </c>
      <c r="D83" s="309" t="s">
        <v>23</v>
      </c>
      <c r="E83" s="177">
        <v>21</v>
      </c>
      <c r="F83" s="330">
        <f t="shared" si="1"/>
        <v>346.5</v>
      </c>
      <c r="G83" s="327">
        <v>120</v>
      </c>
    </row>
    <row r="84" spans="2:7" x14ac:dyDescent="0.25">
      <c r="B84" s="308" t="s">
        <v>597</v>
      </c>
      <c r="C84" s="307" t="s">
        <v>596</v>
      </c>
      <c r="D84" s="309" t="s">
        <v>32</v>
      </c>
      <c r="E84" s="177">
        <v>21</v>
      </c>
      <c r="F84" s="330">
        <f t="shared" si="1"/>
        <v>346.5</v>
      </c>
      <c r="G84" s="327"/>
    </row>
    <row r="85" spans="2:7" x14ac:dyDescent="0.25">
      <c r="B85" s="324" t="s">
        <v>598</v>
      </c>
      <c r="C85" s="323" t="s">
        <v>188</v>
      </c>
      <c r="D85" s="309" t="s">
        <v>29</v>
      </c>
      <c r="E85" s="177">
        <v>21</v>
      </c>
      <c r="F85" s="330">
        <f t="shared" si="1"/>
        <v>346.5</v>
      </c>
      <c r="G85" s="327"/>
    </row>
    <row r="86" spans="2:7" x14ac:dyDescent="0.25">
      <c r="B86" s="325" t="s">
        <v>630</v>
      </c>
      <c r="C86" s="326" t="s">
        <v>629</v>
      </c>
      <c r="D86" s="309" t="s">
        <v>143</v>
      </c>
      <c r="E86" s="177">
        <v>21</v>
      </c>
      <c r="F86" s="330">
        <f t="shared" si="1"/>
        <v>346.5</v>
      </c>
      <c r="G86" s="327"/>
    </row>
    <row r="87" spans="2:7" x14ac:dyDescent="0.25">
      <c r="B87" s="324" t="s">
        <v>599</v>
      </c>
      <c r="C87" s="323" t="s">
        <v>190</v>
      </c>
      <c r="D87" s="309" t="s">
        <v>16</v>
      </c>
      <c r="E87" s="177">
        <v>21</v>
      </c>
      <c r="F87" s="330">
        <f t="shared" si="1"/>
        <v>346.5</v>
      </c>
      <c r="G87" s="327">
        <v>120</v>
      </c>
    </row>
    <row r="88" spans="2:7" x14ac:dyDescent="0.25">
      <c r="B88" s="308" t="s">
        <v>601</v>
      </c>
      <c r="C88" s="307" t="s">
        <v>600</v>
      </c>
      <c r="D88" s="309" t="s">
        <v>628</v>
      </c>
      <c r="E88" s="177">
        <v>21</v>
      </c>
      <c r="F88" s="330">
        <f t="shared" si="1"/>
        <v>346.5</v>
      </c>
      <c r="G88" s="327"/>
    </row>
    <row r="89" spans="2:7" x14ac:dyDescent="0.25">
      <c r="B89" s="308" t="s">
        <v>603</v>
      </c>
      <c r="C89" s="307" t="s">
        <v>602</v>
      </c>
      <c r="D89" s="309" t="s">
        <v>628</v>
      </c>
      <c r="E89" s="177">
        <v>21</v>
      </c>
      <c r="F89" s="330">
        <f t="shared" si="1"/>
        <v>346.5</v>
      </c>
      <c r="G89" s="327">
        <v>120</v>
      </c>
    </row>
    <row r="90" spans="2:7" x14ac:dyDescent="0.25">
      <c r="B90" s="308" t="s">
        <v>604</v>
      </c>
      <c r="C90" s="307" t="s">
        <v>194</v>
      </c>
      <c r="D90" s="309" t="s">
        <v>16</v>
      </c>
      <c r="E90" s="177">
        <v>21</v>
      </c>
      <c r="F90" s="330">
        <f t="shared" si="1"/>
        <v>346.5</v>
      </c>
      <c r="G90" s="327"/>
    </row>
    <row r="91" spans="2:7" x14ac:dyDescent="0.25">
      <c r="B91" s="319" t="s">
        <v>605</v>
      </c>
      <c r="C91" s="320" t="s">
        <v>196</v>
      </c>
      <c r="D91" s="321" t="s">
        <v>86</v>
      </c>
      <c r="E91" s="322">
        <v>10</v>
      </c>
      <c r="F91" s="331">
        <f>16.5*E91</f>
        <v>165</v>
      </c>
      <c r="G91" s="328">
        <v>57.14</v>
      </c>
    </row>
    <row r="92" spans="2:7" x14ac:dyDescent="0.25">
      <c r="B92" s="308" t="s">
        <v>607</v>
      </c>
      <c r="C92" s="307" t="s">
        <v>606</v>
      </c>
      <c r="D92" s="309" t="s">
        <v>23</v>
      </c>
      <c r="E92" s="177">
        <v>21</v>
      </c>
      <c r="F92" s="330">
        <f t="shared" si="1"/>
        <v>346.5</v>
      </c>
      <c r="G92" s="327">
        <v>120</v>
      </c>
    </row>
    <row r="93" spans="2:7" x14ac:dyDescent="0.25">
      <c r="B93" s="308" t="s">
        <v>609</v>
      </c>
      <c r="C93" s="307" t="s">
        <v>608</v>
      </c>
      <c r="D93" s="309" t="s">
        <v>143</v>
      </c>
      <c r="E93" s="177">
        <v>21</v>
      </c>
      <c r="F93" s="330">
        <f t="shared" si="1"/>
        <v>346.5</v>
      </c>
      <c r="G93" s="327">
        <v>120</v>
      </c>
    </row>
    <row r="94" spans="2:7" x14ac:dyDescent="0.25">
      <c r="B94" s="308" t="s">
        <v>610</v>
      </c>
      <c r="C94" s="307" t="s">
        <v>253</v>
      </c>
      <c r="D94" s="309" t="s">
        <v>103</v>
      </c>
      <c r="E94" s="177">
        <v>21</v>
      </c>
      <c r="F94" s="330">
        <f t="shared" si="1"/>
        <v>346.5</v>
      </c>
      <c r="G94" s="327">
        <v>120</v>
      </c>
    </row>
    <row r="95" spans="2:7" x14ac:dyDescent="0.25">
      <c r="B95" s="319" t="s">
        <v>612</v>
      </c>
      <c r="C95" s="320" t="s">
        <v>611</v>
      </c>
      <c r="D95" s="321" t="s">
        <v>86</v>
      </c>
      <c r="E95" s="322">
        <v>23</v>
      </c>
      <c r="F95" s="331">
        <f t="shared" si="1"/>
        <v>379.5</v>
      </c>
      <c r="G95" s="328"/>
    </row>
    <row r="96" spans="2:7" x14ac:dyDescent="0.25">
      <c r="B96" s="308" t="s">
        <v>613</v>
      </c>
      <c r="C96" s="307" t="s">
        <v>204</v>
      </c>
      <c r="D96" s="309" t="s">
        <v>498</v>
      </c>
      <c r="E96" s="177">
        <v>21</v>
      </c>
      <c r="F96" s="330">
        <f t="shared" si="1"/>
        <v>346.5</v>
      </c>
      <c r="G96" s="327">
        <v>120</v>
      </c>
    </row>
    <row r="97" spans="2:8" x14ac:dyDescent="0.25">
      <c r="B97" s="308" t="s">
        <v>614</v>
      </c>
      <c r="C97" s="307" t="s">
        <v>206</v>
      </c>
      <c r="D97" s="309" t="s">
        <v>32</v>
      </c>
      <c r="E97" s="177">
        <v>21</v>
      </c>
      <c r="F97" s="330">
        <f t="shared" si="1"/>
        <v>346.5</v>
      </c>
      <c r="G97" s="327">
        <v>120</v>
      </c>
    </row>
    <row r="98" spans="2:8" x14ac:dyDescent="0.25">
      <c r="B98" s="308" t="s">
        <v>615</v>
      </c>
      <c r="C98" s="307" t="s">
        <v>208</v>
      </c>
      <c r="D98" s="309" t="s">
        <v>390</v>
      </c>
      <c r="E98" s="177">
        <v>21</v>
      </c>
      <c r="F98" s="330">
        <f t="shared" si="1"/>
        <v>346.5</v>
      </c>
      <c r="G98" s="327">
        <v>120</v>
      </c>
    </row>
    <row r="99" spans="2:8" x14ac:dyDescent="0.25">
      <c r="B99" s="319" t="s">
        <v>616</v>
      </c>
      <c r="C99" s="320" t="s">
        <v>212</v>
      </c>
      <c r="D99" s="321" t="s">
        <v>86</v>
      </c>
      <c r="E99" s="322">
        <v>22</v>
      </c>
      <c r="F99" s="331">
        <f t="shared" si="1"/>
        <v>363</v>
      </c>
      <c r="G99" s="328">
        <v>120</v>
      </c>
    </row>
    <row r="100" spans="2:8" x14ac:dyDescent="0.25">
      <c r="B100" s="308" t="s">
        <v>617</v>
      </c>
      <c r="C100" s="307" t="s">
        <v>259</v>
      </c>
      <c r="D100" s="309" t="s">
        <v>23</v>
      </c>
      <c r="E100" s="177">
        <v>21</v>
      </c>
      <c r="F100" s="330">
        <f t="shared" si="1"/>
        <v>346.5</v>
      </c>
      <c r="G100" s="327"/>
    </row>
    <row r="101" spans="2:8" x14ac:dyDescent="0.25">
      <c r="B101" s="319" t="s">
        <v>618</v>
      </c>
      <c r="C101" s="320" t="s">
        <v>413</v>
      </c>
      <c r="D101" s="321" t="s">
        <v>86</v>
      </c>
      <c r="E101" s="322">
        <v>23</v>
      </c>
      <c r="F101" s="331">
        <f t="shared" si="1"/>
        <v>379.5</v>
      </c>
      <c r="G101" s="328">
        <v>120</v>
      </c>
    </row>
    <row r="102" spans="2:8" x14ac:dyDescent="0.25">
      <c r="B102" s="319" t="s">
        <v>620</v>
      </c>
      <c r="C102" s="320" t="s">
        <v>619</v>
      </c>
      <c r="D102" s="321" t="s">
        <v>86</v>
      </c>
      <c r="E102" s="322">
        <v>22</v>
      </c>
      <c r="F102" s="331">
        <f t="shared" si="1"/>
        <v>363</v>
      </c>
      <c r="G102" s="328">
        <v>120</v>
      </c>
    </row>
    <row r="103" spans="2:8" x14ac:dyDescent="0.25">
      <c r="B103" s="308" t="s">
        <v>622</v>
      </c>
      <c r="C103" s="307" t="s">
        <v>621</v>
      </c>
      <c r="D103" s="309" t="s">
        <v>32</v>
      </c>
      <c r="E103" s="177">
        <v>21</v>
      </c>
      <c r="F103" s="330">
        <f t="shared" si="1"/>
        <v>346.5</v>
      </c>
      <c r="G103" s="327">
        <v>120</v>
      </c>
    </row>
    <row r="104" spans="2:8" x14ac:dyDescent="0.25">
      <c r="B104" s="319" t="s">
        <v>623</v>
      </c>
      <c r="C104" s="320" t="s">
        <v>255</v>
      </c>
      <c r="D104" s="321" t="s">
        <v>13</v>
      </c>
      <c r="E104" s="322">
        <v>21</v>
      </c>
      <c r="F104" s="331">
        <f t="shared" si="1"/>
        <v>346.5</v>
      </c>
      <c r="G104" s="328"/>
    </row>
    <row r="105" spans="2:8" x14ac:dyDescent="0.25">
      <c r="B105" s="317"/>
      <c r="C105" s="317"/>
      <c r="D105" s="317"/>
      <c r="E105" s="317"/>
      <c r="F105" s="318">
        <f>SUM(F1:F104)</f>
        <v>34947</v>
      </c>
      <c r="G105" s="332">
        <f>SUM(G5:G103)</f>
        <v>9605.7199999999993</v>
      </c>
      <c r="H105" s="246">
        <f>SUM(F105:G105)</f>
        <v>44552.72</v>
      </c>
    </row>
    <row r="106" spans="2:8" x14ac:dyDescent="0.25">
      <c r="B106" s="311"/>
      <c r="C106" s="311"/>
      <c r="D106" s="311"/>
    </row>
    <row r="107" spans="2:8" x14ac:dyDescent="0.25">
      <c r="E107" s="329"/>
    </row>
    <row r="108" spans="2:8" x14ac:dyDescent="0.25">
      <c r="E108" s="329"/>
    </row>
    <row r="109" spans="2:8" x14ac:dyDescent="0.25">
      <c r="B109" s="338" t="s">
        <v>632</v>
      </c>
      <c r="C109" s="339" t="s">
        <v>631</v>
      </c>
      <c r="D109" s="338" t="s">
        <v>377</v>
      </c>
      <c r="E109" s="341">
        <v>21</v>
      </c>
      <c r="F109" s="340">
        <f>16.5*E109</f>
        <v>346.5</v>
      </c>
      <c r="G109" s="340">
        <v>120</v>
      </c>
    </row>
    <row r="110" spans="2:8" x14ac:dyDescent="0.25">
      <c r="B110" s="336" t="s">
        <v>633</v>
      </c>
      <c r="C110" s="337" t="s">
        <v>634</v>
      </c>
      <c r="D110" s="156" t="s">
        <v>377</v>
      </c>
      <c r="E110" s="342">
        <v>21</v>
      </c>
      <c r="F110" s="340">
        <f t="shared" ref="F110:F112" si="2">16.5*E110</f>
        <v>346.5</v>
      </c>
      <c r="G110" s="340">
        <v>120</v>
      </c>
    </row>
    <row r="111" spans="2:8" x14ac:dyDescent="0.25">
      <c r="B111" s="76" t="s">
        <v>636</v>
      </c>
      <c r="C111" s="177" t="s">
        <v>635</v>
      </c>
      <c r="D111" s="76" t="s">
        <v>16</v>
      </c>
      <c r="E111" s="341">
        <v>21</v>
      </c>
      <c r="F111" s="340">
        <f t="shared" si="2"/>
        <v>346.5</v>
      </c>
      <c r="G111" s="340">
        <v>120</v>
      </c>
    </row>
    <row r="112" spans="2:8" x14ac:dyDescent="0.25">
      <c r="B112" s="76" t="s">
        <v>637</v>
      </c>
      <c r="C112" s="177" t="s">
        <v>638</v>
      </c>
      <c r="D112" s="76" t="s">
        <v>396</v>
      </c>
      <c r="E112" s="341">
        <v>21</v>
      </c>
      <c r="F112" s="340">
        <f t="shared" si="2"/>
        <v>346.5</v>
      </c>
      <c r="G112" s="340">
        <v>120</v>
      </c>
    </row>
    <row r="113" spans="2:7" x14ac:dyDescent="0.25">
      <c r="B113" s="317"/>
      <c r="C113" s="317"/>
      <c r="D113" s="317"/>
      <c r="E113" s="343"/>
      <c r="F113" s="318">
        <f>SUM(F109:F112)</f>
        <v>1386</v>
      </c>
      <c r="G113" s="318">
        <f>SUM(G109:G112)</f>
        <v>480</v>
      </c>
    </row>
    <row r="114" spans="2:7" x14ac:dyDescent="0.25">
      <c r="E114" s="329"/>
      <c r="G114" s="340">
        <f>SUM(F113+G113+'10 2026 Proporcional '!H20+'10 2026 Proporcional '!I20)</f>
        <v>2310.2857142857142</v>
      </c>
    </row>
    <row r="115" spans="2:7" x14ac:dyDescent="0.25">
      <c r="E115" s="329"/>
    </row>
    <row r="116" spans="2:7" x14ac:dyDescent="0.25">
      <c r="E116" s="329"/>
    </row>
    <row r="117" spans="2:7" x14ac:dyDescent="0.25">
      <c r="E117" s="329"/>
    </row>
    <row r="118" spans="2:7" x14ac:dyDescent="0.25">
      <c r="E118" s="329"/>
    </row>
    <row r="119" spans="2:7" x14ac:dyDescent="0.25">
      <c r="E119" s="329"/>
    </row>
    <row r="120" spans="2:7" x14ac:dyDescent="0.25">
      <c r="E120" s="329"/>
    </row>
    <row r="121" spans="2:7" x14ac:dyDescent="0.25">
      <c r="E121" s="329"/>
    </row>
    <row r="122" spans="2:7" x14ac:dyDescent="0.25">
      <c r="E122" s="329"/>
    </row>
    <row r="123" spans="2:7" x14ac:dyDescent="0.25">
      <c r="E123" s="329"/>
    </row>
    <row r="124" spans="2:7" x14ac:dyDescent="0.25">
      <c r="E124" s="329"/>
    </row>
    <row r="125" spans="2:7" x14ac:dyDescent="0.25">
      <c r="E125" s="329"/>
    </row>
    <row r="126" spans="2:7" x14ac:dyDescent="0.25">
      <c r="E126" s="329"/>
    </row>
    <row r="127" spans="2:7" x14ac:dyDescent="0.25">
      <c r="E127" s="329"/>
    </row>
    <row r="128" spans="2:7" x14ac:dyDescent="0.25">
      <c r="E128" s="329"/>
    </row>
    <row r="129" spans="5:5" x14ac:dyDescent="0.25">
      <c r="E129" s="329"/>
    </row>
    <row r="130" spans="5:5" x14ac:dyDescent="0.25">
      <c r="E130" s="329"/>
    </row>
    <row r="131" spans="5:5" x14ac:dyDescent="0.25">
      <c r="E131" s="329"/>
    </row>
    <row r="132" spans="5:5" x14ac:dyDescent="0.25">
      <c r="E132" s="329"/>
    </row>
    <row r="133" spans="5:5" x14ac:dyDescent="0.25">
      <c r="E133" s="329"/>
    </row>
    <row r="134" spans="5:5" x14ac:dyDescent="0.25">
      <c r="E134" s="329"/>
    </row>
    <row r="135" spans="5:5" x14ac:dyDescent="0.25">
      <c r="E135" s="329"/>
    </row>
    <row r="136" spans="5:5" x14ac:dyDescent="0.25">
      <c r="E136" s="329"/>
    </row>
    <row r="137" spans="5:5" x14ac:dyDescent="0.25">
      <c r="E137" s="329"/>
    </row>
    <row r="138" spans="5:5" x14ac:dyDescent="0.25">
      <c r="E138" s="329"/>
    </row>
    <row r="139" spans="5:5" x14ac:dyDescent="0.25">
      <c r="E139" s="329"/>
    </row>
    <row r="140" spans="5:5" x14ac:dyDescent="0.25">
      <c r="E140" s="329"/>
    </row>
    <row r="141" spans="5:5" x14ac:dyDescent="0.25">
      <c r="E141" s="329"/>
    </row>
    <row r="143" spans="5:5" x14ac:dyDescent="0.25">
      <c r="E143" s="329"/>
    </row>
    <row r="144" spans="5:5" x14ac:dyDescent="0.25">
      <c r="E144" s="329"/>
    </row>
    <row r="145" spans="5:5" x14ac:dyDescent="0.25">
      <c r="E145" s="329"/>
    </row>
    <row r="146" spans="5:5" x14ac:dyDescent="0.25">
      <c r="E146" s="329"/>
    </row>
    <row r="147" spans="5:5" x14ac:dyDescent="0.25">
      <c r="E147" s="329"/>
    </row>
    <row r="148" spans="5:5" x14ac:dyDescent="0.25">
      <c r="E148" s="329"/>
    </row>
    <row r="149" spans="5:5" x14ac:dyDescent="0.25">
      <c r="E149" s="329"/>
    </row>
    <row r="150" spans="5:5" x14ac:dyDescent="0.25">
      <c r="E150" s="329"/>
    </row>
    <row r="151" spans="5:5" x14ac:dyDescent="0.25">
      <c r="E151" s="329"/>
    </row>
    <row r="152" spans="5:5" x14ac:dyDescent="0.25">
      <c r="E152" s="329"/>
    </row>
    <row r="153" spans="5:5" x14ac:dyDescent="0.25">
      <c r="E153" s="329"/>
    </row>
    <row r="154" spans="5:5" x14ac:dyDescent="0.25">
      <c r="E154" s="329"/>
    </row>
    <row r="155" spans="5:5" x14ac:dyDescent="0.25">
      <c r="E155" s="329"/>
    </row>
    <row r="156" spans="5:5" x14ac:dyDescent="0.25">
      <c r="E156" s="329"/>
    </row>
    <row r="157" spans="5:5" x14ac:dyDescent="0.25">
      <c r="E157" s="329"/>
    </row>
    <row r="158" spans="5:5" x14ac:dyDescent="0.25">
      <c r="E158" s="329"/>
    </row>
    <row r="159" spans="5:5" x14ac:dyDescent="0.25">
      <c r="E159" s="329"/>
    </row>
    <row r="160" spans="5:5" x14ac:dyDescent="0.25">
      <c r="E160" s="329"/>
    </row>
    <row r="161" spans="5:5" x14ac:dyDescent="0.25">
      <c r="E161" s="329"/>
    </row>
    <row r="162" spans="5:5" x14ac:dyDescent="0.25">
      <c r="E162" s="329"/>
    </row>
    <row r="163" spans="5:5" x14ac:dyDescent="0.25">
      <c r="E163" s="329"/>
    </row>
    <row r="164" spans="5:5" x14ac:dyDescent="0.25">
      <c r="E164" s="329"/>
    </row>
    <row r="165" spans="5:5" x14ac:dyDescent="0.25">
      <c r="E165" s="329"/>
    </row>
    <row r="166" spans="5:5" x14ac:dyDescent="0.25">
      <c r="E166" s="329"/>
    </row>
    <row r="167" spans="5:5" x14ac:dyDescent="0.25">
      <c r="E167" s="329"/>
    </row>
    <row r="168" spans="5:5" x14ac:dyDescent="0.25">
      <c r="E168" s="329"/>
    </row>
    <row r="169" spans="5:5" x14ac:dyDescent="0.25">
      <c r="E169" s="329"/>
    </row>
    <row r="170" spans="5:5" x14ac:dyDescent="0.25">
      <c r="E170" s="329"/>
    </row>
    <row r="171" spans="5:5" x14ac:dyDescent="0.25">
      <c r="E171" s="329"/>
    </row>
    <row r="172" spans="5:5" x14ac:dyDescent="0.25">
      <c r="E172" s="329"/>
    </row>
    <row r="173" spans="5:5" x14ac:dyDescent="0.25">
      <c r="E173" s="329"/>
    </row>
    <row r="174" spans="5:5" x14ac:dyDescent="0.25">
      <c r="E174" s="329"/>
    </row>
    <row r="175" spans="5:5" x14ac:dyDescent="0.25">
      <c r="E175" s="329"/>
    </row>
    <row r="176" spans="5:5" x14ac:dyDescent="0.25">
      <c r="E176" s="329"/>
    </row>
    <row r="177" spans="5:5" x14ac:dyDescent="0.25">
      <c r="E177" s="329"/>
    </row>
    <row r="178" spans="5:5" x14ac:dyDescent="0.25">
      <c r="E178" s="329"/>
    </row>
    <row r="179" spans="5:5" x14ac:dyDescent="0.25">
      <c r="E179" s="329"/>
    </row>
    <row r="180" spans="5:5" x14ac:dyDescent="0.25">
      <c r="E180" s="329"/>
    </row>
    <row r="181" spans="5:5" x14ac:dyDescent="0.25">
      <c r="E181" s="329"/>
    </row>
    <row r="182" spans="5:5" x14ac:dyDescent="0.25">
      <c r="E182" s="329"/>
    </row>
    <row r="183" spans="5:5" x14ac:dyDescent="0.25">
      <c r="E183" s="329"/>
    </row>
    <row r="184" spans="5:5" x14ac:dyDescent="0.25">
      <c r="E184" s="329"/>
    </row>
    <row r="185" spans="5:5" x14ac:dyDescent="0.25">
      <c r="E185" s="329"/>
    </row>
    <row r="186" spans="5:5" x14ac:dyDescent="0.25">
      <c r="E186" s="329"/>
    </row>
    <row r="187" spans="5:5" x14ac:dyDescent="0.25">
      <c r="E187" s="329"/>
    </row>
    <row r="188" spans="5:5" x14ac:dyDescent="0.25">
      <c r="E188" s="329"/>
    </row>
    <row r="189" spans="5:5" x14ac:dyDescent="0.25">
      <c r="E189" s="329"/>
    </row>
    <row r="190" spans="5:5" x14ac:dyDescent="0.25">
      <c r="E190" s="329"/>
    </row>
    <row r="191" spans="5:5" x14ac:dyDescent="0.25">
      <c r="E191" s="329"/>
    </row>
    <row r="192" spans="5:5" x14ac:dyDescent="0.25">
      <c r="E192" s="329"/>
    </row>
    <row r="193" spans="5:5" x14ac:dyDescent="0.25">
      <c r="E193" s="329"/>
    </row>
    <row r="194" spans="5:5" x14ac:dyDescent="0.25">
      <c r="E194" s="329"/>
    </row>
    <row r="195" spans="5:5" x14ac:dyDescent="0.25">
      <c r="E195" s="329"/>
    </row>
    <row r="196" spans="5:5" x14ac:dyDescent="0.25">
      <c r="E196" s="329"/>
    </row>
    <row r="197" spans="5:5" x14ac:dyDescent="0.25">
      <c r="E197" s="329"/>
    </row>
    <row r="198" spans="5:5" x14ac:dyDescent="0.25">
      <c r="E198" s="329"/>
    </row>
    <row r="199" spans="5:5" x14ac:dyDescent="0.25">
      <c r="E199" s="329"/>
    </row>
    <row r="200" spans="5:5" x14ac:dyDescent="0.25">
      <c r="E200" s="329"/>
    </row>
    <row r="201" spans="5:5" x14ac:dyDescent="0.25">
      <c r="E201" s="329"/>
    </row>
    <row r="202" spans="5:5" x14ac:dyDescent="0.25">
      <c r="E202" s="329"/>
    </row>
    <row r="203" spans="5:5" x14ac:dyDescent="0.25">
      <c r="E203" s="329"/>
    </row>
    <row r="204" spans="5:5" x14ac:dyDescent="0.25">
      <c r="E204" s="329"/>
    </row>
  </sheetData>
  <autoFilter ref="B1:G105" xr:uid="{7EEDF6B4-2534-4A4B-9F00-A5DC6B8DD2AD}"/>
  <pageMargins left="0.511811024" right="0.511811024" top="0.78740157499999996" bottom="0.78740157499999996" header="0.31496062000000002" footer="0.31496062000000002"/>
  <ignoredErrors>
    <ignoredError sqref="B2:B104" numberStoredAsText="1"/>
  </ignoredErrors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9A53-F447-43E4-8582-89C0E043BEB0}">
  <dimension ref="B2:I23"/>
  <sheetViews>
    <sheetView topLeftCell="D1" zoomScale="115" zoomScaleNormal="115" workbookViewId="0">
      <selection activeCell="B2" sqref="B2:I8"/>
    </sheetView>
  </sheetViews>
  <sheetFormatPr defaultRowHeight="15" x14ac:dyDescent="0.25"/>
  <cols>
    <col min="2" max="2" width="17.85546875" customWidth="1"/>
    <col min="3" max="3" width="19.5703125" customWidth="1"/>
    <col min="4" max="4" width="20.5703125" customWidth="1"/>
    <col min="5" max="5" width="46.28515625" customWidth="1"/>
    <col min="6" max="6" width="30" bestFit="1" customWidth="1"/>
    <col min="7" max="7" width="10" customWidth="1"/>
    <col min="8" max="8" width="15.42578125" customWidth="1"/>
    <col min="9" max="9" width="17.42578125" bestFit="1" customWidth="1"/>
  </cols>
  <sheetData>
    <row r="2" spans="2:9" x14ac:dyDescent="0.25">
      <c r="B2" s="335" t="s">
        <v>404</v>
      </c>
      <c r="C2" s="333"/>
      <c r="D2" s="333"/>
      <c r="E2" s="333"/>
      <c r="F2" s="333"/>
      <c r="G2" s="333"/>
      <c r="H2" s="333"/>
      <c r="I2" s="333"/>
    </row>
    <row r="3" spans="2:9" ht="30" x14ac:dyDescent="0.25">
      <c r="B3" s="28" t="s">
        <v>219</v>
      </c>
      <c r="C3" s="28" t="s">
        <v>220</v>
      </c>
      <c r="D3" s="28" t="s">
        <v>1</v>
      </c>
      <c r="E3" s="28" t="s">
        <v>2</v>
      </c>
      <c r="F3" s="28" t="s">
        <v>3</v>
      </c>
      <c r="G3" s="28" t="s">
        <v>4</v>
      </c>
      <c r="H3" s="29" t="s">
        <v>5</v>
      </c>
      <c r="I3" s="29" t="s">
        <v>6</v>
      </c>
    </row>
    <row r="4" spans="2:9" x14ac:dyDescent="0.25">
      <c r="B4" s="79">
        <v>46288</v>
      </c>
      <c r="C4" s="79">
        <v>46288</v>
      </c>
      <c r="D4" s="325" t="s">
        <v>630</v>
      </c>
      <c r="E4" s="326" t="s">
        <v>629</v>
      </c>
      <c r="F4" s="309" t="s">
        <v>143</v>
      </c>
      <c r="G4" s="177">
        <v>7</v>
      </c>
      <c r="H4" s="330">
        <f>16.5*G4</f>
        <v>115.5</v>
      </c>
      <c r="I4" s="327"/>
    </row>
    <row r="5" spans="2:9" x14ac:dyDescent="0.25">
      <c r="B5" s="184">
        <v>46289</v>
      </c>
      <c r="C5" s="185"/>
      <c r="D5" s="178" t="s">
        <v>632</v>
      </c>
      <c r="E5" s="179" t="s">
        <v>631</v>
      </c>
      <c r="F5" s="270" t="s">
        <v>377</v>
      </c>
      <c r="G5" s="177">
        <v>5</v>
      </c>
      <c r="H5" s="330">
        <f t="shared" ref="H5:H8" si="0">16.5*G5</f>
        <v>82.5</v>
      </c>
      <c r="I5" s="275">
        <f>120/21*G5</f>
        <v>28.571428571428573</v>
      </c>
    </row>
    <row r="6" spans="2:9" x14ac:dyDescent="0.25">
      <c r="B6" s="184">
        <v>46289</v>
      </c>
      <c r="C6" s="184"/>
      <c r="D6" s="336" t="s">
        <v>633</v>
      </c>
      <c r="E6" s="337" t="s">
        <v>634</v>
      </c>
      <c r="F6" s="271" t="s">
        <v>377</v>
      </c>
      <c r="G6" s="177">
        <v>5</v>
      </c>
      <c r="H6" s="330">
        <f t="shared" si="0"/>
        <v>82.5</v>
      </c>
      <c r="I6" s="275">
        <f t="shared" ref="I6:I8" si="1">120/21*G6</f>
        <v>28.571428571428573</v>
      </c>
    </row>
    <row r="7" spans="2:9" x14ac:dyDescent="0.25">
      <c r="B7" s="184">
        <v>46289</v>
      </c>
      <c r="C7" s="83"/>
      <c r="D7" s="76" t="s">
        <v>636</v>
      </c>
      <c r="E7" s="177" t="s">
        <v>635</v>
      </c>
      <c r="F7" s="269" t="s">
        <v>16</v>
      </c>
      <c r="G7" s="177">
        <v>5</v>
      </c>
      <c r="H7" s="330">
        <f t="shared" si="0"/>
        <v>82.5</v>
      </c>
      <c r="I7" s="275">
        <f t="shared" si="1"/>
        <v>28.571428571428573</v>
      </c>
    </row>
    <row r="8" spans="2:9" x14ac:dyDescent="0.25">
      <c r="B8" s="184">
        <v>46289</v>
      </c>
      <c r="C8" s="83"/>
      <c r="D8" s="76" t="s">
        <v>637</v>
      </c>
      <c r="E8" s="177" t="s">
        <v>638</v>
      </c>
      <c r="F8" s="269" t="s">
        <v>396</v>
      </c>
      <c r="G8" s="177">
        <v>5</v>
      </c>
      <c r="H8" s="330">
        <f t="shared" si="0"/>
        <v>82.5</v>
      </c>
      <c r="I8" s="275">
        <f t="shared" si="1"/>
        <v>28.571428571428573</v>
      </c>
    </row>
    <row r="9" spans="2:9" x14ac:dyDescent="0.25">
      <c r="B9" s="89"/>
      <c r="C9" s="83"/>
      <c r="D9" s="76"/>
      <c r="E9" s="177"/>
      <c r="F9" s="269"/>
      <c r="G9" s="76"/>
      <c r="H9" s="87"/>
      <c r="I9" s="276"/>
    </row>
    <row r="10" spans="2:9" x14ac:dyDescent="0.25">
      <c r="B10" s="89"/>
      <c r="C10" s="83"/>
      <c r="D10" s="76"/>
      <c r="E10" s="268"/>
      <c r="F10" s="272"/>
      <c r="G10" s="76"/>
      <c r="H10" s="87"/>
      <c r="I10" s="276"/>
    </row>
    <row r="11" spans="2:9" x14ac:dyDescent="0.25">
      <c r="B11" s="89"/>
      <c r="C11" s="89"/>
      <c r="D11" s="76"/>
      <c r="E11" s="76"/>
      <c r="F11" s="269"/>
      <c r="G11" s="76"/>
      <c r="H11" s="99"/>
      <c r="I11" s="277"/>
    </row>
    <row r="12" spans="2:9" x14ac:dyDescent="0.25">
      <c r="B12" s="89"/>
      <c r="C12" s="89"/>
      <c r="D12" s="76"/>
      <c r="E12" s="76"/>
      <c r="F12" s="269"/>
      <c r="G12" s="76"/>
      <c r="H12" s="99"/>
      <c r="I12" s="277"/>
    </row>
    <row r="13" spans="2:9" x14ac:dyDescent="0.25">
      <c r="B13" s="89"/>
      <c r="C13" s="89"/>
      <c r="D13" s="76"/>
      <c r="E13" s="76"/>
      <c r="F13" s="273"/>
      <c r="G13" s="76"/>
      <c r="H13" s="99"/>
      <c r="I13" s="278"/>
    </row>
    <row r="14" spans="2:9" x14ac:dyDescent="0.25">
      <c r="B14" s="89"/>
      <c r="C14" s="111"/>
      <c r="D14" s="76"/>
      <c r="E14" s="76"/>
      <c r="F14" s="273"/>
      <c r="G14" s="76"/>
      <c r="H14" s="99"/>
      <c r="I14" s="278"/>
    </row>
    <row r="15" spans="2:9" x14ac:dyDescent="0.25">
      <c r="B15" s="89"/>
      <c r="C15" s="89"/>
      <c r="D15" s="76"/>
      <c r="E15" s="112"/>
      <c r="F15" s="273"/>
      <c r="G15" s="76"/>
      <c r="H15" s="99"/>
      <c r="I15" s="278"/>
    </row>
    <row r="16" spans="2:9" x14ac:dyDescent="0.25">
      <c r="B16" s="76"/>
      <c r="C16" s="76"/>
      <c r="D16" s="76"/>
      <c r="E16" s="76"/>
      <c r="F16" s="269"/>
      <c r="G16" s="76"/>
      <c r="H16" s="76"/>
      <c r="I16" s="278"/>
    </row>
    <row r="17" spans="2:9" x14ac:dyDescent="0.25">
      <c r="B17" s="76"/>
      <c r="C17" s="76"/>
      <c r="D17" s="76"/>
      <c r="E17" s="76"/>
      <c r="F17" s="76"/>
      <c r="G17" s="76"/>
      <c r="H17" s="76"/>
      <c r="I17" s="76"/>
    </row>
    <row r="18" spans="2:9" x14ac:dyDescent="0.25">
      <c r="B18" s="76"/>
      <c r="C18" s="76"/>
      <c r="D18" s="76"/>
      <c r="E18" s="76"/>
      <c r="F18" s="76"/>
      <c r="G18" s="76"/>
      <c r="H18" s="76"/>
      <c r="I18" s="76"/>
    </row>
    <row r="19" spans="2:9" x14ac:dyDescent="0.25">
      <c r="B19" s="76"/>
      <c r="C19" s="76"/>
      <c r="D19" s="76"/>
      <c r="E19" s="76"/>
      <c r="F19" s="76"/>
      <c r="G19" s="76"/>
      <c r="H19" s="76"/>
      <c r="I19" s="76"/>
    </row>
    <row r="20" spans="2:9" x14ac:dyDescent="0.25">
      <c r="B20" s="76"/>
      <c r="C20" s="76"/>
      <c r="D20" s="76"/>
      <c r="E20" s="76"/>
      <c r="F20" s="76"/>
      <c r="G20" s="76"/>
      <c r="H20" s="192">
        <f>SUM(H5:H8)</f>
        <v>330</v>
      </c>
      <c r="I20" s="192">
        <f>SUM(I5:I19)</f>
        <v>114.28571428571429</v>
      </c>
    </row>
    <row r="21" spans="2:9" x14ac:dyDescent="0.25">
      <c r="B21" s="78"/>
      <c r="C21" s="78"/>
      <c r="D21" s="78"/>
      <c r="E21" s="78"/>
      <c r="F21" s="78"/>
      <c r="G21" s="78"/>
      <c r="H21" s="78"/>
      <c r="I21" s="78"/>
    </row>
    <row r="22" spans="2:9" x14ac:dyDescent="0.25">
      <c r="B22" s="78"/>
      <c r="C22" s="78"/>
      <c r="D22" s="78"/>
      <c r="E22" s="78"/>
      <c r="F22" s="78"/>
      <c r="G22" s="78"/>
      <c r="H22" s="78"/>
      <c r="I22" s="78"/>
    </row>
    <row r="23" spans="2:9" x14ac:dyDescent="0.25">
      <c r="B23" s="78"/>
      <c r="C23" s="78"/>
      <c r="D23" s="78"/>
      <c r="E23" s="78"/>
      <c r="F23" s="78"/>
      <c r="G23" s="78"/>
      <c r="H23" s="78"/>
      <c r="I23" s="78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7C6F-640E-4364-B689-2747C088A199}">
  <dimension ref="A1:I202"/>
  <sheetViews>
    <sheetView tabSelected="1" topLeftCell="A59" workbookViewId="0">
      <selection activeCell="H71" sqref="H71"/>
    </sheetView>
  </sheetViews>
  <sheetFormatPr defaultColWidth="16.42578125" defaultRowHeight="15" x14ac:dyDescent="0.25"/>
  <cols>
    <col min="1" max="1" width="15" style="349" bestFit="1" customWidth="1"/>
    <col min="2" max="2" width="43.85546875" bestFit="1" customWidth="1"/>
    <col min="3" max="3" width="19" bestFit="1" customWidth="1"/>
    <col min="4" max="4" width="10.5703125" bestFit="1" customWidth="1"/>
    <col min="5" max="5" width="25.28515625" bestFit="1" customWidth="1"/>
    <col min="6" max="6" width="24.140625" bestFit="1" customWidth="1"/>
    <col min="7" max="7" width="13.5703125" bestFit="1" customWidth="1"/>
    <col min="8" max="8" width="16" bestFit="1" customWidth="1"/>
    <col min="9" max="9" width="32.42578125" bestFit="1" customWidth="1"/>
  </cols>
  <sheetData>
    <row r="1" spans="1:9" ht="27.75" customHeight="1" x14ac:dyDescent="0.25">
      <c r="A1" s="348" t="s">
        <v>1</v>
      </c>
      <c r="B1" s="3" t="s">
        <v>2</v>
      </c>
      <c r="C1" s="4" t="s">
        <v>3</v>
      </c>
      <c r="D1" s="303" t="s">
        <v>4</v>
      </c>
      <c r="E1" s="310" t="s">
        <v>5</v>
      </c>
      <c r="F1" s="310" t="s">
        <v>232</v>
      </c>
      <c r="G1" s="312" t="s">
        <v>66</v>
      </c>
      <c r="H1" s="313" t="s">
        <v>627</v>
      </c>
      <c r="I1" s="314" t="s">
        <v>624</v>
      </c>
    </row>
    <row r="2" spans="1:9" ht="15.75" customHeight="1" x14ac:dyDescent="0.25">
      <c r="A2" s="346" t="s">
        <v>470</v>
      </c>
      <c r="B2" s="350" t="s">
        <v>328</v>
      </c>
      <c r="C2" s="346" t="s">
        <v>23</v>
      </c>
      <c r="D2" s="351">
        <v>21</v>
      </c>
      <c r="E2" s="358">
        <f t="shared" ref="E2:E26" si="0">16.5*D2</f>
        <v>346.5</v>
      </c>
      <c r="F2" s="358"/>
    </row>
    <row r="3" spans="1:9" ht="15.75" customHeight="1" x14ac:dyDescent="0.25">
      <c r="A3" s="347" t="s">
        <v>471</v>
      </c>
      <c r="B3" s="352" t="s">
        <v>8</v>
      </c>
      <c r="C3" s="347" t="s">
        <v>86</v>
      </c>
      <c r="D3" s="353">
        <v>12</v>
      </c>
      <c r="E3" s="359">
        <f t="shared" si="0"/>
        <v>198</v>
      </c>
      <c r="F3" s="359"/>
      <c r="G3" s="315">
        <v>46307</v>
      </c>
      <c r="H3" s="316" t="s">
        <v>625</v>
      </c>
      <c r="I3" s="316" t="s">
        <v>626</v>
      </c>
    </row>
    <row r="4" spans="1:9" ht="15.75" customHeight="1" x14ac:dyDescent="0.25">
      <c r="A4" s="346" t="s">
        <v>473</v>
      </c>
      <c r="B4" s="350" t="s">
        <v>472</v>
      </c>
      <c r="C4" s="346" t="s">
        <v>23</v>
      </c>
      <c r="D4" s="351">
        <v>21</v>
      </c>
      <c r="E4" s="358">
        <f t="shared" si="0"/>
        <v>346.5</v>
      </c>
      <c r="F4" s="358"/>
    </row>
    <row r="5" spans="1:9" ht="15.75" customHeight="1" x14ac:dyDescent="0.25">
      <c r="A5" s="346" t="s">
        <v>474</v>
      </c>
      <c r="B5" s="350" t="s">
        <v>265</v>
      </c>
      <c r="C5" s="346" t="s">
        <v>143</v>
      </c>
      <c r="D5" s="351">
        <v>21</v>
      </c>
      <c r="E5" s="358">
        <f t="shared" si="0"/>
        <v>346.5</v>
      </c>
      <c r="F5" s="358">
        <v>120</v>
      </c>
    </row>
    <row r="6" spans="1:9" ht="15.75" customHeight="1" x14ac:dyDescent="0.25">
      <c r="A6" s="347" t="s">
        <v>476</v>
      </c>
      <c r="B6" s="352" t="s">
        <v>475</v>
      </c>
      <c r="C6" s="347" t="s">
        <v>86</v>
      </c>
      <c r="D6" s="353">
        <v>24</v>
      </c>
      <c r="E6" s="359">
        <f t="shared" si="0"/>
        <v>396</v>
      </c>
      <c r="F6" s="359">
        <v>120</v>
      </c>
    </row>
    <row r="7" spans="1:9" ht="15.75" customHeight="1" x14ac:dyDescent="0.25">
      <c r="A7" s="346" t="s">
        <v>478</v>
      </c>
      <c r="B7" s="350" t="s">
        <v>477</v>
      </c>
      <c r="C7" s="346" t="s">
        <v>16</v>
      </c>
      <c r="D7" s="351">
        <v>21</v>
      </c>
      <c r="E7" s="358">
        <f t="shared" si="0"/>
        <v>346.5</v>
      </c>
      <c r="F7" s="358">
        <v>120</v>
      </c>
    </row>
    <row r="8" spans="1:9" ht="15.75" customHeight="1" x14ac:dyDescent="0.25">
      <c r="A8" s="354" t="s">
        <v>637</v>
      </c>
      <c r="B8" s="351" t="s">
        <v>638</v>
      </c>
      <c r="C8" s="351" t="s">
        <v>16</v>
      </c>
      <c r="D8" s="354">
        <v>21</v>
      </c>
      <c r="E8" s="358">
        <f t="shared" si="0"/>
        <v>346.5</v>
      </c>
      <c r="F8" s="358">
        <v>120</v>
      </c>
    </row>
    <row r="9" spans="1:9" ht="15.75" customHeight="1" x14ac:dyDescent="0.25">
      <c r="A9" s="346" t="s">
        <v>479</v>
      </c>
      <c r="B9" s="350" t="s">
        <v>28</v>
      </c>
      <c r="C9" s="346" t="s">
        <v>29</v>
      </c>
      <c r="D9" s="351">
        <v>21</v>
      </c>
      <c r="E9" s="358">
        <f t="shared" si="0"/>
        <v>346.5</v>
      </c>
      <c r="F9" s="358">
        <v>120</v>
      </c>
    </row>
    <row r="10" spans="1:9" ht="15.75" customHeight="1" x14ac:dyDescent="0.25">
      <c r="A10" s="354" t="s">
        <v>636</v>
      </c>
      <c r="B10" s="351" t="s">
        <v>635</v>
      </c>
      <c r="C10" s="351" t="s">
        <v>16</v>
      </c>
      <c r="D10" s="354">
        <v>21</v>
      </c>
      <c r="E10" s="358">
        <f t="shared" si="0"/>
        <v>346.5</v>
      </c>
      <c r="F10" s="358">
        <v>120</v>
      </c>
    </row>
    <row r="11" spans="1:9" ht="15.75" customHeight="1" x14ac:dyDescent="0.25">
      <c r="A11" s="346" t="s">
        <v>481</v>
      </c>
      <c r="B11" s="350" t="s">
        <v>480</v>
      </c>
      <c r="C11" s="346" t="s">
        <v>29</v>
      </c>
      <c r="D11" s="351">
        <v>21</v>
      </c>
      <c r="E11" s="358">
        <f t="shared" si="0"/>
        <v>346.5</v>
      </c>
      <c r="F11" s="358">
        <v>120</v>
      </c>
    </row>
    <row r="12" spans="1:9" ht="15.75" customHeight="1" x14ac:dyDescent="0.25">
      <c r="A12" s="346" t="s">
        <v>482</v>
      </c>
      <c r="B12" s="350" t="s">
        <v>42</v>
      </c>
      <c r="C12" s="346" t="s">
        <v>35</v>
      </c>
      <c r="D12" s="351">
        <v>21</v>
      </c>
      <c r="E12" s="358">
        <f t="shared" si="0"/>
        <v>346.5</v>
      </c>
      <c r="F12" s="358">
        <v>120</v>
      </c>
    </row>
    <row r="13" spans="1:9" ht="15.75" customHeight="1" x14ac:dyDescent="0.25">
      <c r="A13" s="346" t="s">
        <v>484</v>
      </c>
      <c r="B13" s="350" t="s">
        <v>483</v>
      </c>
      <c r="C13" s="346" t="s">
        <v>485</v>
      </c>
      <c r="D13" s="351">
        <v>21</v>
      </c>
      <c r="E13" s="358">
        <f t="shared" si="0"/>
        <v>346.5</v>
      </c>
      <c r="F13" s="358"/>
    </row>
    <row r="14" spans="1:9" ht="15.75" customHeight="1" x14ac:dyDescent="0.25">
      <c r="A14" s="347" t="s">
        <v>486</v>
      </c>
      <c r="B14" s="352" t="s">
        <v>331</v>
      </c>
      <c r="C14" s="347" t="s">
        <v>86</v>
      </c>
      <c r="D14" s="353">
        <v>22</v>
      </c>
      <c r="E14" s="359">
        <f t="shared" si="0"/>
        <v>363</v>
      </c>
      <c r="F14" s="359">
        <v>120</v>
      </c>
    </row>
    <row r="15" spans="1:9" ht="15.75" customHeight="1" x14ac:dyDescent="0.25">
      <c r="A15" s="346" t="s">
        <v>487</v>
      </c>
      <c r="B15" s="350" t="s">
        <v>369</v>
      </c>
      <c r="C15" s="346" t="s">
        <v>35</v>
      </c>
      <c r="D15" s="351">
        <v>21</v>
      </c>
      <c r="E15" s="358">
        <f t="shared" si="0"/>
        <v>346.5</v>
      </c>
      <c r="F15" s="358">
        <v>120</v>
      </c>
    </row>
    <row r="16" spans="1:9" ht="15.75" customHeight="1" x14ac:dyDescent="0.25">
      <c r="A16" s="346" t="s">
        <v>489</v>
      </c>
      <c r="B16" s="350" t="s">
        <v>488</v>
      </c>
      <c r="C16" s="346" t="s">
        <v>16</v>
      </c>
      <c r="D16" s="351">
        <v>21</v>
      </c>
      <c r="E16" s="358">
        <f t="shared" si="0"/>
        <v>346.5</v>
      </c>
      <c r="F16" s="358">
        <v>120</v>
      </c>
    </row>
    <row r="17" spans="1:6" ht="15.75" customHeight="1" x14ac:dyDescent="0.25">
      <c r="A17" s="346" t="s">
        <v>491</v>
      </c>
      <c r="B17" s="350" t="s">
        <v>490</v>
      </c>
      <c r="C17" s="346" t="s">
        <v>32</v>
      </c>
      <c r="D17" s="351">
        <v>21</v>
      </c>
      <c r="E17" s="358">
        <f t="shared" si="0"/>
        <v>346.5</v>
      </c>
      <c r="F17" s="358">
        <v>120</v>
      </c>
    </row>
    <row r="18" spans="1:6" ht="15.75" customHeight="1" x14ac:dyDescent="0.25">
      <c r="A18" s="347" t="s">
        <v>493</v>
      </c>
      <c r="B18" s="352" t="s">
        <v>492</v>
      </c>
      <c r="C18" s="347" t="s">
        <v>86</v>
      </c>
      <c r="D18" s="353">
        <v>21</v>
      </c>
      <c r="E18" s="359">
        <f t="shared" si="0"/>
        <v>346.5</v>
      </c>
      <c r="F18" s="359">
        <v>120</v>
      </c>
    </row>
    <row r="19" spans="1:6" ht="15.75" customHeight="1" x14ac:dyDescent="0.25">
      <c r="A19" s="346" t="s">
        <v>495</v>
      </c>
      <c r="B19" s="350" t="s">
        <v>494</v>
      </c>
      <c r="C19" s="346" t="s">
        <v>16</v>
      </c>
      <c r="D19" s="351">
        <v>21</v>
      </c>
      <c r="E19" s="358">
        <f t="shared" si="0"/>
        <v>346.5</v>
      </c>
      <c r="F19" s="358">
        <v>120</v>
      </c>
    </row>
    <row r="20" spans="1:6" ht="15.75" customHeight="1" x14ac:dyDescent="0.25">
      <c r="A20" s="346" t="s">
        <v>496</v>
      </c>
      <c r="B20" s="350" t="s">
        <v>289</v>
      </c>
      <c r="C20" s="346" t="s">
        <v>32</v>
      </c>
      <c r="D20" s="351">
        <v>21</v>
      </c>
      <c r="E20" s="358">
        <f t="shared" si="0"/>
        <v>346.5</v>
      </c>
      <c r="F20" s="358">
        <v>120</v>
      </c>
    </row>
    <row r="21" spans="1:6" ht="15.75" customHeight="1" x14ac:dyDescent="0.25">
      <c r="A21" s="346" t="s">
        <v>497</v>
      </c>
      <c r="B21" s="350" t="s">
        <v>51</v>
      </c>
      <c r="C21" s="346" t="s">
        <v>498</v>
      </c>
      <c r="D21" s="351">
        <v>21</v>
      </c>
      <c r="E21" s="358">
        <f t="shared" si="0"/>
        <v>346.5</v>
      </c>
      <c r="F21" s="358">
        <v>120</v>
      </c>
    </row>
    <row r="22" spans="1:6" ht="15.75" customHeight="1" x14ac:dyDescent="0.25">
      <c r="A22" s="346" t="s">
        <v>500</v>
      </c>
      <c r="B22" s="350" t="s">
        <v>499</v>
      </c>
      <c r="C22" s="346" t="s">
        <v>40</v>
      </c>
      <c r="D22" s="351">
        <v>21</v>
      </c>
      <c r="E22" s="358">
        <f t="shared" si="0"/>
        <v>346.5</v>
      </c>
      <c r="F22" s="358"/>
    </row>
    <row r="23" spans="1:6" ht="15.75" customHeight="1" x14ac:dyDescent="0.25">
      <c r="A23" s="346" t="s">
        <v>502</v>
      </c>
      <c r="B23" s="350" t="s">
        <v>501</v>
      </c>
      <c r="C23" s="346" t="s">
        <v>498</v>
      </c>
      <c r="D23" s="351">
        <v>21</v>
      </c>
      <c r="E23" s="358">
        <f t="shared" si="0"/>
        <v>346.5</v>
      </c>
      <c r="F23" s="358">
        <v>120</v>
      </c>
    </row>
    <row r="24" spans="1:6" ht="15.75" customHeight="1" x14ac:dyDescent="0.25">
      <c r="A24" s="347" t="s">
        <v>503</v>
      </c>
      <c r="B24" s="352" t="s">
        <v>56</v>
      </c>
      <c r="C24" s="347" t="s">
        <v>628</v>
      </c>
      <c r="D24" s="353">
        <v>9</v>
      </c>
      <c r="E24" s="359">
        <f t="shared" si="0"/>
        <v>148.5</v>
      </c>
      <c r="F24" s="359">
        <v>51.43</v>
      </c>
    </row>
    <row r="25" spans="1:6" ht="15.75" customHeight="1" x14ac:dyDescent="0.25">
      <c r="A25" s="346" t="s">
        <v>504</v>
      </c>
      <c r="B25" s="350" t="s">
        <v>58</v>
      </c>
      <c r="C25" s="346" t="s">
        <v>628</v>
      </c>
      <c r="D25" s="351">
        <v>21</v>
      </c>
      <c r="E25" s="358">
        <f t="shared" si="0"/>
        <v>346.5</v>
      </c>
      <c r="F25" s="358">
        <v>120</v>
      </c>
    </row>
    <row r="26" spans="1:6" ht="15.75" customHeight="1" x14ac:dyDescent="0.25">
      <c r="A26" s="346" t="s">
        <v>505</v>
      </c>
      <c r="B26" s="350" t="s">
        <v>267</v>
      </c>
      <c r="C26" s="346" t="s">
        <v>23</v>
      </c>
      <c r="D26" s="351">
        <v>21</v>
      </c>
      <c r="E26" s="358">
        <f t="shared" si="0"/>
        <v>346.5</v>
      </c>
      <c r="F26" s="358">
        <v>120</v>
      </c>
    </row>
    <row r="27" spans="1:6" ht="15.75" customHeight="1" x14ac:dyDescent="0.25">
      <c r="A27" s="355" t="s">
        <v>643</v>
      </c>
      <c r="B27" s="344" t="s">
        <v>640</v>
      </c>
      <c r="C27" s="345" t="s">
        <v>29</v>
      </c>
      <c r="D27" s="354"/>
      <c r="E27" s="358"/>
      <c r="F27" s="358"/>
    </row>
    <row r="28" spans="1:6" ht="15.75" customHeight="1" x14ac:dyDescent="0.25">
      <c r="A28" s="346" t="s">
        <v>507</v>
      </c>
      <c r="B28" s="350" t="s">
        <v>506</v>
      </c>
      <c r="C28" s="346" t="s">
        <v>32</v>
      </c>
      <c r="D28" s="351">
        <v>21</v>
      </c>
      <c r="E28" s="358">
        <f t="shared" ref="E28:E37" si="1">16.5*D28</f>
        <v>346.5</v>
      </c>
      <c r="F28" s="358">
        <v>120</v>
      </c>
    </row>
    <row r="29" spans="1:6" ht="15.75" customHeight="1" x14ac:dyDescent="0.25">
      <c r="A29" s="346" t="s">
        <v>509</v>
      </c>
      <c r="B29" s="350" t="s">
        <v>508</v>
      </c>
      <c r="C29" s="346" t="s">
        <v>628</v>
      </c>
      <c r="D29" s="351">
        <v>21</v>
      </c>
      <c r="E29" s="358">
        <f t="shared" si="1"/>
        <v>346.5</v>
      </c>
      <c r="F29" s="358">
        <v>120</v>
      </c>
    </row>
    <row r="30" spans="1:6" ht="15.75" customHeight="1" x14ac:dyDescent="0.25">
      <c r="A30" s="346" t="s">
        <v>511</v>
      </c>
      <c r="B30" s="350" t="s">
        <v>510</v>
      </c>
      <c r="C30" s="346" t="s">
        <v>40</v>
      </c>
      <c r="D30" s="351">
        <v>21</v>
      </c>
      <c r="E30" s="358">
        <f t="shared" si="1"/>
        <v>346.5</v>
      </c>
      <c r="F30" s="358"/>
    </row>
    <row r="31" spans="1:6" ht="15.75" customHeight="1" x14ac:dyDescent="0.25">
      <c r="A31" s="346" t="s">
        <v>512</v>
      </c>
      <c r="B31" s="350" t="s">
        <v>225</v>
      </c>
      <c r="C31" s="346" t="s">
        <v>143</v>
      </c>
      <c r="D31" s="351">
        <v>21</v>
      </c>
      <c r="E31" s="358">
        <f t="shared" si="1"/>
        <v>346.5</v>
      </c>
      <c r="F31" s="358"/>
    </row>
    <row r="32" spans="1:6" ht="15.75" customHeight="1" x14ac:dyDescent="0.25">
      <c r="A32" s="346" t="s">
        <v>513</v>
      </c>
      <c r="B32" s="350" t="s">
        <v>71</v>
      </c>
      <c r="C32" s="346" t="s">
        <v>32</v>
      </c>
      <c r="D32" s="351">
        <v>21</v>
      </c>
      <c r="E32" s="358">
        <f t="shared" si="1"/>
        <v>346.5</v>
      </c>
      <c r="F32" s="358">
        <v>120</v>
      </c>
    </row>
    <row r="33" spans="1:6" ht="15.75" customHeight="1" x14ac:dyDescent="0.25">
      <c r="A33" s="347" t="s">
        <v>515</v>
      </c>
      <c r="B33" s="352" t="s">
        <v>514</v>
      </c>
      <c r="C33" s="347" t="s">
        <v>86</v>
      </c>
      <c r="D33" s="353">
        <v>22</v>
      </c>
      <c r="E33" s="359">
        <f t="shared" si="1"/>
        <v>363</v>
      </c>
      <c r="F33" s="359">
        <v>120</v>
      </c>
    </row>
    <row r="34" spans="1:6" ht="15.75" customHeight="1" x14ac:dyDescent="0.25">
      <c r="A34" s="346" t="s">
        <v>517</v>
      </c>
      <c r="B34" s="350" t="s">
        <v>516</v>
      </c>
      <c r="C34" s="346" t="s">
        <v>143</v>
      </c>
      <c r="D34" s="351">
        <v>21</v>
      </c>
      <c r="E34" s="358">
        <f t="shared" si="1"/>
        <v>346.5</v>
      </c>
      <c r="F34" s="358">
        <v>120</v>
      </c>
    </row>
    <row r="35" spans="1:6" ht="15.75" customHeight="1" x14ac:dyDescent="0.25">
      <c r="A35" s="346" t="s">
        <v>518</v>
      </c>
      <c r="B35" s="350" t="s">
        <v>468</v>
      </c>
      <c r="C35" s="346" t="s">
        <v>29</v>
      </c>
      <c r="D35" s="351">
        <v>21</v>
      </c>
      <c r="E35" s="358">
        <f t="shared" si="1"/>
        <v>346.5</v>
      </c>
      <c r="F35" s="358">
        <v>120</v>
      </c>
    </row>
    <row r="36" spans="1:6" ht="15.75" customHeight="1" x14ac:dyDescent="0.25">
      <c r="A36" s="346" t="s">
        <v>520</v>
      </c>
      <c r="B36" s="350" t="s">
        <v>519</v>
      </c>
      <c r="C36" s="346" t="s">
        <v>23</v>
      </c>
      <c r="D36" s="351">
        <v>21</v>
      </c>
      <c r="E36" s="358">
        <f t="shared" si="1"/>
        <v>346.5</v>
      </c>
      <c r="F36" s="358">
        <v>120</v>
      </c>
    </row>
    <row r="37" spans="1:6" ht="15.75" customHeight="1" x14ac:dyDescent="0.25">
      <c r="A37" s="346" t="s">
        <v>522</v>
      </c>
      <c r="B37" s="350" t="s">
        <v>521</v>
      </c>
      <c r="C37" s="346" t="s">
        <v>103</v>
      </c>
      <c r="D37" s="351">
        <v>21</v>
      </c>
      <c r="E37" s="358">
        <f t="shared" si="1"/>
        <v>346.5</v>
      </c>
      <c r="F37" s="358">
        <v>120</v>
      </c>
    </row>
    <row r="38" spans="1:6" ht="15.75" customHeight="1" x14ac:dyDescent="0.25">
      <c r="A38" s="355" t="s">
        <v>645</v>
      </c>
      <c r="B38" s="160" t="s">
        <v>642</v>
      </c>
      <c r="C38" s="351" t="s">
        <v>628</v>
      </c>
      <c r="D38" s="354"/>
      <c r="E38" s="358"/>
      <c r="F38" s="358"/>
    </row>
    <row r="39" spans="1:6" ht="15.75" customHeight="1" x14ac:dyDescent="0.25">
      <c r="A39" s="346" t="s">
        <v>524</v>
      </c>
      <c r="B39" s="350" t="s">
        <v>523</v>
      </c>
      <c r="C39" s="346" t="s">
        <v>143</v>
      </c>
      <c r="D39" s="351">
        <v>21</v>
      </c>
      <c r="E39" s="358">
        <f t="shared" ref="E39:E46" si="2">16.5*D39</f>
        <v>346.5</v>
      </c>
      <c r="F39" s="358">
        <v>120</v>
      </c>
    </row>
    <row r="40" spans="1:6" ht="15.75" customHeight="1" x14ac:dyDescent="0.25">
      <c r="A40" s="346" t="s">
        <v>526</v>
      </c>
      <c r="B40" s="350" t="s">
        <v>525</v>
      </c>
      <c r="C40" s="346" t="s">
        <v>23</v>
      </c>
      <c r="D40" s="351">
        <v>21</v>
      </c>
      <c r="E40" s="358">
        <f t="shared" si="2"/>
        <v>346.5</v>
      </c>
      <c r="F40" s="358">
        <v>120</v>
      </c>
    </row>
    <row r="41" spans="1:6" ht="15.75" customHeight="1" x14ac:dyDescent="0.25">
      <c r="A41" s="347" t="s">
        <v>527</v>
      </c>
      <c r="B41" s="352" t="s">
        <v>469</v>
      </c>
      <c r="C41" s="347" t="s">
        <v>13</v>
      </c>
      <c r="D41" s="353">
        <v>21</v>
      </c>
      <c r="E41" s="359">
        <f t="shared" si="2"/>
        <v>346.5</v>
      </c>
      <c r="F41" s="359">
        <v>120</v>
      </c>
    </row>
    <row r="42" spans="1:6" ht="15.75" customHeight="1" x14ac:dyDescent="0.25">
      <c r="A42" s="346" t="s">
        <v>528</v>
      </c>
      <c r="B42" s="350" t="s">
        <v>299</v>
      </c>
      <c r="C42" s="346" t="s">
        <v>628</v>
      </c>
      <c r="D42" s="351">
        <v>21</v>
      </c>
      <c r="E42" s="358">
        <f t="shared" si="2"/>
        <v>346.5</v>
      </c>
      <c r="F42" s="358">
        <v>120</v>
      </c>
    </row>
    <row r="43" spans="1:6" ht="15.75" customHeight="1" x14ac:dyDescent="0.25">
      <c r="A43" s="346" t="s">
        <v>530</v>
      </c>
      <c r="B43" s="350" t="s">
        <v>529</v>
      </c>
      <c r="C43" s="346" t="s">
        <v>23</v>
      </c>
      <c r="D43" s="351">
        <v>21</v>
      </c>
      <c r="E43" s="358">
        <f t="shared" si="2"/>
        <v>346.5</v>
      </c>
      <c r="F43" s="358"/>
    </row>
    <row r="44" spans="1:6" ht="15.75" customHeight="1" x14ac:dyDescent="0.25">
      <c r="A44" s="346" t="s">
        <v>531</v>
      </c>
      <c r="B44" s="350" t="s">
        <v>90</v>
      </c>
      <c r="C44" s="346" t="s">
        <v>35</v>
      </c>
      <c r="D44" s="351">
        <v>21</v>
      </c>
      <c r="E44" s="358">
        <f t="shared" si="2"/>
        <v>346.5</v>
      </c>
      <c r="F44" s="358"/>
    </row>
    <row r="45" spans="1:6" ht="15.75" customHeight="1" x14ac:dyDescent="0.25">
      <c r="A45" s="346" t="s">
        <v>532</v>
      </c>
      <c r="B45" s="350" t="s">
        <v>92</v>
      </c>
      <c r="C45" s="346" t="s">
        <v>23</v>
      </c>
      <c r="D45" s="351">
        <v>21</v>
      </c>
      <c r="E45" s="358">
        <f t="shared" si="2"/>
        <v>346.5</v>
      </c>
      <c r="F45" s="358">
        <v>120</v>
      </c>
    </row>
    <row r="46" spans="1:6" ht="15.75" customHeight="1" x14ac:dyDescent="0.25">
      <c r="A46" s="346" t="s">
        <v>533</v>
      </c>
      <c r="B46" s="350" t="s">
        <v>94</v>
      </c>
      <c r="C46" s="346" t="s">
        <v>498</v>
      </c>
      <c r="D46" s="351">
        <v>21</v>
      </c>
      <c r="E46" s="358">
        <f t="shared" si="2"/>
        <v>346.5</v>
      </c>
      <c r="F46" s="358"/>
    </row>
    <row r="47" spans="1:6" ht="15.75" customHeight="1" x14ac:dyDescent="0.25">
      <c r="A47" s="347" t="s">
        <v>535</v>
      </c>
      <c r="B47" s="352" t="s">
        <v>534</v>
      </c>
      <c r="C47" s="347" t="s">
        <v>13</v>
      </c>
      <c r="D47" s="353"/>
      <c r="E47" s="359"/>
      <c r="F47" s="359"/>
    </row>
    <row r="48" spans="1:6" ht="15.75" customHeight="1" x14ac:dyDescent="0.25">
      <c r="A48" s="346" t="s">
        <v>537</v>
      </c>
      <c r="B48" s="350" t="s">
        <v>536</v>
      </c>
      <c r="C48" s="346" t="s">
        <v>35</v>
      </c>
      <c r="D48" s="351">
        <v>21</v>
      </c>
      <c r="E48" s="358">
        <f t="shared" ref="E48:E77" si="3">16.5*D48</f>
        <v>346.5</v>
      </c>
      <c r="F48" s="358">
        <v>120</v>
      </c>
    </row>
    <row r="49" spans="1:6" ht="15.75" customHeight="1" x14ac:dyDescent="0.25">
      <c r="A49" s="346" t="s">
        <v>539</v>
      </c>
      <c r="B49" s="350" t="s">
        <v>538</v>
      </c>
      <c r="C49" s="346" t="s">
        <v>143</v>
      </c>
      <c r="D49" s="351">
        <v>21</v>
      </c>
      <c r="E49" s="358">
        <f t="shared" si="3"/>
        <v>346.5</v>
      </c>
      <c r="F49" s="358">
        <v>120</v>
      </c>
    </row>
    <row r="50" spans="1:6" ht="15.75" customHeight="1" x14ac:dyDescent="0.25">
      <c r="A50" s="346" t="s">
        <v>541</v>
      </c>
      <c r="B50" s="350" t="s">
        <v>540</v>
      </c>
      <c r="C50" s="346" t="s">
        <v>23</v>
      </c>
      <c r="D50" s="351">
        <v>21</v>
      </c>
      <c r="E50" s="358">
        <f t="shared" si="3"/>
        <v>346.5</v>
      </c>
      <c r="F50" s="358">
        <v>120</v>
      </c>
    </row>
    <row r="51" spans="1:6" ht="15.75" customHeight="1" x14ac:dyDescent="0.25">
      <c r="A51" s="346" t="s">
        <v>543</v>
      </c>
      <c r="B51" s="350" t="s">
        <v>542</v>
      </c>
      <c r="C51" s="346" t="s">
        <v>103</v>
      </c>
      <c r="D51" s="351">
        <v>21</v>
      </c>
      <c r="E51" s="358">
        <f t="shared" si="3"/>
        <v>346.5</v>
      </c>
      <c r="F51" s="358">
        <v>120</v>
      </c>
    </row>
    <row r="52" spans="1:6" ht="15.75" customHeight="1" x14ac:dyDescent="0.25">
      <c r="A52" s="346" t="s">
        <v>544</v>
      </c>
      <c r="B52" s="350" t="s">
        <v>109</v>
      </c>
      <c r="C52" s="346" t="s">
        <v>23</v>
      </c>
      <c r="D52" s="351">
        <v>21</v>
      </c>
      <c r="E52" s="358">
        <f t="shared" si="3"/>
        <v>346.5</v>
      </c>
      <c r="F52" s="358">
        <v>120</v>
      </c>
    </row>
    <row r="53" spans="1:6" ht="15.75" customHeight="1" x14ac:dyDescent="0.25">
      <c r="A53" s="347" t="s">
        <v>545</v>
      </c>
      <c r="B53" s="352" t="s">
        <v>278</v>
      </c>
      <c r="C53" s="347" t="s">
        <v>86</v>
      </c>
      <c r="D53" s="353">
        <v>23</v>
      </c>
      <c r="E53" s="359">
        <f t="shared" si="3"/>
        <v>379.5</v>
      </c>
      <c r="F53" s="359">
        <v>120</v>
      </c>
    </row>
    <row r="54" spans="1:6" ht="15.75" customHeight="1" x14ac:dyDescent="0.25">
      <c r="A54" s="346" t="s">
        <v>546</v>
      </c>
      <c r="B54" s="350" t="s">
        <v>113</v>
      </c>
      <c r="C54" s="346" t="s">
        <v>498</v>
      </c>
      <c r="D54" s="351">
        <v>21</v>
      </c>
      <c r="E54" s="358">
        <f t="shared" si="3"/>
        <v>346.5</v>
      </c>
      <c r="F54" s="358">
        <v>120</v>
      </c>
    </row>
    <row r="55" spans="1:6" ht="15.75" customHeight="1" x14ac:dyDescent="0.25">
      <c r="A55" s="347" t="s">
        <v>547</v>
      </c>
      <c r="B55" s="352" t="s">
        <v>334</v>
      </c>
      <c r="C55" s="347" t="s">
        <v>86</v>
      </c>
      <c r="D55" s="353">
        <v>23</v>
      </c>
      <c r="E55" s="359">
        <f t="shared" si="3"/>
        <v>379.5</v>
      </c>
      <c r="F55" s="359">
        <v>120</v>
      </c>
    </row>
    <row r="56" spans="1:6" ht="15.75" customHeight="1" x14ac:dyDescent="0.25">
      <c r="A56" s="346" t="s">
        <v>549</v>
      </c>
      <c r="B56" s="350" t="s">
        <v>548</v>
      </c>
      <c r="C56" s="346" t="s">
        <v>143</v>
      </c>
      <c r="D56" s="351">
        <v>21</v>
      </c>
      <c r="E56" s="358">
        <f t="shared" si="3"/>
        <v>346.5</v>
      </c>
      <c r="F56" s="358">
        <v>120</v>
      </c>
    </row>
    <row r="57" spans="1:6" ht="15.75" customHeight="1" x14ac:dyDescent="0.25">
      <c r="A57" s="347" t="s">
        <v>551</v>
      </c>
      <c r="B57" s="352" t="s">
        <v>550</v>
      </c>
      <c r="C57" s="347" t="s">
        <v>86</v>
      </c>
      <c r="D57" s="353">
        <v>23</v>
      </c>
      <c r="E57" s="359">
        <f t="shared" si="3"/>
        <v>379.5</v>
      </c>
      <c r="F57" s="359"/>
    </row>
    <row r="58" spans="1:6" ht="15.75" customHeight="1" x14ac:dyDescent="0.25">
      <c r="A58" s="346" t="s">
        <v>553</v>
      </c>
      <c r="B58" s="350" t="s">
        <v>552</v>
      </c>
      <c r="C58" s="346" t="s">
        <v>498</v>
      </c>
      <c r="D58" s="351">
        <v>21</v>
      </c>
      <c r="E58" s="358">
        <f t="shared" si="3"/>
        <v>346.5</v>
      </c>
      <c r="F58" s="358">
        <v>120</v>
      </c>
    </row>
    <row r="59" spans="1:6" ht="15.75" customHeight="1" x14ac:dyDescent="0.25">
      <c r="A59" s="347" t="s">
        <v>554</v>
      </c>
      <c r="B59" s="352" t="s">
        <v>412</v>
      </c>
      <c r="C59" s="347" t="s">
        <v>86</v>
      </c>
      <c r="D59" s="353">
        <v>22</v>
      </c>
      <c r="E59" s="359">
        <f t="shared" si="3"/>
        <v>363</v>
      </c>
      <c r="F59" s="359">
        <v>120</v>
      </c>
    </row>
    <row r="60" spans="1:6" ht="15.75" customHeight="1" x14ac:dyDescent="0.25">
      <c r="A60" s="356" t="s">
        <v>632</v>
      </c>
      <c r="B60" s="345" t="s">
        <v>631</v>
      </c>
      <c r="C60" s="345" t="s">
        <v>377</v>
      </c>
      <c r="D60" s="354">
        <v>21</v>
      </c>
      <c r="E60" s="358">
        <f t="shared" si="3"/>
        <v>346.5</v>
      </c>
      <c r="F60" s="358">
        <v>120</v>
      </c>
    </row>
    <row r="61" spans="1:6" ht="15.75" customHeight="1" x14ac:dyDescent="0.25">
      <c r="A61" s="346" t="s">
        <v>556</v>
      </c>
      <c r="B61" s="350" t="s">
        <v>555</v>
      </c>
      <c r="C61" s="346" t="s">
        <v>143</v>
      </c>
      <c r="D61" s="351">
        <v>21</v>
      </c>
      <c r="E61" s="358">
        <f t="shared" si="3"/>
        <v>346.5</v>
      </c>
      <c r="F61" s="358">
        <v>120</v>
      </c>
    </row>
    <row r="62" spans="1:6" ht="15.75" customHeight="1" x14ac:dyDescent="0.25">
      <c r="A62" s="347" t="s">
        <v>557</v>
      </c>
      <c r="B62" s="352" t="s">
        <v>123</v>
      </c>
      <c r="C62" s="347" t="s">
        <v>143</v>
      </c>
      <c r="D62" s="353">
        <v>11</v>
      </c>
      <c r="E62" s="359">
        <f t="shared" si="3"/>
        <v>181.5</v>
      </c>
      <c r="F62" s="359">
        <v>62.86</v>
      </c>
    </row>
    <row r="63" spans="1:6" ht="15.75" customHeight="1" x14ac:dyDescent="0.25">
      <c r="A63" s="346" t="s">
        <v>558</v>
      </c>
      <c r="B63" s="350" t="s">
        <v>307</v>
      </c>
      <c r="C63" s="346" t="s">
        <v>40</v>
      </c>
      <c r="D63" s="351">
        <v>21</v>
      </c>
      <c r="E63" s="358">
        <f t="shared" si="3"/>
        <v>346.5</v>
      </c>
      <c r="F63" s="358">
        <v>120</v>
      </c>
    </row>
    <row r="64" spans="1:6" ht="15.75" customHeight="1" x14ac:dyDescent="0.25">
      <c r="A64" s="347" t="s">
        <v>559</v>
      </c>
      <c r="B64" s="352" t="s">
        <v>125</v>
      </c>
      <c r="C64" s="347" t="s">
        <v>86</v>
      </c>
      <c r="D64" s="353">
        <v>23</v>
      </c>
      <c r="E64" s="359">
        <f t="shared" si="3"/>
        <v>379.5</v>
      </c>
      <c r="F64" s="359">
        <v>120</v>
      </c>
    </row>
    <row r="65" spans="1:6" ht="15.75" customHeight="1" x14ac:dyDescent="0.25">
      <c r="A65" s="347" t="s">
        <v>560</v>
      </c>
      <c r="B65" s="352" t="s">
        <v>128</v>
      </c>
      <c r="C65" s="347" t="s">
        <v>86</v>
      </c>
      <c r="D65" s="353">
        <v>13</v>
      </c>
      <c r="E65" s="359">
        <f t="shared" si="3"/>
        <v>214.5</v>
      </c>
      <c r="F65" s="359">
        <v>74.290000000000006</v>
      </c>
    </row>
    <row r="66" spans="1:6" ht="15.75" customHeight="1" x14ac:dyDescent="0.25">
      <c r="A66" s="346" t="s">
        <v>562</v>
      </c>
      <c r="B66" s="350" t="s">
        <v>294</v>
      </c>
      <c r="C66" s="346" t="s">
        <v>628</v>
      </c>
      <c r="D66" s="351">
        <v>21</v>
      </c>
      <c r="E66" s="358">
        <f t="shared" si="3"/>
        <v>346.5</v>
      </c>
      <c r="F66" s="358">
        <v>120</v>
      </c>
    </row>
    <row r="67" spans="1:6" ht="15.75" customHeight="1" x14ac:dyDescent="0.25">
      <c r="A67" s="346" t="s">
        <v>564</v>
      </c>
      <c r="B67" s="350" t="s">
        <v>563</v>
      </c>
      <c r="C67" s="346" t="s">
        <v>390</v>
      </c>
      <c r="D67" s="351">
        <v>21</v>
      </c>
      <c r="E67" s="358">
        <f t="shared" si="3"/>
        <v>346.5</v>
      </c>
      <c r="F67" s="358">
        <v>120</v>
      </c>
    </row>
    <row r="68" spans="1:6" ht="15.75" customHeight="1" x14ac:dyDescent="0.25">
      <c r="A68" s="347" t="s">
        <v>565</v>
      </c>
      <c r="B68" s="352" t="s">
        <v>136</v>
      </c>
      <c r="C68" s="347" t="s">
        <v>86</v>
      </c>
      <c r="D68" s="353">
        <v>22</v>
      </c>
      <c r="E68" s="359">
        <f t="shared" si="3"/>
        <v>363</v>
      </c>
      <c r="F68" s="359">
        <v>120</v>
      </c>
    </row>
    <row r="69" spans="1:6" ht="15.75" customHeight="1" x14ac:dyDescent="0.25">
      <c r="A69" s="346" t="s">
        <v>567</v>
      </c>
      <c r="B69" s="350" t="s">
        <v>566</v>
      </c>
      <c r="C69" s="346" t="s">
        <v>103</v>
      </c>
      <c r="D69" s="351">
        <v>21</v>
      </c>
      <c r="E69" s="358">
        <f t="shared" si="3"/>
        <v>346.5</v>
      </c>
      <c r="F69" s="358">
        <v>120</v>
      </c>
    </row>
    <row r="70" spans="1:6" ht="15.75" customHeight="1" x14ac:dyDescent="0.25">
      <c r="A70" s="346" t="s">
        <v>569</v>
      </c>
      <c r="B70" s="350" t="s">
        <v>568</v>
      </c>
      <c r="C70" s="346" t="s">
        <v>23</v>
      </c>
      <c r="D70" s="351">
        <v>21</v>
      </c>
      <c r="E70" s="358">
        <f t="shared" si="3"/>
        <v>346.5</v>
      </c>
      <c r="F70" s="358">
        <v>120</v>
      </c>
    </row>
    <row r="71" spans="1:6" ht="15.75" customHeight="1" x14ac:dyDescent="0.25">
      <c r="A71" s="354" t="s">
        <v>633</v>
      </c>
      <c r="B71" s="351" t="s">
        <v>634</v>
      </c>
      <c r="C71" s="160" t="s">
        <v>377</v>
      </c>
      <c r="D71" s="355">
        <v>21</v>
      </c>
      <c r="E71" s="358">
        <f t="shared" si="3"/>
        <v>346.5</v>
      </c>
      <c r="F71" s="358">
        <v>120</v>
      </c>
    </row>
    <row r="72" spans="1:6" ht="15.75" customHeight="1" x14ac:dyDescent="0.25">
      <c r="A72" s="346" t="s">
        <v>570</v>
      </c>
      <c r="B72" s="350" t="s">
        <v>145</v>
      </c>
      <c r="C72" s="346" t="s">
        <v>143</v>
      </c>
      <c r="D72" s="351">
        <v>21</v>
      </c>
      <c r="E72" s="358">
        <f t="shared" si="3"/>
        <v>346.5</v>
      </c>
      <c r="F72" s="358">
        <v>120</v>
      </c>
    </row>
    <row r="73" spans="1:6" ht="15.75" customHeight="1" x14ac:dyDescent="0.25">
      <c r="A73" s="346" t="s">
        <v>571</v>
      </c>
      <c r="B73" s="350" t="s">
        <v>147</v>
      </c>
      <c r="C73" s="346" t="s">
        <v>498</v>
      </c>
      <c r="D73" s="351">
        <v>21</v>
      </c>
      <c r="E73" s="358">
        <f t="shared" si="3"/>
        <v>346.5</v>
      </c>
      <c r="F73" s="358">
        <v>120</v>
      </c>
    </row>
    <row r="74" spans="1:6" ht="15.75" customHeight="1" x14ac:dyDescent="0.25">
      <c r="A74" s="346" t="s">
        <v>573</v>
      </c>
      <c r="B74" s="350" t="s">
        <v>572</v>
      </c>
      <c r="C74" s="346" t="s">
        <v>32</v>
      </c>
      <c r="D74" s="351">
        <v>21</v>
      </c>
      <c r="E74" s="358">
        <f t="shared" si="3"/>
        <v>346.5</v>
      </c>
      <c r="F74" s="358">
        <v>120</v>
      </c>
    </row>
    <row r="75" spans="1:6" ht="15.75" customHeight="1" x14ac:dyDescent="0.25">
      <c r="A75" s="346" t="s">
        <v>576</v>
      </c>
      <c r="B75" s="350" t="s">
        <v>575</v>
      </c>
      <c r="C75" s="346" t="s">
        <v>23</v>
      </c>
      <c r="D75" s="351">
        <v>21</v>
      </c>
      <c r="E75" s="358">
        <f t="shared" si="3"/>
        <v>346.5</v>
      </c>
      <c r="F75" s="358">
        <v>120</v>
      </c>
    </row>
    <row r="76" spans="1:6" ht="15.75" customHeight="1" x14ac:dyDescent="0.25">
      <c r="A76" s="346" t="s">
        <v>577</v>
      </c>
      <c r="B76" s="350" t="s">
        <v>159</v>
      </c>
      <c r="C76" s="346" t="s">
        <v>29</v>
      </c>
      <c r="D76" s="351">
        <v>21</v>
      </c>
      <c r="E76" s="358">
        <f t="shared" si="3"/>
        <v>346.5</v>
      </c>
      <c r="F76" s="358">
        <v>120</v>
      </c>
    </row>
    <row r="77" spans="1:6" ht="15.75" customHeight="1" x14ac:dyDescent="0.25">
      <c r="A77" s="346" t="s">
        <v>579</v>
      </c>
      <c r="B77" s="350" t="s">
        <v>578</v>
      </c>
      <c r="C77" s="346" t="s">
        <v>143</v>
      </c>
      <c r="D77" s="351">
        <v>21</v>
      </c>
      <c r="E77" s="358">
        <f t="shared" si="3"/>
        <v>346.5</v>
      </c>
      <c r="F77" s="358"/>
    </row>
    <row r="78" spans="1:6" ht="15.75" customHeight="1" x14ac:dyDescent="0.25">
      <c r="A78" s="347" t="s">
        <v>581</v>
      </c>
      <c r="B78" s="352" t="s">
        <v>580</v>
      </c>
      <c r="C78" s="347" t="s">
        <v>86</v>
      </c>
      <c r="D78" s="353">
        <v>23</v>
      </c>
      <c r="E78" s="359">
        <f t="shared" ref="E78:E103" si="4">16.5*D78</f>
        <v>379.5</v>
      </c>
      <c r="F78" s="359">
        <v>120</v>
      </c>
    </row>
    <row r="79" spans="1:6" ht="15.75" customHeight="1" x14ac:dyDescent="0.25">
      <c r="A79" s="346" t="s">
        <v>582</v>
      </c>
      <c r="B79" s="350" t="s">
        <v>165</v>
      </c>
      <c r="C79" s="346" t="s">
        <v>29</v>
      </c>
      <c r="D79" s="351">
        <v>21</v>
      </c>
      <c r="E79" s="358">
        <f t="shared" si="4"/>
        <v>346.5</v>
      </c>
      <c r="F79" s="358">
        <v>120</v>
      </c>
    </row>
    <row r="80" spans="1:6" ht="15.75" customHeight="1" x14ac:dyDescent="0.25">
      <c r="A80" s="346" t="s">
        <v>584</v>
      </c>
      <c r="B80" s="350" t="s">
        <v>583</v>
      </c>
      <c r="C80" s="346" t="s">
        <v>103</v>
      </c>
      <c r="D80" s="351">
        <v>21</v>
      </c>
      <c r="E80" s="358">
        <f t="shared" si="4"/>
        <v>346.5</v>
      </c>
      <c r="F80" s="358">
        <v>120</v>
      </c>
    </row>
    <row r="81" spans="1:6" ht="15.75" customHeight="1" x14ac:dyDescent="0.25">
      <c r="A81" s="346" t="s">
        <v>586</v>
      </c>
      <c r="B81" s="350" t="s">
        <v>585</v>
      </c>
      <c r="C81" s="346" t="s">
        <v>23</v>
      </c>
      <c r="D81" s="351">
        <v>21</v>
      </c>
      <c r="E81" s="358">
        <f t="shared" si="4"/>
        <v>346.5</v>
      </c>
      <c r="F81" s="358">
        <v>120</v>
      </c>
    </row>
    <row r="82" spans="1:6" ht="15.75" customHeight="1" x14ac:dyDescent="0.25">
      <c r="A82" s="346" t="s">
        <v>588</v>
      </c>
      <c r="B82" s="350" t="s">
        <v>587</v>
      </c>
      <c r="C82" s="346" t="s">
        <v>498</v>
      </c>
      <c r="D82" s="351">
        <v>21</v>
      </c>
      <c r="E82" s="358">
        <f t="shared" si="4"/>
        <v>346.5</v>
      </c>
      <c r="F82" s="358">
        <v>120</v>
      </c>
    </row>
    <row r="83" spans="1:6" ht="15.75" customHeight="1" x14ac:dyDescent="0.25">
      <c r="A83" s="346" t="s">
        <v>589</v>
      </c>
      <c r="B83" s="350" t="s">
        <v>261</v>
      </c>
      <c r="C83" s="346" t="s">
        <v>23</v>
      </c>
      <c r="D83" s="351">
        <v>21</v>
      </c>
      <c r="E83" s="358">
        <f t="shared" si="4"/>
        <v>346.5</v>
      </c>
      <c r="F83" s="358">
        <v>120</v>
      </c>
    </row>
    <row r="84" spans="1:6" ht="15.75" customHeight="1" x14ac:dyDescent="0.25">
      <c r="A84" s="346" t="s">
        <v>591</v>
      </c>
      <c r="B84" s="350" t="s">
        <v>590</v>
      </c>
      <c r="C84" s="346" t="s">
        <v>498</v>
      </c>
      <c r="D84" s="351">
        <v>21</v>
      </c>
      <c r="E84" s="358">
        <f t="shared" si="4"/>
        <v>346.5</v>
      </c>
      <c r="F84" s="358">
        <v>120</v>
      </c>
    </row>
    <row r="85" spans="1:6" ht="15.75" customHeight="1" x14ac:dyDescent="0.25">
      <c r="A85" s="347" t="s">
        <v>592</v>
      </c>
      <c r="B85" s="352" t="s">
        <v>176</v>
      </c>
      <c r="C85" s="347" t="s">
        <v>86</v>
      </c>
      <c r="D85" s="353">
        <v>23</v>
      </c>
      <c r="E85" s="359">
        <f t="shared" si="4"/>
        <v>379.5</v>
      </c>
      <c r="F85" s="359">
        <v>120</v>
      </c>
    </row>
    <row r="86" spans="1:6" ht="15.75" customHeight="1" x14ac:dyDescent="0.25">
      <c r="A86" s="347" t="s">
        <v>593</v>
      </c>
      <c r="B86" s="352" t="s">
        <v>178</v>
      </c>
      <c r="C86" s="347" t="s">
        <v>86</v>
      </c>
      <c r="D86" s="353">
        <v>22</v>
      </c>
      <c r="E86" s="359">
        <f t="shared" si="4"/>
        <v>363</v>
      </c>
      <c r="F86" s="359">
        <v>120</v>
      </c>
    </row>
    <row r="87" spans="1:6" ht="15.75" customHeight="1" x14ac:dyDescent="0.25">
      <c r="A87" s="346" t="s">
        <v>595</v>
      </c>
      <c r="B87" s="350" t="s">
        <v>594</v>
      </c>
      <c r="C87" s="346" t="s">
        <v>23</v>
      </c>
      <c r="D87" s="351">
        <v>21</v>
      </c>
      <c r="E87" s="358">
        <f t="shared" si="4"/>
        <v>346.5</v>
      </c>
      <c r="F87" s="358">
        <v>120</v>
      </c>
    </row>
    <row r="88" spans="1:6" ht="15.75" customHeight="1" x14ac:dyDescent="0.25">
      <c r="A88" s="346" t="s">
        <v>597</v>
      </c>
      <c r="B88" s="350" t="s">
        <v>596</v>
      </c>
      <c r="C88" s="346" t="s">
        <v>32</v>
      </c>
      <c r="D88" s="351">
        <v>21</v>
      </c>
      <c r="E88" s="358">
        <f t="shared" si="4"/>
        <v>346.5</v>
      </c>
      <c r="F88" s="358"/>
    </row>
    <row r="89" spans="1:6" ht="15.75" customHeight="1" x14ac:dyDescent="0.25">
      <c r="A89" s="346" t="s">
        <v>598</v>
      </c>
      <c r="B89" s="350" t="s">
        <v>188</v>
      </c>
      <c r="C89" s="346" t="s">
        <v>29</v>
      </c>
      <c r="D89" s="351">
        <v>21</v>
      </c>
      <c r="E89" s="358">
        <f t="shared" si="4"/>
        <v>346.5</v>
      </c>
      <c r="F89" s="358"/>
    </row>
    <row r="90" spans="1:6" ht="15.75" customHeight="1" x14ac:dyDescent="0.25">
      <c r="A90" s="346" t="s">
        <v>630</v>
      </c>
      <c r="B90" s="357" t="s">
        <v>629</v>
      </c>
      <c r="C90" s="346" t="s">
        <v>143</v>
      </c>
      <c r="D90" s="351">
        <v>21</v>
      </c>
      <c r="E90" s="358">
        <f t="shared" si="4"/>
        <v>346.5</v>
      </c>
      <c r="F90" s="358"/>
    </row>
    <row r="91" spans="1:6" ht="15.75" customHeight="1" x14ac:dyDescent="0.25">
      <c r="A91" s="346" t="s">
        <v>599</v>
      </c>
      <c r="B91" s="350" t="s">
        <v>190</v>
      </c>
      <c r="C91" s="346" t="s">
        <v>16</v>
      </c>
      <c r="D91" s="351">
        <v>21</v>
      </c>
      <c r="E91" s="358">
        <f t="shared" si="4"/>
        <v>346.5</v>
      </c>
      <c r="F91" s="358">
        <v>120</v>
      </c>
    </row>
    <row r="92" spans="1:6" ht="15.75" customHeight="1" x14ac:dyDescent="0.25">
      <c r="A92" s="346" t="s">
        <v>601</v>
      </c>
      <c r="B92" s="350" t="s">
        <v>600</v>
      </c>
      <c r="C92" s="346" t="s">
        <v>628</v>
      </c>
      <c r="D92" s="351">
        <v>21</v>
      </c>
      <c r="E92" s="358">
        <f t="shared" si="4"/>
        <v>346.5</v>
      </c>
      <c r="F92" s="358"/>
    </row>
    <row r="93" spans="1:6" ht="15.75" customHeight="1" x14ac:dyDescent="0.25">
      <c r="A93" s="346" t="s">
        <v>603</v>
      </c>
      <c r="B93" s="350" t="s">
        <v>602</v>
      </c>
      <c r="C93" s="346" t="s">
        <v>628</v>
      </c>
      <c r="D93" s="351">
        <v>21</v>
      </c>
      <c r="E93" s="358">
        <f t="shared" si="4"/>
        <v>346.5</v>
      </c>
      <c r="F93" s="358">
        <v>120</v>
      </c>
    </row>
    <row r="94" spans="1:6" ht="15.75" customHeight="1" x14ac:dyDescent="0.25">
      <c r="A94" s="346" t="s">
        <v>604</v>
      </c>
      <c r="B94" s="350" t="s">
        <v>194</v>
      </c>
      <c r="C94" s="346" t="s">
        <v>16</v>
      </c>
      <c r="D94" s="351">
        <v>21</v>
      </c>
      <c r="E94" s="358">
        <f t="shared" si="4"/>
        <v>346.5</v>
      </c>
      <c r="F94" s="358"/>
    </row>
    <row r="95" spans="1:6" ht="15.75" customHeight="1" x14ac:dyDescent="0.25">
      <c r="A95" s="347" t="s">
        <v>605</v>
      </c>
      <c r="B95" s="352" t="s">
        <v>196</v>
      </c>
      <c r="C95" s="347" t="s">
        <v>86</v>
      </c>
      <c r="D95" s="353">
        <v>10</v>
      </c>
      <c r="E95" s="359">
        <f t="shared" si="4"/>
        <v>165</v>
      </c>
      <c r="F95" s="359">
        <v>57.14</v>
      </c>
    </row>
    <row r="96" spans="1:6" ht="15.75" customHeight="1" x14ac:dyDescent="0.25">
      <c r="A96" s="346" t="s">
        <v>607</v>
      </c>
      <c r="B96" s="350" t="s">
        <v>606</v>
      </c>
      <c r="C96" s="346" t="s">
        <v>23</v>
      </c>
      <c r="D96" s="351">
        <v>21</v>
      </c>
      <c r="E96" s="358">
        <f t="shared" si="4"/>
        <v>346.5</v>
      </c>
      <c r="F96" s="358">
        <v>120</v>
      </c>
    </row>
    <row r="97" spans="1:6" ht="15.75" customHeight="1" x14ac:dyDescent="0.25">
      <c r="A97" s="346" t="s">
        <v>609</v>
      </c>
      <c r="B97" s="350" t="s">
        <v>608</v>
      </c>
      <c r="C97" s="346" t="s">
        <v>143</v>
      </c>
      <c r="D97" s="351">
        <v>21</v>
      </c>
      <c r="E97" s="358">
        <f t="shared" si="4"/>
        <v>346.5</v>
      </c>
      <c r="F97" s="358">
        <v>120</v>
      </c>
    </row>
    <row r="98" spans="1:6" ht="15.75" customHeight="1" x14ac:dyDescent="0.25">
      <c r="A98" s="346" t="s">
        <v>610</v>
      </c>
      <c r="B98" s="350" t="s">
        <v>253</v>
      </c>
      <c r="C98" s="346" t="s">
        <v>103</v>
      </c>
      <c r="D98" s="351">
        <v>21</v>
      </c>
      <c r="E98" s="358">
        <f t="shared" si="4"/>
        <v>346.5</v>
      </c>
      <c r="F98" s="358">
        <v>120</v>
      </c>
    </row>
    <row r="99" spans="1:6" ht="15.75" customHeight="1" x14ac:dyDescent="0.25">
      <c r="A99" s="347" t="s">
        <v>612</v>
      </c>
      <c r="B99" s="352" t="s">
        <v>611</v>
      </c>
      <c r="C99" s="347" t="s">
        <v>86</v>
      </c>
      <c r="D99" s="353">
        <v>23</v>
      </c>
      <c r="E99" s="359">
        <f t="shared" si="4"/>
        <v>379.5</v>
      </c>
      <c r="F99" s="359"/>
    </row>
    <row r="100" spans="1:6" ht="15.75" customHeight="1" x14ac:dyDescent="0.25">
      <c r="A100" s="346" t="s">
        <v>613</v>
      </c>
      <c r="B100" s="350" t="s">
        <v>204</v>
      </c>
      <c r="C100" s="346" t="s">
        <v>498</v>
      </c>
      <c r="D100" s="351">
        <v>21</v>
      </c>
      <c r="E100" s="358">
        <f t="shared" si="4"/>
        <v>346.5</v>
      </c>
      <c r="F100" s="358">
        <v>120</v>
      </c>
    </row>
    <row r="101" spans="1:6" ht="15.75" customHeight="1" x14ac:dyDescent="0.25">
      <c r="A101" s="346" t="s">
        <v>614</v>
      </c>
      <c r="B101" s="350" t="s">
        <v>206</v>
      </c>
      <c r="C101" s="346" t="s">
        <v>32</v>
      </c>
      <c r="D101" s="351">
        <v>21</v>
      </c>
      <c r="E101" s="358">
        <f t="shared" si="4"/>
        <v>346.5</v>
      </c>
      <c r="F101" s="358">
        <v>120</v>
      </c>
    </row>
    <row r="102" spans="1:6" ht="15.75" customHeight="1" x14ac:dyDescent="0.25">
      <c r="A102" s="346" t="s">
        <v>615</v>
      </c>
      <c r="B102" s="350" t="s">
        <v>208</v>
      </c>
      <c r="C102" s="346" t="s">
        <v>390</v>
      </c>
      <c r="D102" s="351">
        <v>21</v>
      </c>
      <c r="E102" s="358">
        <f t="shared" si="4"/>
        <v>346.5</v>
      </c>
      <c r="F102" s="358">
        <v>120</v>
      </c>
    </row>
    <row r="103" spans="1:6" x14ac:dyDescent="0.25">
      <c r="A103" s="347" t="s">
        <v>616</v>
      </c>
      <c r="B103" s="352" t="s">
        <v>212</v>
      </c>
      <c r="C103" s="347" t="s">
        <v>86</v>
      </c>
      <c r="D103" s="353">
        <v>22</v>
      </c>
      <c r="E103" s="359">
        <f t="shared" si="4"/>
        <v>363</v>
      </c>
      <c r="F103" s="359">
        <v>120</v>
      </c>
    </row>
    <row r="104" spans="1:6" x14ac:dyDescent="0.25">
      <c r="A104" s="355" t="s">
        <v>644</v>
      </c>
      <c r="B104" s="344" t="s">
        <v>641</v>
      </c>
      <c r="C104" s="160" t="s">
        <v>23</v>
      </c>
      <c r="D104" s="355"/>
      <c r="E104" s="358"/>
      <c r="F104" s="358"/>
    </row>
    <row r="105" spans="1:6" x14ac:dyDescent="0.25">
      <c r="A105" s="346" t="s">
        <v>617</v>
      </c>
      <c r="B105" s="350" t="s">
        <v>259</v>
      </c>
      <c r="C105" s="346" t="s">
        <v>23</v>
      </c>
      <c r="D105" s="351">
        <v>21</v>
      </c>
      <c r="E105" s="358">
        <f>16.5*D105</f>
        <v>346.5</v>
      </c>
      <c r="F105" s="358"/>
    </row>
    <row r="106" spans="1:6" x14ac:dyDescent="0.25">
      <c r="A106" s="347" t="s">
        <v>618</v>
      </c>
      <c r="B106" s="352" t="s">
        <v>413</v>
      </c>
      <c r="C106" s="347" t="s">
        <v>86</v>
      </c>
      <c r="D106" s="353">
        <v>23</v>
      </c>
      <c r="E106" s="359">
        <f>16.5*D106</f>
        <v>379.5</v>
      </c>
      <c r="F106" s="359">
        <v>120</v>
      </c>
    </row>
    <row r="107" spans="1:6" x14ac:dyDescent="0.25">
      <c r="A107" s="347" t="s">
        <v>620</v>
      </c>
      <c r="B107" s="352" t="s">
        <v>619</v>
      </c>
      <c r="C107" s="347" t="s">
        <v>86</v>
      </c>
      <c r="D107" s="353">
        <v>22</v>
      </c>
      <c r="E107" s="359">
        <f>16.5*D107</f>
        <v>363</v>
      </c>
      <c r="F107" s="359">
        <v>120</v>
      </c>
    </row>
    <row r="108" spans="1:6" x14ac:dyDescent="0.25">
      <c r="A108" s="346" t="s">
        <v>622</v>
      </c>
      <c r="B108" s="350" t="s">
        <v>621</v>
      </c>
      <c r="C108" s="346" t="s">
        <v>32</v>
      </c>
      <c r="D108" s="351">
        <v>21</v>
      </c>
      <c r="E108" s="358">
        <f>16.5*D108</f>
        <v>346.5</v>
      </c>
      <c r="F108" s="358">
        <v>120</v>
      </c>
    </row>
    <row r="109" spans="1:6" x14ac:dyDescent="0.25">
      <c r="A109" s="347" t="s">
        <v>623</v>
      </c>
      <c r="B109" s="352" t="s">
        <v>255</v>
      </c>
      <c r="C109" s="347" t="s">
        <v>13</v>
      </c>
      <c r="D109" s="353">
        <v>21</v>
      </c>
      <c r="E109" s="359">
        <f>16.5*D109</f>
        <v>346.5</v>
      </c>
      <c r="F109" s="359"/>
    </row>
    <row r="115" spans="4:4" x14ac:dyDescent="0.25">
      <c r="D115" s="329"/>
    </row>
    <row r="116" spans="4:4" x14ac:dyDescent="0.25">
      <c r="D116" s="329"/>
    </row>
    <row r="117" spans="4:4" x14ac:dyDescent="0.25">
      <c r="D117" s="329"/>
    </row>
    <row r="118" spans="4:4" x14ac:dyDescent="0.25">
      <c r="D118" s="329"/>
    </row>
    <row r="119" spans="4:4" x14ac:dyDescent="0.25">
      <c r="D119" s="329"/>
    </row>
    <row r="120" spans="4:4" x14ac:dyDescent="0.25">
      <c r="D120" s="329"/>
    </row>
    <row r="121" spans="4:4" x14ac:dyDescent="0.25">
      <c r="D121" s="329"/>
    </row>
    <row r="122" spans="4:4" x14ac:dyDescent="0.25">
      <c r="D122" s="329"/>
    </row>
    <row r="123" spans="4:4" x14ac:dyDescent="0.25">
      <c r="D123" s="329"/>
    </row>
    <row r="124" spans="4:4" x14ac:dyDescent="0.25">
      <c r="D124" s="329"/>
    </row>
    <row r="125" spans="4:4" x14ac:dyDescent="0.25">
      <c r="D125" s="329"/>
    </row>
    <row r="126" spans="4:4" x14ac:dyDescent="0.25">
      <c r="D126" s="329"/>
    </row>
    <row r="127" spans="4:4" x14ac:dyDescent="0.25">
      <c r="D127" s="329"/>
    </row>
    <row r="128" spans="4:4" x14ac:dyDescent="0.25">
      <c r="D128" s="329"/>
    </row>
    <row r="129" spans="4:4" x14ac:dyDescent="0.25">
      <c r="D129" s="329"/>
    </row>
    <row r="130" spans="4:4" x14ac:dyDescent="0.25">
      <c r="D130" s="329"/>
    </row>
    <row r="131" spans="4:4" x14ac:dyDescent="0.25">
      <c r="D131" s="329"/>
    </row>
    <row r="132" spans="4:4" x14ac:dyDescent="0.25">
      <c r="D132" s="329"/>
    </row>
    <row r="133" spans="4:4" x14ac:dyDescent="0.25">
      <c r="D133" s="329"/>
    </row>
    <row r="134" spans="4:4" x14ac:dyDescent="0.25">
      <c r="D134" s="329"/>
    </row>
    <row r="135" spans="4:4" x14ac:dyDescent="0.25">
      <c r="D135" s="329"/>
    </row>
    <row r="136" spans="4:4" x14ac:dyDescent="0.25">
      <c r="D136" s="329"/>
    </row>
    <row r="137" spans="4:4" x14ac:dyDescent="0.25">
      <c r="D137" s="329"/>
    </row>
    <row r="138" spans="4:4" x14ac:dyDescent="0.25">
      <c r="D138" s="329"/>
    </row>
    <row r="139" spans="4:4" x14ac:dyDescent="0.25">
      <c r="D139" s="329"/>
    </row>
    <row r="141" spans="4:4" x14ac:dyDescent="0.25">
      <c r="D141" s="329"/>
    </row>
    <row r="142" spans="4:4" x14ac:dyDescent="0.25">
      <c r="D142" s="329"/>
    </row>
    <row r="143" spans="4:4" x14ac:dyDescent="0.25">
      <c r="D143" s="329"/>
    </row>
    <row r="144" spans="4:4" x14ac:dyDescent="0.25">
      <c r="D144" s="329"/>
    </row>
    <row r="145" spans="4:4" x14ac:dyDescent="0.25">
      <c r="D145" s="329"/>
    </row>
    <row r="146" spans="4:4" x14ac:dyDescent="0.25">
      <c r="D146" s="329"/>
    </row>
    <row r="147" spans="4:4" x14ac:dyDescent="0.25">
      <c r="D147" s="329"/>
    </row>
    <row r="148" spans="4:4" x14ac:dyDescent="0.25">
      <c r="D148" s="329"/>
    </row>
    <row r="149" spans="4:4" x14ac:dyDescent="0.25">
      <c r="D149" s="329"/>
    </row>
    <row r="150" spans="4:4" x14ac:dyDescent="0.25">
      <c r="D150" s="329"/>
    </row>
    <row r="151" spans="4:4" x14ac:dyDescent="0.25">
      <c r="D151" s="329"/>
    </row>
    <row r="152" spans="4:4" x14ac:dyDescent="0.25">
      <c r="D152" s="329"/>
    </row>
    <row r="153" spans="4:4" x14ac:dyDescent="0.25">
      <c r="D153" s="329"/>
    </row>
    <row r="154" spans="4:4" x14ac:dyDescent="0.25">
      <c r="D154" s="329"/>
    </row>
    <row r="155" spans="4:4" x14ac:dyDescent="0.25">
      <c r="D155" s="329"/>
    </row>
    <row r="156" spans="4:4" x14ac:dyDescent="0.25">
      <c r="D156" s="329"/>
    </row>
    <row r="157" spans="4:4" x14ac:dyDescent="0.25">
      <c r="D157" s="329"/>
    </row>
    <row r="158" spans="4:4" x14ac:dyDescent="0.25">
      <c r="D158" s="329"/>
    </row>
    <row r="159" spans="4:4" x14ac:dyDescent="0.25">
      <c r="D159" s="329"/>
    </row>
    <row r="160" spans="4:4" x14ac:dyDescent="0.25">
      <c r="D160" s="329"/>
    </row>
    <row r="161" spans="4:4" x14ac:dyDescent="0.25">
      <c r="D161" s="329"/>
    </row>
    <row r="162" spans="4:4" x14ac:dyDescent="0.25">
      <c r="D162" s="329"/>
    </row>
    <row r="163" spans="4:4" x14ac:dyDescent="0.25">
      <c r="D163" s="329"/>
    </row>
    <row r="164" spans="4:4" x14ac:dyDescent="0.25">
      <c r="D164" s="329"/>
    </row>
    <row r="165" spans="4:4" x14ac:dyDescent="0.25">
      <c r="D165" s="329"/>
    </row>
    <row r="166" spans="4:4" x14ac:dyDescent="0.25">
      <c r="D166" s="329"/>
    </row>
    <row r="167" spans="4:4" x14ac:dyDescent="0.25">
      <c r="D167" s="329"/>
    </row>
    <row r="168" spans="4:4" x14ac:dyDescent="0.25">
      <c r="D168" s="329"/>
    </row>
    <row r="169" spans="4:4" x14ac:dyDescent="0.25">
      <c r="D169" s="329"/>
    </row>
    <row r="170" spans="4:4" x14ac:dyDescent="0.25">
      <c r="D170" s="329"/>
    </row>
    <row r="171" spans="4:4" x14ac:dyDescent="0.25">
      <c r="D171" s="329"/>
    </row>
    <row r="172" spans="4:4" x14ac:dyDescent="0.25">
      <c r="D172" s="329"/>
    </row>
    <row r="173" spans="4:4" x14ac:dyDescent="0.25">
      <c r="D173" s="329"/>
    </row>
    <row r="174" spans="4:4" x14ac:dyDescent="0.25">
      <c r="D174" s="329"/>
    </row>
    <row r="175" spans="4:4" x14ac:dyDescent="0.25">
      <c r="D175" s="329"/>
    </row>
    <row r="176" spans="4:4" x14ac:dyDescent="0.25">
      <c r="D176" s="329"/>
    </row>
    <row r="177" spans="4:4" x14ac:dyDescent="0.25">
      <c r="D177" s="329"/>
    </row>
    <row r="178" spans="4:4" x14ac:dyDescent="0.25">
      <c r="D178" s="329"/>
    </row>
    <row r="179" spans="4:4" x14ac:dyDescent="0.25">
      <c r="D179" s="329"/>
    </row>
    <row r="180" spans="4:4" x14ac:dyDescent="0.25">
      <c r="D180" s="329"/>
    </row>
    <row r="181" spans="4:4" x14ac:dyDescent="0.25">
      <c r="D181" s="329"/>
    </row>
    <row r="182" spans="4:4" x14ac:dyDescent="0.25">
      <c r="D182" s="329"/>
    </row>
    <row r="183" spans="4:4" x14ac:dyDescent="0.25">
      <c r="D183" s="329"/>
    </row>
    <row r="184" spans="4:4" x14ac:dyDescent="0.25">
      <c r="D184" s="329"/>
    </row>
    <row r="185" spans="4:4" x14ac:dyDescent="0.25">
      <c r="D185" s="329"/>
    </row>
    <row r="186" spans="4:4" x14ac:dyDescent="0.25">
      <c r="D186" s="329"/>
    </row>
    <row r="187" spans="4:4" x14ac:dyDescent="0.25">
      <c r="D187" s="329"/>
    </row>
    <row r="188" spans="4:4" x14ac:dyDescent="0.25">
      <c r="D188" s="329"/>
    </row>
    <row r="189" spans="4:4" x14ac:dyDescent="0.25">
      <c r="D189" s="329"/>
    </row>
    <row r="190" spans="4:4" x14ac:dyDescent="0.25">
      <c r="D190" s="329"/>
    </row>
    <row r="191" spans="4:4" x14ac:dyDescent="0.25">
      <c r="D191" s="329"/>
    </row>
    <row r="192" spans="4:4" x14ac:dyDescent="0.25">
      <c r="D192" s="329"/>
    </row>
    <row r="193" spans="4:4" x14ac:dyDescent="0.25">
      <c r="D193" s="329"/>
    </row>
    <row r="194" spans="4:4" x14ac:dyDescent="0.25">
      <c r="D194" s="329"/>
    </row>
    <row r="195" spans="4:4" x14ac:dyDescent="0.25">
      <c r="D195" s="329"/>
    </row>
    <row r="196" spans="4:4" x14ac:dyDescent="0.25">
      <c r="D196" s="329"/>
    </row>
    <row r="197" spans="4:4" x14ac:dyDescent="0.25">
      <c r="D197" s="329"/>
    </row>
    <row r="198" spans="4:4" x14ac:dyDescent="0.25">
      <c r="D198" s="329"/>
    </row>
    <row r="199" spans="4:4" x14ac:dyDescent="0.25">
      <c r="D199" s="329"/>
    </row>
    <row r="200" spans="4:4" x14ac:dyDescent="0.25">
      <c r="D200" s="329"/>
    </row>
    <row r="201" spans="4:4" x14ac:dyDescent="0.25">
      <c r="D201" s="329"/>
    </row>
    <row r="202" spans="4:4" x14ac:dyDescent="0.25">
      <c r="D202" s="329"/>
    </row>
  </sheetData>
  <autoFilter ref="A1:F1" xr:uid="{55E47C6F-640E-4364-B689-2747C088A199}">
    <sortState xmlns:xlrd2="http://schemas.microsoft.com/office/spreadsheetml/2017/richdata2" ref="A2:F111">
      <sortCondition ref="B1"/>
    </sortState>
  </autoFilter>
  <pageMargins left="0.511811024" right="0.511811024" top="0.78740157499999996" bottom="0.78740157499999996" header="0.31496062000000002" footer="0.31496062000000002"/>
  <ignoredErrors>
    <ignoredError sqref="A2:A65 A75:A109 A66:A74" numberStoredAsText="1"/>
  </ignoredErrors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5052-479D-4BFA-8AFA-E1E3C8F24796}">
  <dimension ref="A1:H6"/>
  <sheetViews>
    <sheetView topLeftCell="B1" workbookViewId="0">
      <selection activeCell="H12" sqref="H11:H12"/>
    </sheetView>
  </sheetViews>
  <sheetFormatPr defaultRowHeight="15" x14ac:dyDescent="0.25"/>
  <cols>
    <col min="1" max="1" width="15.5703125" customWidth="1"/>
    <col min="2" max="2" width="38" bestFit="1" customWidth="1"/>
    <col min="3" max="3" width="19.42578125" bestFit="1" customWidth="1"/>
    <col min="4" max="4" width="43.85546875" bestFit="1" customWidth="1"/>
    <col min="5" max="5" width="19.42578125" bestFit="1" customWidth="1"/>
    <col min="6" max="7" width="10.5703125" bestFit="1" customWidth="1"/>
    <col min="8" max="8" width="12.140625" bestFit="1" customWidth="1"/>
  </cols>
  <sheetData>
    <row r="1" spans="1:8" x14ac:dyDescent="0.25">
      <c r="A1" s="360" t="s">
        <v>646</v>
      </c>
      <c r="B1" s="361"/>
      <c r="C1" s="361"/>
      <c r="D1" s="361"/>
      <c r="E1" s="361"/>
      <c r="F1" s="361"/>
      <c r="G1" s="361"/>
      <c r="H1" s="361"/>
    </row>
    <row r="2" spans="1:8" ht="60" x14ac:dyDescent="0.25">
      <c r="A2" s="28" t="s">
        <v>219</v>
      </c>
      <c r="B2" s="28" t="s">
        <v>220</v>
      </c>
      <c r="C2" s="28" t="s">
        <v>1</v>
      </c>
      <c r="D2" s="28" t="s">
        <v>2</v>
      </c>
      <c r="E2" s="28" t="s">
        <v>3</v>
      </c>
      <c r="F2" s="28" t="s">
        <v>4</v>
      </c>
      <c r="G2" s="29" t="s">
        <v>5</v>
      </c>
      <c r="H2" s="29" t="s">
        <v>6</v>
      </c>
    </row>
    <row r="3" spans="1:8" x14ac:dyDescent="0.25">
      <c r="A3" s="83">
        <v>46300</v>
      </c>
      <c r="B3" s="83">
        <v>46303</v>
      </c>
      <c r="C3" s="355" t="s">
        <v>643</v>
      </c>
      <c r="D3" s="344" t="s">
        <v>640</v>
      </c>
      <c r="E3" s="345" t="s">
        <v>29</v>
      </c>
      <c r="F3" s="177">
        <v>19</v>
      </c>
      <c r="G3" s="330">
        <f>16.5*F3</f>
        <v>313.5</v>
      </c>
      <c r="H3" s="275">
        <f>120/21*F3</f>
        <v>108.57142857142857</v>
      </c>
    </row>
    <row r="4" spans="1:8" x14ac:dyDescent="0.25">
      <c r="A4" s="83">
        <v>46300</v>
      </c>
      <c r="B4" s="83">
        <v>46303</v>
      </c>
      <c r="C4" s="355" t="s">
        <v>645</v>
      </c>
      <c r="D4" s="160" t="s">
        <v>642</v>
      </c>
      <c r="E4" s="351" t="s">
        <v>628</v>
      </c>
      <c r="F4" s="177">
        <v>19</v>
      </c>
      <c r="G4" s="330">
        <f t="shared" ref="G4:G5" si="0">16.5*F4</f>
        <v>313.5</v>
      </c>
      <c r="H4" s="275">
        <f>120/21*F4</f>
        <v>108.57142857142857</v>
      </c>
    </row>
    <row r="5" spans="1:8" x14ac:dyDescent="0.25">
      <c r="A5" s="83">
        <v>46300</v>
      </c>
      <c r="B5" s="83">
        <v>46303</v>
      </c>
      <c r="C5" s="355" t="s">
        <v>644</v>
      </c>
      <c r="D5" s="344" t="s">
        <v>641</v>
      </c>
      <c r="E5" s="160" t="s">
        <v>23</v>
      </c>
      <c r="F5" s="177">
        <v>15</v>
      </c>
      <c r="G5" s="330">
        <f t="shared" si="0"/>
        <v>247.5</v>
      </c>
      <c r="H5" s="275"/>
    </row>
    <row r="6" spans="1:8" x14ac:dyDescent="0.25">
      <c r="G6" s="175">
        <f>SUM(G3:G5)</f>
        <v>874.5</v>
      </c>
      <c r="H6" s="175">
        <f>SUM(H4:H5)</f>
        <v>108.57142857142857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1D7B-1BE2-480D-A2D6-C0A110D0D242}">
  <dimension ref="B1:G126"/>
  <sheetViews>
    <sheetView zoomScale="115" zoomScaleNormal="115" workbookViewId="0">
      <selection activeCell="E5" sqref="E5"/>
    </sheetView>
  </sheetViews>
  <sheetFormatPr defaultRowHeight="15" x14ac:dyDescent="0.25"/>
  <cols>
    <col min="2" max="2" width="15.7109375" bestFit="1" customWidth="1"/>
    <col min="3" max="3" width="48.5703125" bestFit="1" customWidth="1"/>
    <col min="4" max="4" width="33.28515625" style="78" bestFit="1" customWidth="1"/>
    <col min="5" max="5" width="10.5703125" bestFit="1" customWidth="1"/>
    <col min="6" max="6" width="12.7109375" bestFit="1" customWidth="1"/>
    <col min="7" max="7" width="13.42578125" style="246" bestFit="1" customWidth="1"/>
  </cols>
  <sheetData>
    <row r="1" spans="2:7" x14ac:dyDescent="0.25">
      <c r="B1" s="30"/>
      <c r="F1" s="57"/>
      <c r="G1" s="57"/>
    </row>
    <row r="2" spans="2:7" x14ac:dyDescent="0.25">
      <c r="B2" s="71"/>
      <c r="C2" s="113" t="s">
        <v>401</v>
      </c>
      <c r="D2" s="231"/>
      <c r="E2" s="114"/>
      <c r="F2" s="114"/>
      <c r="G2" s="238"/>
    </row>
    <row r="3" spans="2:7" ht="45" x14ac:dyDescent="0.25">
      <c r="B3" s="2" t="s">
        <v>1</v>
      </c>
      <c r="C3" s="3" t="s">
        <v>2</v>
      </c>
      <c r="D3" s="4" t="s">
        <v>3</v>
      </c>
      <c r="E3" s="4" t="s">
        <v>4</v>
      </c>
      <c r="F3" s="5" t="s">
        <v>5</v>
      </c>
      <c r="G3" s="5" t="s">
        <v>232</v>
      </c>
    </row>
    <row r="4" spans="2:7" x14ac:dyDescent="0.25">
      <c r="B4" s="139" t="e" vm="1">
        <f>_xleta.XLOOKUP</f>
        <v>#VALUE!</v>
      </c>
      <c r="C4" s="139" t="s">
        <v>400</v>
      </c>
      <c r="D4" s="140" t="s">
        <v>396</v>
      </c>
      <c r="E4" s="121">
        <v>21</v>
      </c>
      <c r="F4" s="211">
        <f>E4*16.5</f>
        <v>346.5</v>
      </c>
      <c r="G4" s="239">
        <v>120</v>
      </c>
    </row>
    <row r="5" spans="2:7" x14ac:dyDescent="0.25">
      <c r="B5" s="235" t="s">
        <v>383</v>
      </c>
      <c r="C5" s="235" t="s">
        <v>399</v>
      </c>
      <c r="D5" s="178" t="s">
        <v>13</v>
      </c>
      <c r="E5" s="135">
        <v>23</v>
      </c>
      <c r="F5" s="236">
        <f>16.5*E5</f>
        <v>379.5</v>
      </c>
      <c r="G5" s="241">
        <v>120</v>
      </c>
    </row>
    <row r="6" spans="2:7" x14ac:dyDescent="0.25">
      <c r="B6" s="121" t="s">
        <v>318</v>
      </c>
      <c r="C6" s="121" t="s">
        <v>328</v>
      </c>
      <c r="D6" s="117" t="s">
        <v>23</v>
      </c>
      <c r="E6" s="121">
        <v>21</v>
      </c>
      <c r="F6" s="208">
        <f>E6*16.5</f>
        <v>346.5</v>
      </c>
      <c r="G6" s="239"/>
    </row>
    <row r="7" spans="2:7" x14ac:dyDescent="0.25">
      <c r="B7" s="135" t="s">
        <v>7</v>
      </c>
      <c r="C7" s="251" t="s">
        <v>8</v>
      </c>
      <c r="D7" s="136" t="s">
        <v>86</v>
      </c>
      <c r="E7" s="135">
        <v>10</v>
      </c>
      <c r="F7" s="248">
        <f>E7*16.5</f>
        <v>165</v>
      </c>
      <c r="G7" s="249"/>
    </row>
    <row r="8" spans="2:7" x14ac:dyDescent="0.25">
      <c r="B8" s="121" t="s">
        <v>354</v>
      </c>
      <c r="C8" s="121" t="s">
        <v>359</v>
      </c>
      <c r="D8" s="117" t="s">
        <v>23</v>
      </c>
      <c r="E8" s="121">
        <v>21</v>
      </c>
      <c r="F8" s="208">
        <f>E8*16.5</f>
        <v>346.5</v>
      </c>
      <c r="G8" s="239"/>
    </row>
    <row r="9" spans="2:7" x14ac:dyDescent="0.25">
      <c r="B9" s="257" t="s">
        <v>343</v>
      </c>
      <c r="C9" s="258" t="s">
        <v>360</v>
      </c>
      <c r="D9" s="257" t="s">
        <v>29</v>
      </c>
      <c r="E9" s="257">
        <v>0</v>
      </c>
      <c r="F9" s="259">
        <v>0</v>
      </c>
      <c r="G9" s="260">
        <v>0</v>
      </c>
    </row>
    <row r="10" spans="2:7" x14ac:dyDescent="0.25">
      <c r="B10" s="121" t="s">
        <v>264</v>
      </c>
      <c r="C10" s="121" t="s">
        <v>265</v>
      </c>
      <c r="D10" s="117" t="s">
        <v>23</v>
      </c>
      <c r="E10" s="121">
        <v>21</v>
      </c>
      <c r="F10" s="208">
        <f t="shared" ref="F10:F16" si="0">E10*16.5</f>
        <v>346.5</v>
      </c>
      <c r="G10" s="239">
        <v>120</v>
      </c>
    </row>
    <row r="11" spans="2:7" x14ac:dyDescent="0.25">
      <c r="B11" s="121" t="s">
        <v>310</v>
      </c>
      <c r="C11" s="121" t="s">
        <v>329</v>
      </c>
      <c r="D11" s="117" t="s">
        <v>86</v>
      </c>
      <c r="E11" s="135">
        <v>23</v>
      </c>
      <c r="F11" s="208">
        <f t="shared" si="0"/>
        <v>379.5</v>
      </c>
      <c r="G11" s="239">
        <v>120</v>
      </c>
    </row>
    <row r="12" spans="2:7" x14ac:dyDescent="0.25">
      <c r="B12" s="135" t="s">
        <v>19</v>
      </c>
      <c r="C12" s="135" t="s">
        <v>20</v>
      </c>
      <c r="D12" s="136" t="s">
        <v>16</v>
      </c>
      <c r="E12" s="135">
        <v>10</v>
      </c>
      <c r="F12" s="248">
        <f t="shared" si="0"/>
        <v>165</v>
      </c>
      <c r="G12" s="249">
        <v>57.1</v>
      </c>
    </row>
    <row r="13" spans="2:7" x14ac:dyDescent="0.25">
      <c r="B13" s="121" t="s">
        <v>27</v>
      </c>
      <c r="C13" s="121" t="s">
        <v>28</v>
      </c>
      <c r="D13" s="117" t="s">
        <v>29</v>
      </c>
      <c r="E13" s="121">
        <v>21</v>
      </c>
      <c r="F13" s="208">
        <f t="shared" si="0"/>
        <v>346.5</v>
      </c>
      <c r="G13" s="239">
        <v>120</v>
      </c>
    </row>
    <row r="14" spans="2:7" x14ac:dyDescent="0.25">
      <c r="B14" s="121" t="s">
        <v>36</v>
      </c>
      <c r="C14" s="121" t="s">
        <v>37</v>
      </c>
      <c r="D14" s="117" t="s">
        <v>29</v>
      </c>
      <c r="E14" s="121">
        <v>21</v>
      </c>
      <c r="F14" s="208">
        <f t="shared" si="0"/>
        <v>346.5</v>
      </c>
      <c r="G14" s="239">
        <v>120</v>
      </c>
    </row>
    <row r="15" spans="2:7" x14ac:dyDescent="0.25">
      <c r="B15" s="121" t="s">
        <v>41</v>
      </c>
      <c r="C15" s="121" t="s">
        <v>42</v>
      </c>
      <c r="D15" s="117" t="s">
        <v>35</v>
      </c>
      <c r="E15" s="121">
        <v>21</v>
      </c>
      <c r="F15" s="208">
        <f t="shared" si="0"/>
        <v>346.5</v>
      </c>
      <c r="G15" s="239">
        <v>120</v>
      </c>
    </row>
    <row r="16" spans="2:7" x14ac:dyDescent="0.25">
      <c r="B16" s="286" t="s">
        <v>422</v>
      </c>
      <c r="C16" s="286" t="s">
        <v>419</v>
      </c>
      <c r="D16" s="294" t="s">
        <v>23</v>
      </c>
      <c r="E16" s="121">
        <v>21</v>
      </c>
      <c r="F16" s="208">
        <f t="shared" si="0"/>
        <v>346.5</v>
      </c>
      <c r="G16" s="239"/>
    </row>
    <row r="17" spans="2:7" x14ac:dyDescent="0.25">
      <c r="B17" s="121" t="s">
        <v>234</v>
      </c>
      <c r="C17" s="121" t="s">
        <v>235</v>
      </c>
      <c r="D17" s="117" t="s">
        <v>103</v>
      </c>
      <c r="E17" s="121" t="s">
        <v>391</v>
      </c>
      <c r="F17" s="208">
        <v>600</v>
      </c>
      <c r="G17" s="239"/>
    </row>
    <row r="18" spans="2:7" x14ac:dyDescent="0.25">
      <c r="B18" s="132" t="s">
        <v>312</v>
      </c>
      <c r="C18" s="132" t="s">
        <v>331</v>
      </c>
      <c r="D18" s="129" t="s">
        <v>86</v>
      </c>
      <c r="E18" s="135">
        <v>23</v>
      </c>
      <c r="F18" s="208">
        <f>E18*16.5</f>
        <v>379.5</v>
      </c>
      <c r="G18" s="239">
        <v>120</v>
      </c>
    </row>
    <row r="19" spans="2:7" ht="15.75" x14ac:dyDescent="0.25">
      <c r="B19" s="209" t="s">
        <v>368</v>
      </c>
      <c r="C19" s="210" t="s">
        <v>369</v>
      </c>
      <c r="D19" s="123" t="s">
        <v>35</v>
      </c>
      <c r="E19" s="121">
        <v>21</v>
      </c>
      <c r="F19" s="211">
        <f>E19*16.5</f>
        <v>346.5</v>
      </c>
      <c r="G19" s="240">
        <v>120</v>
      </c>
    </row>
    <row r="20" spans="2:7" x14ac:dyDescent="0.25">
      <c r="B20" s="290" t="s">
        <v>451</v>
      </c>
      <c r="C20" s="284" t="s">
        <v>448</v>
      </c>
      <c r="D20" s="294" t="s">
        <v>16</v>
      </c>
      <c r="E20" s="135">
        <v>27</v>
      </c>
      <c r="F20" s="208">
        <f>E20*16.5</f>
        <v>445.5</v>
      </c>
      <c r="G20" s="239">
        <v>156</v>
      </c>
    </row>
    <row r="21" spans="2:7" x14ac:dyDescent="0.25">
      <c r="B21" s="121" t="s">
        <v>316</v>
      </c>
      <c r="C21" s="121" t="s">
        <v>332</v>
      </c>
      <c r="D21" s="117" t="s">
        <v>32</v>
      </c>
      <c r="E21" s="121">
        <v>21</v>
      </c>
      <c r="F21" s="208">
        <f>E21*16.5</f>
        <v>346.5</v>
      </c>
      <c r="G21" s="239">
        <v>120</v>
      </c>
    </row>
    <row r="22" spans="2:7" x14ac:dyDescent="0.25">
      <c r="B22" s="287" t="s">
        <v>459</v>
      </c>
      <c r="C22" s="284" t="s">
        <v>455</v>
      </c>
      <c r="D22" s="287" t="s">
        <v>463</v>
      </c>
      <c r="E22" s="135"/>
      <c r="F22" s="208"/>
      <c r="G22" s="239"/>
    </row>
    <row r="23" spans="2:7" x14ac:dyDescent="0.25">
      <c r="B23" s="284" t="s">
        <v>436</v>
      </c>
      <c r="C23" s="284" t="s">
        <v>455</v>
      </c>
      <c r="D23" s="287" t="s">
        <v>467</v>
      </c>
      <c r="E23" s="121"/>
      <c r="F23" s="208"/>
      <c r="G23" s="239"/>
    </row>
    <row r="24" spans="2:7" x14ac:dyDescent="0.25">
      <c r="B24" s="121" t="s">
        <v>288</v>
      </c>
      <c r="C24" s="284" t="s">
        <v>447</v>
      </c>
      <c r="D24" s="294" t="s">
        <v>16</v>
      </c>
      <c r="E24" s="121">
        <v>21</v>
      </c>
      <c r="F24" s="208">
        <f>E24*16.5</f>
        <v>346.5</v>
      </c>
      <c r="G24" s="239">
        <v>120</v>
      </c>
    </row>
    <row r="25" spans="2:7" x14ac:dyDescent="0.25">
      <c r="B25" s="287" t="s">
        <v>462</v>
      </c>
      <c r="C25" s="121" t="s">
        <v>289</v>
      </c>
      <c r="D25" s="117" t="s">
        <v>32</v>
      </c>
      <c r="E25" s="121">
        <v>21</v>
      </c>
      <c r="F25" s="302">
        <f>E25*16.5</f>
        <v>346.5</v>
      </c>
      <c r="G25" s="300">
        <v>120</v>
      </c>
    </row>
    <row r="26" spans="2:7" x14ac:dyDescent="0.25">
      <c r="B26" s="212">
        <v>10705364402</v>
      </c>
      <c r="C26" s="292" t="s">
        <v>458</v>
      </c>
      <c r="D26" s="295" t="s">
        <v>466</v>
      </c>
      <c r="E26" s="135"/>
      <c r="F26" s="208"/>
      <c r="G26" s="239"/>
    </row>
    <row r="27" spans="2:7" x14ac:dyDescent="0.25">
      <c r="B27" s="261" t="s">
        <v>378</v>
      </c>
      <c r="C27" s="128" t="s">
        <v>51</v>
      </c>
      <c r="D27" s="129" t="s">
        <v>52</v>
      </c>
      <c r="E27" s="121">
        <v>21</v>
      </c>
      <c r="F27" s="213">
        <f>E27*16.5</f>
        <v>346.5</v>
      </c>
      <c r="G27" s="241">
        <v>120</v>
      </c>
    </row>
    <row r="28" spans="2:7" ht="15.75" x14ac:dyDescent="0.25">
      <c r="B28" s="284" t="s">
        <v>408</v>
      </c>
      <c r="C28" s="262" t="s">
        <v>370</v>
      </c>
      <c r="D28" s="263" t="s">
        <v>375</v>
      </c>
      <c r="E28" s="258">
        <v>0</v>
      </c>
      <c r="F28" s="264">
        <v>0</v>
      </c>
      <c r="G28" s="265"/>
    </row>
    <row r="29" spans="2:7" x14ac:dyDescent="0.25">
      <c r="B29" s="132" t="s">
        <v>53</v>
      </c>
      <c r="C29" s="293" t="s">
        <v>405</v>
      </c>
      <c r="D29" s="117" t="s">
        <v>375</v>
      </c>
      <c r="E29" s="121">
        <v>21</v>
      </c>
      <c r="F29" s="208">
        <f>E29*16.5</f>
        <v>346.5</v>
      </c>
      <c r="G29" s="239"/>
    </row>
    <row r="30" spans="2:7" x14ac:dyDescent="0.25">
      <c r="B30" s="284" t="s">
        <v>435</v>
      </c>
      <c r="C30" s="132" t="s">
        <v>54</v>
      </c>
      <c r="D30" s="129" t="s">
        <v>52</v>
      </c>
      <c r="E30" s="121">
        <v>21</v>
      </c>
      <c r="F30" s="213">
        <f>E30*16.5</f>
        <v>346.5</v>
      </c>
      <c r="G30" s="241">
        <v>120</v>
      </c>
    </row>
    <row r="31" spans="2:7" x14ac:dyDescent="0.25">
      <c r="B31" s="128" t="s">
        <v>55</v>
      </c>
      <c r="C31" s="284" t="s">
        <v>446</v>
      </c>
      <c r="D31" s="294" t="s">
        <v>143</v>
      </c>
      <c r="E31" s="121">
        <v>21</v>
      </c>
      <c r="F31" s="208">
        <f>E31*16.5</f>
        <v>346.5</v>
      </c>
      <c r="G31" s="239"/>
    </row>
    <row r="32" spans="2:7" x14ac:dyDescent="0.25">
      <c r="B32" s="128" t="s">
        <v>57</v>
      </c>
      <c r="C32" s="132" t="s">
        <v>56</v>
      </c>
      <c r="D32" s="129" t="s">
        <v>389</v>
      </c>
      <c r="E32" s="121">
        <v>21</v>
      </c>
      <c r="F32" s="213">
        <f>E32*16.5</f>
        <v>346.5</v>
      </c>
      <c r="G32" s="241">
        <v>120</v>
      </c>
    </row>
    <row r="33" spans="2:7" x14ac:dyDescent="0.25">
      <c r="B33" s="132" t="s">
        <v>266</v>
      </c>
      <c r="C33" s="132" t="s">
        <v>58</v>
      </c>
      <c r="D33" s="129" t="s">
        <v>389</v>
      </c>
      <c r="E33" s="121">
        <v>21</v>
      </c>
      <c r="F33" s="213">
        <f>16.5*E33</f>
        <v>346.5</v>
      </c>
      <c r="G33" s="241">
        <v>120</v>
      </c>
    </row>
    <row r="34" spans="2:7" x14ac:dyDescent="0.25">
      <c r="B34" s="284" t="s">
        <v>429</v>
      </c>
      <c r="C34" s="132" t="s">
        <v>267</v>
      </c>
      <c r="D34" s="129" t="s">
        <v>23</v>
      </c>
      <c r="E34" s="132">
        <v>21</v>
      </c>
      <c r="F34" s="213">
        <f>E34*16.5</f>
        <v>346.5</v>
      </c>
      <c r="G34" s="241">
        <v>120</v>
      </c>
    </row>
    <row r="35" spans="2:7" x14ac:dyDescent="0.25">
      <c r="B35" s="132"/>
      <c r="C35" s="284" t="s">
        <v>445</v>
      </c>
      <c r="D35" s="294" t="s">
        <v>376</v>
      </c>
      <c r="E35" s="121">
        <v>21</v>
      </c>
      <c r="F35" s="208">
        <f>E35*16.5</f>
        <v>346.5</v>
      </c>
      <c r="G35" s="239">
        <v>120</v>
      </c>
    </row>
    <row r="36" spans="2:7" x14ac:dyDescent="0.25">
      <c r="B36" s="128" t="s">
        <v>66</v>
      </c>
      <c r="C36" s="132" t="s">
        <v>454</v>
      </c>
      <c r="D36" s="129"/>
      <c r="E36" s="132"/>
      <c r="F36" s="213">
        <v>2000</v>
      </c>
      <c r="G36" s="213"/>
    </row>
    <row r="37" spans="2:7" x14ac:dyDescent="0.25">
      <c r="B37" s="132" t="s">
        <v>320</v>
      </c>
      <c r="C37" s="132" t="s">
        <v>67</v>
      </c>
      <c r="D37" s="129" t="s">
        <v>32</v>
      </c>
      <c r="E37" s="132">
        <v>21</v>
      </c>
      <c r="F37" s="213">
        <f t="shared" ref="F37:F48" si="1">E37*16.5</f>
        <v>346.5</v>
      </c>
      <c r="G37" s="241">
        <v>120</v>
      </c>
    </row>
    <row r="38" spans="2:7" x14ac:dyDescent="0.25">
      <c r="B38" s="121" t="s">
        <v>303</v>
      </c>
      <c r="C38" s="132" t="s">
        <v>333</v>
      </c>
      <c r="D38" s="129" t="s">
        <v>389</v>
      </c>
      <c r="E38" s="132">
        <v>21</v>
      </c>
      <c r="F38" s="213">
        <f t="shared" si="1"/>
        <v>346.5</v>
      </c>
      <c r="G38" s="241">
        <v>120</v>
      </c>
    </row>
    <row r="39" spans="2:7" x14ac:dyDescent="0.25">
      <c r="B39" s="121" t="s">
        <v>224</v>
      </c>
      <c r="C39" s="121" t="s">
        <v>304</v>
      </c>
      <c r="D39" s="117" t="s">
        <v>40</v>
      </c>
      <c r="E39" s="132">
        <v>21</v>
      </c>
      <c r="F39" s="208">
        <f t="shared" si="1"/>
        <v>346.5</v>
      </c>
      <c r="G39" s="239"/>
    </row>
    <row r="40" spans="2:7" x14ac:dyDescent="0.25">
      <c r="B40" s="121" t="s">
        <v>70</v>
      </c>
      <c r="C40" s="121" t="s">
        <v>225</v>
      </c>
      <c r="D40" s="117" t="s">
        <v>143</v>
      </c>
      <c r="E40" s="132">
        <v>21</v>
      </c>
      <c r="F40" s="208">
        <f t="shared" si="1"/>
        <v>346.5</v>
      </c>
      <c r="G40" s="239"/>
    </row>
    <row r="41" spans="2:7" x14ac:dyDescent="0.25">
      <c r="B41" s="132" t="s">
        <v>280</v>
      </c>
      <c r="C41" s="121" t="s">
        <v>71</v>
      </c>
      <c r="D41" s="117" t="s">
        <v>32</v>
      </c>
      <c r="E41" s="132">
        <v>21</v>
      </c>
      <c r="F41" s="208">
        <f t="shared" si="1"/>
        <v>346.5</v>
      </c>
      <c r="G41" s="239">
        <v>120</v>
      </c>
    </row>
    <row r="42" spans="2:7" x14ac:dyDescent="0.25">
      <c r="B42" s="247" t="s">
        <v>74</v>
      </c>
      <c r="C42" s="132" t="s">
        <v>281</v>
      </c>
      <c r="D42" s="129" t="s">
        <v>86</v>
      </c>
      <c r="E42" s="135">
        <v>23</v>
      </c>
      <c r="F42" s="208">
        <f t="shared" si="1"/>
        <v>379.5</v>
      </c>
      <c r="G42" s="239">
        <v>120</v>
      </c>
    </row>
    <row r="43" spans="2:7" x14ac:dyDescent="0.25">
      <c r="B43" s="285" t="s">
        <v>440</v>
      </c>
      <c r="C43" s="135" t="s">
        <v>75</v>
      </c>
      <c r="D43" s="136" t="s">
        <v>143</v>
      </c>
      <c r="E43" s="135">
        <v>16</v>
      </c>
      <c r="F43" s="248">
        <f t="shared" si="1"/>
        <v>264</v>
      </c>
      <c r="G43" s="249">
        <v>91.36</v>
      </c>
    </row>
    <row r="44" spans="2:7" x14ac:dyDescent="0.25">
      <c r="B44" s="121" t="s">
        <v>237</v>
      </c>
      <c r="C44" s="284" t="s">
        <v>442</v>
      </c>
      <c r="D44" s="287" t="s">
        <v>23</v>
      </c>
      <c r="E44" s="135">
        <v>27</v>
      </c>
      <c r="F44" s="208">
        <f t="shared" si="1"/>
        <v>445.5</v>
      </c>
      <c r="G44" s="239">
        <v>156</v>
      </c>
    </row>
    <row r="45" spans="2:7" x14ac:dyDescent="0.25">
      <c r="B45" s="121" t="s">
        <v>229</v>
      </c>
      <c r="C45" s="121" t="s">
        <v>238</v>
      </c>
      <c r="D45" s="117" t="s">
        <v>103</v>
      </c>
      <c r="E45" s="121">
        <v>21</v>
      </c>
      <c r="F45" s="208">
        <f t="shared" si="1"/>
        <v>346.5</v>
      </c>
      <c r="G45" s="239">
        <v>120</v>
      </c>
    </row>
    <row r="46" spans="2:7" x14ac:dyDescent="0.25">
      <c r="B46" s="284" t="s">
        <v>443</v>
      </c>
      <c r="C46" s="121" t="s">
        <v>230</v>
      </c>
      <c r="D46" s="117" t="s">
        <v>143</v>
      </c>
      <c r="E46" s="121">
        <v>21</v>
      </c>
      <c r="F46" s="208">
        <f t="shared" si="1"/>
        <v>346.5</v>
      </c>
      <c r="G46" s="239">
        <v>120</v>
      </c>
    </row>
    <row r="47" spans="2:7" x14ac:dyDescent="0.25">
      <c r="B47" s="121" t="s">
        <v>298</v>
      </c>
      <c r="C47" s="284" t="s">
        <v>441</v>
      </c>
      <c r="D47" s="287" t="s">
        <v>23</v>
      </c>
      <c r="E47" s="135">
        <v>27</v>
      </c>
      <c r="F47" s="208">
        <f t="shared" si="1"/>
        <v>445.5</v>
      </c>
      <c r="G47" s="239">
        <v>156</v>
      </c>
    </row>
    <row r="48" spans="2:7" x14ac:dyDescent="0.25">
      <c r="B48" s="128" t="s">
        <v>87</v>
      </c>
      <c r="C48" s="121" t="s">
        <v>299</v>
      </c>
      <c r="D48" s="117" t="s">
        <v>389</v>
      </c>
      <c r="E48" s="121">
        <v>21</v>
      </c>
      <c r="F48" s="208">
        <f t="shared" si="1"/>
        <v>346.5</v>
      </c>
      <c r="G48" s="239">
        <v>120</v>
      </c>
    </row>
    <row r="49" spans="2:7" x14ac:dyDescent="0.25">
      <c r="B49" s="247" t="s">
        <v>89</v>
      </c>
      <c r="C49" s="132" t="s">
        <v>88</v>
      </c>
      <c r="D49" s="129" t="s">
        <v>23</v>
      </c>
      <c r="E49" s="132">
        <v>21</v>
      </c>
      <c r="F49" s="213">
        <f>16.5*E49</f>
        <v>346.5</v>
      </c>
      <c r="G49" s="241"/>
    </row>
    <row r="50" spans="2:7" x14ac:dyDescent="0.25">
      <c r="B50" s="215" t="s">
        <v>91</v>
      </c>
      <c r="C50" s="135" t="s">
        <v>90</v>
      </c>
      <c r="D50" s="136" t="s">
        <v>35</v>
      </c>
      <c r="E50" s="135">
        <v>9</v>
      </c>
      <c r="F50" s="248">
        <f>E50*16.5</f>
        <v>148.5</v>
      </c>
      <c r="G50" s="249"/>
    </row>
    <row r="51" spans="2:7" x14ac:dyDescent="0.25">
      <c r="B51" s="217" t="s">
        <v>93</v>
      </c>
      <c r="C51" s="121" t="s">
        <v>92</v>
      </c>
      <c r="D51" s="117" t="s">
        <v>377</v>
      </c>
      <c r="E51" s="121">
        <v>21</v>
      </c>
      <c r="F51" s="208">
        <f>E51*16.5</f>
        <v>346.5</v>
      </c>
      <c r="G51" s="239">
        <v>120</v>
      </c>
    </row>
    <row r="52" spans="2:7" x14ac:dyDescent="0.25">
      <c r="B52" s="215" t="s">
        <v>95</v>
      </c>
      <c r="C52" s="217" t="s">
        <v>94</v>
      </c>
      <c r="D52" s="129" t="s">
        <v>52</v>
      </c>
      <c r="E52" s="121">
        <v>21</v>
      </c>
      <c r="F52" s="213">
        <f>E52*16.5</f>
        <v>346.5</v>
      </c>
      <c r="G52" s="241"/>
    </row>
    <row r="53" spans="2:7" x14ac:dyDescent="0.25">
      <c r="B53" s="132" t="s">
        <v>99</v>
      </c>
      <c r="C53" s="121" t="s">
        <v>96</v>
      </c>
      <c r="D53" s="117" t="s">
        <v>389</v>
      </c>
      <c r="E53" s="121">
        <v>21</v>
      </c>
      <c r="F53" s="208">
        <f>E53*16.5</f>
        <v>346.5</v>
      </c>
      <c r="G53" s="239">
        <v>120</v>
      </c>
    </row>
    <row r="54" spans="2:7" x14ac:dyDescent="0.25">
      <c r="B54" s="121" t="s">
        <v>273</v>
      </c>
      <c r="C54" s="132" t="s">
        <v>100</v>
      </c>
      <c r="D54" s="129" t="s">
        <v>13</v>
      </c>
      <c r="E54" s="135">
        <v>0</v>
      </c>
      <c r="F54" s="213">
        <v>0</v>
      </c>
      <c r="G54" s="241" t="s">
        <v>10</v>
      </c>
    </row>
    <row r="55" spans="2:7" x14ac:dyDescent="0.25">
      <c r="B55" s="301" t="s">
        <v>348</v>
      </c>
      <c r="C55" s="121" t="s">
        <v>274</v>
      </c>
      <c r="D55" s="117" t="s">
        <v>35</v>
      </c>
      <c r="E55" s="121">
        <v>21</v>
      </c>
      <c r="F55" s="208">
        <f>E55*16.5</f>
        <v>346.5</v>
      </c>
      <c r="G55" s="239">
        <v>120</v>
      </c>
    </row>
    <row r="56" spans="2:7" x14ac:dyDescent="0.25">
      <c r="B56" s="121" t="s">
        <v>227</v>
      </c>
      <c r="C56" s="132" t="s">
        <v>362</v>
      </c>
      <c r="D56" s="117" t="s">
        <v>143</v>
      </c>
      <c r="E56" s="121">
        <v>21</v>
      </c>
      <c r="F56" s="208">
        <f>E56*16.5</f>
        <v>346.5</v>
      </c>
      <c r="G56" s="239">
        <v>120</v>
      </c>
    </row>
    <row r="57" spans="2:7" x14ac:dyDescent="0.25">
      <c r="B57" s="267" t="s">
        <v>106</v>
      </c>
      <c r="C57" s="132" t="s">
        <v>228</v>
      </c>
      <c r="D57" s="117" t="s">
        <v>103</v>
      </c>
      <c r="E57" s="121">
        <v>21</v>
      </c>
      <c r="F57" s="208">
        <f>E57*16.5</f>
        <v>346.5</v>
      </c>
      <c r="G57" s="239">
        <v>120</v>
      </c>
    </row>
    <row r="58" spans="2:7" x14ac:dyDescent="0.25">
      <c r="B58" s="215" t="s">
        <v>108</v>
      </c>
      <c r="C58" s="258" t="s">
        <v>107</v>
      </c>
      <c r="D58" s="257" t="s">
        <v>389</v>
      </c>
      <c r="E58" s="258">
        <v>0</v>
      </c>
      <c r="F58" s="266">
        <v>0</v>
      </c>
      <c r="G58" s="265">
        <v>0</v>
      </c>
    </row>
    <row r="59" spans="2:7" x14ac:dyDescent="0.25">
      <c r="B59" s="132" t="s">
        <v>277</v>
      </c>
      <c r="C59" s="132" t="s">
        <v>109</v>
      </c>
      <c r="D59" s="117" t="s">
        <v>23</v>
      </c>
      <c r="E59" s="121">
        <v>21</v>
      </c>
      <c r="F59" s="208">
        <f t="shared" ref="F59:F67" si="2">E59*16.5</f>
        <v>346.5</v>
      </c>
      <c r="G59" s="239">
        <v>120</v>
      </c>
    </row>
    <row r="60" spans="2:7" x14ac:dyDescent="0.25">
      <c r="B60" s="220" t="s">
        <v>112</v>
      </c>
      <c r="C60" s="132" t="s">
        <v>278</v>
      </c>
      <c r="D60" s="129" t="s">
        <v>86</v>
      </c>
      <c r="E60" s="135">
        <v>23</v>
      </c>
      <c r="F60" s="208">
        <f t="shared" si="2"/>
        <v>379.5</v>
      </c>
      <c r="G60" s="239">
        <v>120</v>
      </c>
    </row>
    <row r="61" spans="2:7" x14ac:dyDescent="0.25">
      <c r="B61" s="121" t="s">
        <v>338</v>
      </c>
      <c r="C61" s="154" t="s">
        <v>113</v>
      </c>
      <c r="D61" s="150" t="s">
        <v>52</v>
      </c>
      <c r="E61" s="121">
        <v>21</v>
      </c>
      <c r="F61" s="219">
        <f t="shared" si="2"/>
        <v>346.5</v>
      </c>
      <c r="G61" s="241">
        <v>120</v>
      </c>
    </row>
    <row r="62" spans="2:7" x14ac:dyDescent="0.25">
      <c r="B62" s="132" t="s">
        <v>324</v>
      </c>
      <c r="C62" s="132" t="s">
        <v>339</v>
      </c>
      <c r="D62" s="117" t="s">
        <v>23</v>
      </c>
      <c r="E62" s="121">
        <v>21</v>
      </c>
      <c r="F62" s="208">
        <f t="shared" si="2"/>
        <v>346.5</v>
      </c>
      <c r="G62" s="239">
        <v>120</v>
      </c>
    </row>
    <row r="63" spans="2:7" x14ac:dyDescent="0.25">
      <c r="B63" s="215" t="s">
        <v>114</v>
      </c>
      <c r="C63" s="132" t="s">
        <v>334</v>
      </c>
      <c r="D63" s="129" t="s">
        <v>388</v>
      </c>
      <c r="E63" s="135">
        <v>22</v>
      </c>
      <c r="F63" s="208">
        <f t="shared" si="2"/>
        <v>363</v>
      </c>
      <c r="G63" s="239">
        <v>120</v>
      </c>
    </row>
    <row r="64" spans="2:7" x14ac:dyDescent="0.25">
      <c r="B64" s="132" t="s">
        <v>314</v>
      </c>
      <c r="C64" s="132" t="s">
        <v>115</v>
      </c>
      <c r="D64" s="117" t="s">
        <v>143</v>
      </c>
      <c r="E64" s="121">
        <v>21</v>
      </c>
      <c r="F64" s="208">
        <f t="shared" si="2"/>
        <v>346.5</v>
      </c>
      <c r="G64" s="239">
        <v>120</v>
      </c>
    </row>
    <row r="65" spans="2:7" x14ac:dyDescent="0.25">
      <c r="B65" s="132" t="s">
        <v>120</v>
      </c>
      <c r="C65" s="132" t="s">
        <v>335</v>
      </c>
      <c r="D65" s="129" t="s">
        <v>86</v>
      </c>
      <c r="E65" s="135">
        <v>23</v>
      </c>
      <c r="F65" s="208">
        <f t="shared" si="2"/>
        <v>379.5</v>
      </c>
      <c r="G65" s="239"/>
    </row>
    <row r="66" spans="2:7" x14ac:dyDescent="0.25">
      <c r="B66" s="284" t="s">
        <v>409</v>
      </c>
      <c r="C66" s="132" t="s">
        <v>121</v>
      </c>
      <c r="D66" s="129" t="s">
        <v>52</v>
      </c>
      <c r="E66" s="121">
        <v>21</v>
      </c>
      <c r="F66" s="213">
        <f t="shared" si="2"/>
        <v>346.5</v>
      </c>
      <c r="G66" s="241">
        <v>120</v>
      </c>
    </row>
    <row r="67" spans="2:7" x14ac:dyDescent="0.25">
      <c r="B67" s="258" t="s">
        <v>352</v>
      </c>
      <c r="C67" s="284" t="s">
        <v>406</v>
      </c>
      <c r="D67" s="117" t="s">
        <v>86</v>
      </c>
      <c r="E67" s="135">
        <v>22</v>
      </c>
      <c r="F67" s="208">
        <f t="shared" si="2"/>
        <v>363</v>
      </c>
      <c r="G67" s="239">
        <v>120</v>
      </c>
    </row>
    <row r="68" spans="2:7" x14ac:dyDescent="0.25">
      <c r="B68" s="286" t="s">
        <v>421</v>
      </c>
      <c r="C68" s="258" t="s">
        <v>363</v>
      </c>
      <c r="D68" s="257" t="s">
        <v>13</v>
      </c>
      <c r="E68" s="258">
        <v>0</v>
      </c>
      <c r="F68" s="266">
        <v>0</v>
      </c>
      <c r="G68" s="265"/>
    </row>
    <row r="69" spans="2:7" x14ac:dyDescent="0.25">
      <c r="B69" s="215" t="s">
        <v>122</v>
      </c>
      <c r="C69" s="291" t="s">
        <v>418</v>
      </c>
      <c r="D69" s="287" t="s">
        <v>143</v>
      </c>
      <c r="E69" s="121">
        <v>21</v>
      </c>
      <c r="F69" s="208">
        <f t="shared" ref="F69:F80" si="3">E69*16.5</f>
        <v>346.5</v>
      </c>
      <c r="G69" s="239">
        <v>120</v>
      </c>
    </row>
    <row r="70" spans="2:7" x14ac:dyDescent="0.25">
      <c r="B70" s="121" t="s">
        <v>306</v>
      </c>
      <c r="C70" s="121" t="s">
        <v>123</v>
      </c>
      <c r="D70" s="117" t="s">
        <v>143</v>
      </c>
      <c r="E70" s="121">
        <v>21</v>
      </c>
      <c r="F70" s="208">
        <f t="shared" si="3"/>
        <v>346.5</v>
      </c>
      <c r="G70" s="239">
        <v>120</v>
      </c>
    </row>
    <row r="71" spans="2:7" x14ac:dyDescent="0.25">
      <c r="B71" s="247" t="s">
        <v>124</v>
      </c>
      <c r="C71" s="121" t="s">
        <v>307</v>
      </c>
      <c r="D71" s="117" t="s">
        <v>40</v>
      </c>
      <c r="E71" s="121">
        <v>21</v>
      </c>
      <c r="F71" s="208">
        <f t="shared" si="3"/>
        <v>346.5</v>
      </c>
      <c r="G71" s="239">
        <v>120</v>
      </c>
    </row>
    <row r="72" spans="2:7" x14ac:dyDescent="0.25">
      <c r="B72" s="212">
        <v>4912836443</v>
      </c>
      <c r="C72" s="135" t="s">
        <v>125</v>
      </c>
      <c r="D72" s="136" t="s">
        <v>86</v>
      </c>
      <c r="E72" s="135">
        <v>18</v>
      </c>
      <c r="F72" s="248">
        <f t="shared" si="3"/>
        <v>297</v>
      </c>
      <c r="G72" s="249">
        <v>102.78</v>
      </c>
    </row>
    <row r="73" spans="2:7" x14ac:dyDescent="0.25">
      <c r="B73" s="121" t="s">
        <v>242</v>
      </c>
      <c r="C73" s="132" t="s">
        <v>128</v>
      </c>
      <c r="D73" s="129" t="s">
        <v>86</v>
      </c>
      <c r="E73" s="121">
        <v>21</v>
      </c>
      <c r="F73" s="213">
        <f t="shared" si="3"/>
        <v>346.5</v>
      </c>
      <c r="G73" s="241">
        <v>120</v>
      </c>
    </row>
    <row r="74" spans="2:7" x14ac:dyDescent="0.25">
      <c r="B74" s="121" t="s">
        <v>293</v>
      </c>
      <c r="C74" s="121" t="s">
        <v>243</v>
      </c>
      <c r="D74" s="117" t="s">
        <v>40</v>
      </c>
      <c r="E74" s="121">
        <v>21</v>
      </c>
      <c r="F74" s="208">
        <f t="shared" si="3"/>
        <v>346.5</v>
      </c>
      <c r="G74" s="239">
        <v>120</v>
      </c>
    </row>
    <row r="75" spans="2:7" x14ac:dyDescent="0.25">
      <c r="B75" s="215" t="s">
        <v>336</v>
      </c>
      <c r="C75" s="121" t="s">
        <v>294</v>
      </c>
      <c r="D75" s="117" t="s">
        <v>389</v>
      </c>
      <c r="E75" s="121">
        <v>21</v>
      </c>
      <c r="F75" s="208">
        <f t="shared" si="3"/>
        <v>346.5</v>
      </c>
      <c r="G75" s="239">
        <v>120</v>
      </c>
    </row>
    <row r="76" spans="2:7" x14ac:dyDescent="0.25">
      <c r="B76" s="216" t="s">
        <v>381</v>
      </c>
      <c r="C76" s="121" t="s">
        <v>132</v>
      </c>
      <c r="D76" s="117" t="s">
        <v>143</v>
      </c>
      <c r="E76" s="121">
        <v>21</v>
      </c>
      <c r="F76" s="208">
        <f t="shared" si="3"/>
        <v>346.5</v>
      </c>
      <c r="G76" s="239">
        <v>120</v>
      </c>
    </row>
    <row r="77" spans="2:7" ht="15.75" x14ac:dyDescent="0.25">
      <c r="B77" s="128" t="s">
        <v>135</v>
      </c>
      <c r="C77" s="214" t="s">
        <v>372</v>
      </c>
      <c r="D77" s="140" t="s">
        <v>377</v>
      </c>
      <c r="E77" s="121">
        <v>21</v>
      </c>
      <c r="F77" s="211">
        <f t="shared" si="3"/>
        <v>346.5</v>
      </c>
      <c r="G77" s="239">
        <v>120</v>
      </c>
    </row>
    <row r="78" spans="2:7" x14ac:dyDescent="0.25">
      <c r="B78" s="216" t="s">
        <v>382</v>
      </c>
      <c r="C78" s="132" t="s">
        <v>136</v>
      </c>
      <c r="D78" s="129" t="s">
        <v>86</v>
      </c>
      <c r="E78" s="135">
        <v>23</v>
      </c>
      <c r="F78" s="213">
        <f t="shared" si="3"/>
        <v>379.5</v>
      </c>
      <c r="G78" s="241">
        <v>120</v>
      </c>
    </row>
    <row r="79" spans="2:7" ht="15.75" x14ac:dyDescent="0.25">
      <c r="B79" s="121" t="s">
        <v>340</v>
      </c>
      <c r="C79" s="214" t="s">
        <v>374</v>
      </c>
      <c r="D79" s="140" t="s">
        <v>376</v>
      </c>
      <c r="E79" s="121">
        <v>21</v>
      </c>
      <c r="F79" s="211">
        <f t="shared" si="3"/>
        <v>346.5</v>
      </c>
      <c r="G79" s="239">
        <v>120</v>
      </c>
    </row>
    <row r="80" spans="2:7" x14ac:dyDescent="0.25">
      <c r="B80" s="267" t="s">
        <v>137</v>
      </c>
      <c r="C80" s="121" t="s">
        <v>364</v>
      </c>
      <c r="D80" s="117" t="s">
        <v>23</v>
      </c>
      <c r="E80" s="121">
        <v>21</v>
      </c>
      <c r="F80" s="208">
        <f t="shared" si="3"/>
        <v>346.5</v>
      </c>
      <c r="G80" s="239">
        <v>120</v>
      </c>
    </row>
    <row r="81" spans="2:7" x14ac:dyDescent="0.25">
      <c r="B81" s="135" t="s">
        <v>144</v>
      </c>
      <c r="C81" s="258" t="s">
        <v>138</v>
      </c>
      <c r="D81" s="257" t="s">
        <v>29</v>
      </c>
      <c r="E81" s="258">
        <v>0</v>
      </c>
      <c r="F81" s="266">
        <v>0</v>
      </c>
      <c r="G81" s="265">
        <v>0</v>
      </c>
    </row>
    <row r="82" spans="2:7" x14ac:dyDescent="0.25">
      <c r="B82" s="128" t="s">
        <v>146</v>
      </c>
      <c r="C82" s="135" t="s">
        <v>145</v>
      </c>
      <c r="D82" s="136" t="s">
        <v>143</v>
      </c>
      <c r="E82" s="135">
        <v>9</v>
      </c>
      <c r="F82" s="248">
        <f t="shared" ref="F82:F90" si="4">E82*16.5</f>
        <v>148.5</v>
      </c>
      <c r="G82" s="249">
        <v>51.39</v>
      </c>
    </row>
    <row r="83" spans="2:7" x14ac:dyDescent="0.25">
      <c r="B83" s="216" t="s">
        <v>380</v>
      </c>
      <c r="C83" s="132" t="s">
        <v>147</v>
      </c>
      <c r="D83" s="129" t="s">
        <v>52</v>
      </c>
      <c r="E83" s="121">
        <v>21</v>
      </c>
      <c r="F83" s="213">
        <f t="shared" si="4"/>
        <v>346.5</v>
      </c>
      <c r="G83" s="241">
        <v>120</v>
      </c>
    </row>
    <row r="84" spans="2:7" ht="15.75" x14ac:dyDescent="0.25">
      <c r="B84" s="121" t="s">
        <v>150</v>
      </c>
      <c r="C84" s="214" t="s">
        <v>373</v>
      </c>
      <c r="D84" s="140" t="s">
        <v>32</v>
      </c>
      <c r="E84" s="121">
        <v>21</v>
      </c>
      <c r="F84" s="211">
        <f t="shared" si="4"/>
        <v>346.5</v>
      </c>
      <c r="G84" s="239">
        <v>120</v>
      </c>
    </row>
    <row r="85" spans="2:7" x14ac:dyDescent="0.25">
      <c r="B85" s="121" t="s">
        <v>152</v>
      </c>
      <c r="C85" s="121" t="s">
        <v>151</v>
      </c>
      <c r="D85" s="117" t="s">
        <v>32</v>
      </c>
      <c r="E85" s="121">
        <v>21</v>
      </c>
      <c r="F85" s="208">
        <f t="shared" si="4"/>
        <v>346.5</v>
      </c>
      <c r="G85" s="239">
        <v>120</v>
      </c>
    </row>
    <row r="86" spans="2:7" x14ac:dyDescent="0.25">
      <c r="B86" s="220" t="s">
        <v>158</v>
      </c>
      <c r="C86" s="121" t="s">
        <v>153</v>
      </c>
      <c r="D86" s="117" t="s">
        <v>377</v>
      </c>
      <c r="E86" s="121">
        <v>21</v>
      </c>
      <c r="F86" s="208">
        <f t="shared" si="4"/>
        <v>346.5</v>
      </c>
      <c r="G86" s="239">
        <v>120</v>
      </c>
    </row>
    <row r="87" spans="2:7" x14ac:dyDescent="0.25">
      <c r="B87" s="121" t="s">
        <v>346</v>
      </c>
      <c r="C87" s="154" t="s">
        <v>159</v>
      </c>
      <c r="D87" s="150" t="s">
        <v>29</v>
      </c>
      <c r="E87" s="121">
        <v>21</v>
      </c>
      <c r="F87" s="219">
        <f t="shared" si="4"/>
        <v>346.5</v>
      </c>
      <c r="G87" s="242">
        <v>120</v>
      </c>
    </row>
    <row r="88" spans="2:7" x14ac:dyDescent="0.25">
      <c r="B88" s="121" t="s">
        <v>160</v>
      </c>
      <c r="C88" s="121" t="s">
        <v>366</v>
      </c>
      <c r="D88" s="117" t="s">
        <v>143</v>
      </c>
      <c r="E88" s="121">
        <v>21</v>
      </c>
      <c r="F88" s="208">
        <f t="shared" si="4"/>
        <v>346.5</v>
      </c>
      <c r="G88" s="239"/>
    </row>
    <row r="89" spans="2:7" x14ac:dyDescent="0.25">
      <c r="B89" s="128" t="s">
        <v>164</v>
      </c>
      <c r="C89" s="121" t="s">
        <v>161</v>
      </c>
      <c r="D89" s="117" t="s">
        <v>86</v>
      </c>
      <c r="E89" s="135">
        <v>22</v>
      </c>
      <c r="F89" s="208">
        <f t="shared" si="4"/>
        <v>363</v>
      </c>
      <c r="G89" s="239">
        <v>120</v>
      </c>
    </row>
    <row r="90" spans="2:7" x14ac:dyDescent="0.25">
      <c r="B90" s="128" t="s">
        <v>398</v>
      </c>
      <c r="C90" s="132" t="s">
        <v>165</v>
      </c>
      <c r="D90" s="129" t="s">
        <v>29</v>
      </c>
      <c r="E90" s="121">
        <v>21</v>
      </c>
      <c r="F90" s="213">
        <f t="shared" si="4"/>
        <v>346.5</v>
      </c>
      <c r="G90" s="241">
        <v>120</v>
      </c>
    </row>
    <row r="91" spans="2:7" x14ac:dyDescent="0.25">
      <c r="B91" s="121" t="s">
        <v>290</v>
      </c>
      <c r="C91" s="132" t="s">
        <v>397</v>
      </c>
      <c r="D91" s="117" t="s">
        <v>103</v>
      </c>
      <c r="E91" s="121">
        <v>21</v>
      </c>
      <c r="F91" s="213">
        <f>16.5*E91</f>
        <v>346.5</v>
      </c>
      <c r="G91" s="241">
        <v>120</v>
      </c>
    </row>
    <row r="92" spans="2:7" x14ac:dyDescent="0.25">
      <c r="B92" s="290" t="s">
        <v>453</v>
      </c>
      <c r="C92" s="121" t="s">
        <v>291</v>
      </c>
      <c r="D92" s="117" t="s">
        <v>32</v>
      </c>
      <c r="E92" s="121">
        <v>21</v>
      </c>
      <c r="F92" s="213">
        <f t="shared" ref="F92:F98" si="5">E92*16.5</f>
        <v>346.5</v>
      </c>
      <c r="G92" s="239">
        <v>120</v>
      </c>
    </row>
    <row r="93" spans="2:7" x14ac:dyDescent="0.25">
      <c r="B93" s="139" t="s">
        <v>384</v>
      </c>
      <c r="C93" s="284" t="s">
        <v>450</v>
      </c>
      <c r="D93" s="294" t="s">
        <v>377</v>
      </c>
      <c r="E93" s="135">
        <v>27</v>
      </c>
      <c r="F93" s="208">
        <f t="shared" si="5"/>
        <v>445.5</v>
      </c>
      <c r="G93" s="239">
        <v>156</v>
      </c>
    </row>
    <row r="94" spans="2:7" x14ac:dyDescent="0.25">
      <c r="B94" s="157" t="s">
        <v>260</v>
      </c>
      <c r="C94" s="167" t="s">
        <v>386</v>
      </c>
      <c r="D94" s="166" t="s">
        <v>387</v>
      </c>
      <c r="E94" s="121">
        <v>21</v>
      </c>
      <c r="F94" s="305">
        <f t="shared" si="5"/>
        <v>346.5</v>
      </c>
      <c r="G94" s="239">
        <v>120</v>
      </c>
    </row>
    <row r="95" spans="2:7" x14ac:dyDescent="0.25">
      <c r="B95" s="157" t="s">
        <v>170</v>
      </c>
      <c r="C95" s="157" t="s">
        <v>261</v>
      </c>
      <c r="D95" s="156" t="s">
        <v>23</v>
      </c>
      <c r="E95" s="121">
        <v>21</v>
      </c>
      <c r="F95" s="221">
        <f t="shared" si="5"/>
        <v>346.5</v>
      </c>
      <c r="G95" s="239">
        <v>120</v>
      </c>
    </row>
    <row r="96" spans="2:7" x14ac:dyDescent="0.25">
      <c r="B96" s="222" t="s">
        <v>175</v>
      </c>
      <c r="C96" s="157" t="s">
        <v>171</v>
      </c>
      <c r="D96" s="156" t="s">
        <v>52</v>
      </c>
      <c r="E96" s="121">
        <v>21</v>
      </c>
      <c r="F96" s="221">
        <f t="shared" si="5"/>
        <v>346.5</v>
      </c>
      <c r="G96" s="239">
        <v>120</v>
      </c>
    </row>
    <row r="97" spans="2:7" x14ac:dyDescent="0.25">
      <c r="B97" s="288" t="s">
        <v>177</v>
      </c>
      <c r="C97" s="157" t="s">
        <v>176</v>
      </c>
      <c r="D97" s="156" t="s">
        <v>86</v>
      </c>
      <c r="E97" s="135">
        <v>23</v>
      </c>
      <c r="F97" s="221">
        <f t="shared" si="5"/>
        <v>379.5</v>
      </c>
      <c r="G97" s="239">
        <v>120</v>
      </c>
    </row>
    <row r="98" spans="2:7" x14ac:dyDescent="0.25">
      <c r="B98" s="98" t="s">
        <v>461</v>
      </c>
      <c r="C98" s="254" t="s">
        <v>178</v>
      </c>
      <c r="D98" s="255" t="s">
        <v>86</v>
      </c>
      <c r="E98" s="135">
        <v>11</v>
      </c>
      <c r="F98" s="256">
        <f t="shared" si="5"/>
        <v>181.5</v>
      </c>
      <c r="G98" s="249">
        <v>62.81</v>
      </c>
    </row>
    <row r="99" spans="2:7" x14ac:dyDescent="0.25">
      <c r="B99" s="157" t="s">
        <v>183</v>
      </c>
      <c r="C99" s="177" t="s">
        <v>457</v>
      </c>
      <c r="D99" s="76" t="s">
        <v>465</v>
      </c>
      <c r="E99" s="135"/>
      <c r="F99" s="221"/>
      <c r="G99" s="239"/>
    </row>
    <row r="100" spans="2:7" x14ac:dyDescent="0.25">
      <c r="B100" s="232" t="s">
        <v>187</v>
      </c>
      <c r="C100" s="177" t="s">
        <v>457</v>
      </c>
      <c r="D100" s="76" t="s">
        <v>377</v>
      </c>
      <c r="E100" s="121"/>
      <c r="F100" s="221"/>
      <c r="G100" s="239"/>
    </row>
    <row r="101" spans="2:7" x14ac:dyDescent="0.25">
      <c r="B101" s="222" t="s">
        <v>189</v>
      </c>
      <c r="C101" s="157" t="s">
        <v>184</v>
      </c>
      <c r="D101" s="156" t="s">
        <v>32</v>
      </c>
      <c r="E101" s="121">
        <v>21</v>
      </c>
      <c r="F101" s="225">
        <f t="shared" ref="F101:F119" si="6">E101*16.5</f>
        <v>346.5</v>
      </c>
      <c r="G101" s="239"/>
    </row>
    <row r="102" spans="2:7" x14ac:dyDescent="0.25">
      <c r="B102" s="157" t="s">
        <v>322</v>
      </c>
      <c r="C102" s="233" t="s">
        <v>188</v>
      </c>
      <c r="D102" s="234" t="s">
        <v>29</v>
      </c>
      <c r="E102" s="121">
        <v>21</v>
      </c>
      <c r="F102" s="237">
        <f t="shared" si="6"/>
        <v>346.5</v>
      </c>
      <c r="G102" s="241"/>
    </row>
    <row r="103" spans="2:7" x14ac:dyDescent="0.25">
      <c r="B103" s="222" t="s">
        <v>191</v>
      </c>
      <c r="C103" s="157" t="s">
        <v>190</v>
      </c>
      <c r="D103" s="156" t="s">
        <v>16</v>
      </c>
      <c r="E103" s="121">
        <v>21</v>
      </c>
      <c r="F103" s="225">
        <f t="shared" si="6"/>
        <v>346.5</v>
      </c>
      <c r="G103" s="239">
        <v>120</v>
      </c>
    </row>
    <row r="104" spans="2:7" x14ac:dyDescent="0.25">
      <c r="B104" s="288" t="s">
        <v>193</v>
      </c>
      <c r="C104" s="157" t="s">
        <v>337</v>
      </c>
      <c r="D104" s="156" t="s">
        <v>389</v>
      </c>
      <c r="E104" s="226">
        <v>21</v>
      </c>
      <c r="F104" s="225">
        <f t="shared" si="6"/>
        <v>346.5</v>
      </c>
      <c r="G104" s="239"/>
    </row>
    <row r="105" spans="2:7" x14ac:dyDescent="0.25">
      <c r="B105" s="222" t="s">
        <v>195</v>
      </c>
      <c r="C105" s="157" t="s">
        <v>192</v>
      </c>
      <c r="D105" s="156" t="s">
        <v>389</v>
      </c>
      <c r="E105" s="226">
        <v>21</v>
      </c>
      <c r="F105" s="225">
        <f t="shared" si="6"/>
        <v>346.5</v>
      </c>
      <c r="G105" s="239">
        <v>120</v>
      </c>
    </row>
    <row r="106" spans="2:7" x14ac:dyDescent="0.25">
      <c r="B106" s="177" t="s">
        <v>452</v>
      </c>
      <c r="C106" s="282" t="s">
        <v>194</v>
      </c>
      <c r="D106" s="172" t="s">
        <v>52</v>
      </c>
      <c r="E106" s="252">
        <v>9</v>
      </c>
      <c r="F106" s="296">
        <f t="shared" si="6"/>
        <v>148.5</v>
      </c>
      <c r="G106" s="249"/>
    </row>
    <row r="107" spans="2:7" x14ac:dyDescent="0.25">
      <c r="B107" s="289" t="s">
        <v>197</v>
      </c>
      <c r="C107" s="289" t="s">
        <v>196</v>
      </c>
      <c r="D107" s="165" t="s">
        <v>86</v>
      </c>
      <c r="E107" s="252">
        <v>22</v>
      </c>
      <c r="F107" s="225">
        <f t="shared" si="6"/>
        <v>363</v>
      </c>
      <c r="G107" s="243">
        <v>120</v>
      </c>
    </row>
    <row r="108" spans="2:7" x14ac:dyDescent="0.25">
      <c r="B108" s="157" t="s">
        <v>252</v>
      </c>
      <c r="C108" s="177" t="s">
        <v>449</v>
      </c>
      <c r="D108" s="76" t="s">
        <v>23</v>
      </c>
      <c r="E108" s="252">
        <v>27</v>
      </c>
      <c r="F108" s="225">
        <f t="shared" si="6"/>
        <v>445.5</v>
      </c>
      <c r="G108" s="244">
        <v>156</v>
      </c>
    </row>
    <row r="109" spans="2:7" x14ac:dyDescent="0.25">
      <c r="B109" s="157" t="s">
        <v>201</v>
      </c>
      <c r="C109" s="157" t="s">
        <v>198</v>
      </c>
      <c r="D109" s="156" t="s">
        <v>52</v>
      </c>
      <c r="E109" s="226">
        <v>21</v>
      </c>
      <c r="F109" s="225">
        <f t="shared" si="6"/>
        <v>346.5</v>
      </c>
      <c r="G109" s="244">
        <v>120</v>
      </c>
    </row>
    <row r="110" spans="2:7" x14ac:dyDescent="0.25">
      <c r="B110" s="222" t="s">
        <v>203</v>
      </c>
      <c r="C110" s="157" t="s">
        <v>253</v>
      </c>
      <c r="D110" s="156" t="s">
        <v>103</v>
      </c>
      <c r="E110" s="226">
        <v>21</v>
      </c>
      <c r="F110" s="225">
        <f t="shared" si="6"/>
        <v>346.5</v>
      </c>
      <c r="G110" s="244">
        <v>120</v>
      </c>
    </row>
    <row r="111" spans="2:7" x14ac:dyDescent="0.25">
      <c r="B111" s="157" t="s">
        <v>205</v>
      </c>
      <c r="C111" s="157" t="s">
        <v>202</v>
      </c>
      <c r="D111" s="156" t="s">
        <v>86</v>
      </c>
      <c r="E111" s="252">
        <v>22</v>
      </c>
      <c r="F111" s="225">
        <f t="shared" si="6"/>
        <v>363</v>
      </c>
      <c r="G111" s="244"/>
    </row>
    <row r="112" spans="2:7" x14ac:dyDescent="0.25">
      <c r="B112" s="223" t="s">
        <v>207</v>
      </c>
      <c r="C112" s="157" t="s">
        <v>204</v>
      </c>
      <c r="D112" s="156" t="s">
        <v>52</v>
      </c>
      <c r="E112" s="226">
        <v>21</v>
      </c>
      <c r="F112" s="225">
        <f t="shared" si="6"/>
        <v>346.5</v>
      </c>
      <c r="G112" s="244">
        <v>120</v>
      </c>
    </row>
    <row r="113" spans="2:7" x14ac:dyDescent="0.25">
      <c r="B113" s="288" t="s">
        <v>209</v>
      </c>
      <c r="C113" s="157" t="s">
        <v>206</v>
      </c>
      <c r="D113" s="156" t="s">
        <v>32</v>
      </c>
      <c r="E113" s="226">
        <v>21</v>
      </c>
      <c r="F113" s="225">
        <f t="shared" si="6"/>
        <v>346.5</v>
      </c>
      <c r="G113" s="244"/>
    </row>
    <row r="114" spans="2:7" x14ac:dyDescent="0.25">
      <c r="B114" s="157" t="s">
        <v>211</v>
      </c>
      <c r="C114" s="222" t="s">
        <v>208</v>
      </c>
      <c r="D114" s="156" t="s">
        <v>390</v>
      </c>
      <c r="E114" s="226">
        <v>21</v>
      </c>
      <c r="F114" s="225">
        <f t="shared" si="6"/>
        <v>346.5</v>
      </c>
      <c r="G114" s="244">
        <v>120</v>
      </c>
    </row>
    <row r="115" spans="2:7" x14ac:dyDescent="0.25">
      <c r="B115" s="157" t="s">
        <v>258</v>
      </c>
      <c r="C115" s="254" t="s">
        <v>210</v>
      </c>
      <c r="D115" s="255" t="s">
        <v>23</v>
      </c>
      <c r="E115" s="281">
        <v>3</v>
      </c>
      <c r="F115" s="256">
        <f t="shared" si="6"/>
        <v>49.5</v>
      </c>
      <c r="G115" s="306">
        <v>17.14</v>
      </c>
    </row>
    <row r="116" spans="2:7" x14ac:dyDescent="0.25">
      <c r="B116" s="227" t="s">
        <v>410</v>
      </c>
      <c r="C116" s="157" t="s">
        <v>212</v>
      </c>
      <c r="D116" s="156" t="s">
        <v>86</v>
      </c>
      <c r="E116" s="282">
        <v>22</v>
      </c>
      <c r="F116" s="283">
        <f t="shared" si="6"/>
        <v>363</v>
      </c>
      <c r="G116" s="244">
        <v>120</v>
      </c>
    </row>
    <row r="117" spans="2:7" x14ac:dyDescent="0.25">
      <c r="B117" s="167" t="s">
        <v>393</v>
      </c>
      <c r="C117" s="157" t="s">
        <v>259</v>
      </c>
      <c r="D117" s="156" t="s">
        <v>23</v>
      </c>
      <c r="E117" s="157">
        <v>21</v>
      </c>
      <c r="F117" s="283">
        <f t="shared" si="6"/>
        <v>346.5</v>
      </c>
      <c r="G117" s="244"/>
    </row>
    <row r="118" spans="2:7" x14ac:dyDescent="0.25">
      <c r="B118" s="232" t="s">
        <v>213</v>
      </c>
      <c r="C118" s="227" t="s">
        <v>407</v>
      </c>
      <c r="D118" s="156" t="s">
        <v>411</v>
      </c>
      <c r="E118" s="282">
        <v>23</v>
      </c>
      <c r="F118" s="283">
        <f t="shared" si="6"/>
        <v>379.5</v>
      </c>
      <c r="G118" s="244">
        <v>120</v>
      </c>
    </row>
    <row r="119" spans="2:7" x14ac:dyDescent="0.25">
      <c r="B119" s="76" t="s">
        <v>460</v>
      </c>
      <c r="C119" s="167" t="s">
        <v>395</v>
      </c>
      <c r="D119" s="168" t="s">
        <v>86</v>
      </c>
      <c r="E119" s="282">
        <v>22</v>
      </c>
      <c r="F119" s="299">
        <f t="shared" si="6"/>
        <v>363</v>
      </c>
      <c r="G119" s="244">
        <v>120</v>
      </c>
    </row>
    <row r="120" spans="2:7" x14ac:dyDescent="0.25">
      <c r="B120" s="157" t="s">
        <v>254</v>
      </c>
      <c r="C120" s="233" t="s">
        <v>214</v>
      </c>
      <c r="D120" s="234" t="s">
        <v>32</v>
      </c>
      <c r="E120" s="233">
        <v>21</v>
      </c>
      <c r="F120" s="297">
        <f>16.5*E120</f>
        <v>346.5</v>
      </c>
      <c r="G120" s="298">
        <v>120</v>
      </c>
    </row>
    <row r="121" spans="2:7" x14ac:dyDescent="0.25">
      <c r="B121" s="76" t="s">
        <v>459</v>
      </c>
      <c r="C121" s="177" t="s">
        <v>456</v>
      </c>
      <c r="D121" s="269" t="s">
        <v>464</v>
      </c>
      <c r="E121" s="282"/>
      <c r="F121" s="283"/>
      <c r="G121" s="244"/>
    </row>
    <row r="122" spans="2:7" x14ac:dyDescent="0.25">
      <c r="B122" s="76" t="s">
        <v>460</v>
      </c>
      <c r="C122" s="177" t="s">
        <v>456</v>
      </c>
      <c r="D122" s="269" t="s">
        <v>377</v>
      </c>
      <c r="E122" s="157"/>
      <c r="F122" s="283"/>
      <c r="G122" s="244"/>
    </row>
    <row r="123" spans="2:7" x14ac:dyDescent="0.25">
      <c r="B123" s="76" t="s">
        <v>461</v>
      </c>
      <c r="C123" s="157" t="s">
        <v>255</v>
      </c>
      <c r="D123" s="304" t="s">
        <v>13</v>
      </c>
      <c r="E123" s="157">
        <v>21</v>
      </c>
      <c r="F123" s="283">
        <f>E123*16.5</f>
        <v>346.5</v>
      </c>
      <c r="G123" s="244"/>
    </row>
    <row r="124" spans="2:7" x14ac:dyDescent="0.25">
      <c r="B124" s="205"/>
      <c r="C124" s="206"/>
      <c r="D124" s="205"/>
      <c r="E124" s="206"/>
      <c r="F124" s="207">
        <f>SUM(F3:F116)</f>
        <v>36557</v>
      </c>
      <c r="G124" s="245">
        <f>SUM(G4:G116)</f>
        <v>9562.58</v>
      </c>
    </row>
    <row r="126" spans="2:7" x14ac:dyDescent="0.25">
      <c r="F126" s="246"/>
    </row>
  </sheetData>
  <autoFilter ref="B3:G120" xr:uid="{4B441D7B-1BE2-480D-A2D6-C0A110D0D242}">
    <sortState xmlns:xlrd2="http://schemas.microsoft.com/office/spreadsheetml/2017/richdata2" ref="B4:G120">
      <sortCondition ref="C3:C120"/>
    </sortState>
  </autoFilter>
  <sortState xmlns:xlrd2="http://schemas.microsoft.com/office/spreadsheetml/2017/richdata2" ref="C5:G123">
    <sortCondition ref="C4:C123"/>
  </sortState>
  <conditionalFormatting sqref="B14">
    <cfRule type="expression" dxfId="2" priority="1">
      <formula>AND(B14&gt;TODAY(), B14-TODAY()&gt;=WEEKDAY(B14), B14-TODAY()&lt;WEEKDAY(B14)+7)</formula>
    </cfRule>
    <cfRule type="expression" dxfId="1" priority="2">
      <formula>OR(AND(B14&lt;=TODAY(), TODAY()-B14&lt;WEEKDAY(TODAY())), AND(TODAY()&lt;B14, B14-TODAY()&lt;WEEKDAY(B14)))</formula>
    </cfRule>
  </conditionalFormatting>
  <conditionalFormatting sqref="C34:C35 D46 D50:D52 D55">
    <cfRule type="expression" dxfId="0" priority="3" stopIfTrue="1">
      <formula>AND(COUNTIF(#REF!, C34)+COUNTIF($C:$C, C34)&gt;1,NOT(ISBLANK(C34)))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01 2026</vt:lpstr>
      <vt:lpstr>01 2026 Proporcional</vt:lpstr>
      <vt:lpstr>02 2026</vt:lpstr>
      <vt:lpstr>02 2026 Proporcional</vt:lpstr>
      <vt:lpstr>03 2026</vt:lpstr>
      <vt:lpstr>03 2026 Proporcional</vt:lpstr>
      <vt:lpstr>04 2026</vt:lpstr>
      <vt:lpstr>04 2026 Proporcional</vt:lpstr>
      <vt:lpstr>05 2026</vt:lpstr>
      <vt:lpstr>05 2026 Propocional</vt:lpstr>
      <vt:lpstr>06 2026</vt:lpstr>
      <vt:lpstr>06  2026 proporcional</vt:lpstr>
      <vt:lpstr>07 2026</vt:lpstr>
      <vt:lpstr>07 2026 Proporcional</vt:lpstr>
      <vt:lpstr>08 2026</vt:lpstr>
      <vt:lpstr>08 2026 Proporcional </vt:lpstr>
      <vt:lpstr>09 2026</vt:lpstr>
      <vt:lpstr>09 2026 Proporcional </vt:lpstr>
      <vt:lpstr>10 - 2026</vt:lpstr>
      <vt:lpstr>10 2026 Proporcional </vt:lpstr>
      <vt:lpstr>11 - 2026</vt:lpstr>
      <vt:lpstr>11 2026 Proporcional </vt:lpstr>
      <vt:lpstr>10 2026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Ivellyn Ramos</dc:creator>
  <cp:lastModifiedBy>RH Ikli Tecnologia</cp:lastModifiedBy>
  <cp:lastPrinted>2026-08-25T12:50:23Z</cp:lastPrinted>
  <dcterms:created xsi:type="dcterms:W3CDTF">2025-12-23T20:44:32Z</dcterms:created>
  <dcterms:modified xsi:type="dcterms:W3CDTF">2026-10-06T17:57:51Z</dcterms:modified>
</cp:coreProperties>
</file>